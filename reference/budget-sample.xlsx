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9.xml" ContentType="application/vnd.openxmlformats-officedocument.drawing+xml"/>
  <Override PartName="/xl/charts/chart3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+xml"/>
  <Override PartName="/xl/charts/chart3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1.xml" ContentType="application/vnd.openxmlformats-officedocument.drawing+xml"/>
  <Override PartName="/xl/charts/chart3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Lilyd\Dropbox\Lily\"/>
    </mc:Choice>
  </mc:AlternateContent>
  <xr:revisionPtr revIDLastSave="0" documentId="13_ncr:1_{94CDCF12-BE5A-4698-86F8-1AD1044ACDBA}" xr6:coauthVersionLast="47" xr6:coauthVersionMax="47" xr10:uidLastSave="{00000000-0000-0000-0000-000000000000}"/>
  <bookViews>
    <workbookView xWindow="-28920" yWindow="-120" windowWidth="29040" windowHeight="15720" tabRatio="809" firstSheet="3" activeTab="19" xr2:uid="{00000000-000D-0000-FFFF-FFFF00000000}"/>
  </bookViews>
  <sheets>
    <sheet name="Dropdown" sheetId="16" r:id="rId1"/>
    <sheet name="פרטים" sheetId="26" r:id="rId2"/>
    <sheet name="Data" sheetId="17" r:id="rId3"/>
    <sheet name="נכסים והתחיבויות" sheetId="24" r:id="rId4"/>
    <sheet name="1125" sheetId="32" r:id="rId5"/>
    <sheet name="1225" sheetId="23" r:id="rId6"/>
    <sheet name="1" sheetId="1" r:id="rId7"/>
    <sheet name="2" sheetId="2" r:id="rId8"/>
    <sheet name="3" sheetId="3" r:id="rId9"/>
    <sheet name="4" sheetId="4" r:id="rId10"/>
    <sheet name="5" sheetId="5" r:id="rId11"/>
    <sheet name="6" sheetId="6" r:id="rId12"/>
    <sheet name="עוגה" sheetId="13" state="hidden" r:id="rId13"/>
    <sheet name="גרף" sheetId="14" state="hidden" r:id="rId14"/>
    <sheet name="7" sheetId="7" r:id="rId15"/>
    <sheet name="8" sheetId="8" r:id="rId16"/>
    <sheet name="9" sheetId="9" r:id="rId17"/>
    <sheet name="10" sheetId="10" r:id="rId18"/>
    <sheet name="11" sheetId="11" r:id="rId19"/>
    <sheet name="12" sheetId="12" r:id="rId20"/>
    <sheet name="עסק" sheetId="27" r:id="rId21"/>
    <sheet name="פקדונות" sheetId="19" r:id="rId22"/>
    <sheet name="מיפוי מצב" sheetId="22" r:id="rId23"/>
    <sheet name="פירוט עסקי" sheetId="30" r:id="rId24"/>
    <sheet name="הוצאות חודשיות" sheetId="15" r:id="rId25"/>
    <sheet name="ממוצע ורצוי" sheetId="18" r:id="rId26"/>
    <sheet name="סל הוצאות" sheetId="31" r:id="rId27"/>
    <sheet name="יומי" sheetId="28" r:id="rId28"/>
    <sheet name="הוצאות עתידיות" sheetId="21" r:id="rId29"/>
    <sheet name="Chart1" sheetId="33" r:id="rId30"/>
    <sheet name="טבלת הוצאות" sheetId="25" r:id="rId31"/>
    <sheet name="ניתוח אנומליות" sheetId="34" r:id="rId32"/>
  </sheets>
  <externalReferences>
    <externalReference r:id="rId33"/>
    <externalReference r:id="rId34"/>
    <externalReference r:id="rId35"/>
    <externalReference r:id="rId36"/>
  </externalReferences>
  <definedNames>
    <definedName name="_xlnm._FilterDatabase" localSheetId="6" hidden="1">'1'!$F$1:$L$404</definedName>
    <definedName name="_xlnm._FilterDatabase" localSheetId="17" hidden="1">'10'!$A$1:$N$354</definedName>
    <definedName name="_xlnm._FilterDatabase" localSheetId="18" hidden="1">'11'!$F$1:$N$336</definedName>
    <definedName name="_xlnm._FilterDatabase" localSheetId="19" hidden="1">'12'!$F$1:$N$85</definedName>
    <definedName name="_xlnm._FilterDatabase" localSheetId="5" hidden="1">'1225'!$F$1:$R$220</definedName>
    <definedName name="_xlnm._FilterDatabase" localSheetId="7" hidden="1">'2'!$F$1:$N$507</definedName>
    <definedName name="_xlnm._FilterDatabase" localSheetId="8" hidden="1">'3'!$F$1:$N$359</definedName>
    <definedName name="_xlnm._FilterDatabase" localSheetId="9" hidden="1">'4'!$A$1:$N$245</definedName>
    <definedName name="_xlnm._FilterDatabase" localSheetId="10" hidden="1">'5'!$F$1:$N$459</definedName>
    <definedName name="_xlnm._FilterDatabase" localSheetId="11" hidden="1">'6'!$F$1:$N$453</definedName>
    <definedName name="_xlnm._FilterDatabase" localSheetId="14" hidden="1">'7'!$F$1:$N$435</definedName>
    <definedName name="_xlnm._FilterDatabase" localSheetId="15" hidden="1">'8'!$A$1:$N$18</definedName>
    <definedName name="_xlnm._FilterDatabase" localSheetId="16" hidden="1">'9'!$A$1:$N$193</definedName>
    <definedName name="_xlnm._FilterDatabase" localSheetId="20" hidden="1">עסק!$B$2:$G$1119</definedName>
    <definedName name="_xlnm._FilterDatabase" localSheetId="21" hidden="1">פקדונות!$A$1:$G$30</definedName>
    <definedName name="Income_01">'1'!$C$20:$D$23,'1'!$C$25:$D$25</definedName>
    <definedName name="_xlnm.Print_Area" localSheetId="24">'הוצאות חודשיות'!$A$1:$O$167</definedName>
    <definedName name="סוג_הוצאה">Dropdown!$B$2:$B$100</definedName>
    <definedName name="סוג_תשלום">Dropdown!$A$2:$A$24</definedName>
    <definedName name="קטגוריה">Dropdown!$C$2:$C$100</definedName>
    <definedName name="קטגוריה_2">[1]Dropdown!$C$2:$C$13</definedName>
    <definedName name="קטגוריה_3">Dropdown!$E$2:$E$13</definedName>
    <definedName name="קטגוריה_4">Dropdown!$F$2:$F$14</definedName>
    <definedName name="קטגוריה_5">Dropdown!$G$2:$G$14</definedName>
    <definedName name="קטגוריה_6">Dropdown!$H$2:$H$7</definedName>
    <definedName name="קטגוריה_7">Dropdown!$I$2:$I$10</definedName>
    <definedName name="קטגוריה_8">Dropdown!$J$1:$J$11</definedName>
    <definedName name="קטגוריה_8__עסק">Dropdown!$J$1:$J$11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5" l="1"/>
  <c r="I62" i="4"/>
  <c r="C10" i="4"/>
  <c r="I47" i="4"/>
  <c r="C13" i="4"/>
  <c r="R44" i="4"/>
  <c r="I59" i="5"/>
  <c r="I61" i="4"/>
  <c r="I57" i="6"/>
  <c r="I58" i="5"/>
  <c r="I63" i="4"/>
  <c r="B62" i="34"/>
  <c r="C53" i="34"/>
  <c r="B53" i="34"/>
  <c r="C52" i="34"/>
  <c r="C51" i="34"/>
  <c r="C50" i="34"/>
  <c r="C49" i="34"/>
  <c r="C48" i="34"/>
  <c r="C47" i="34"/>
  <c r="C46" i="34"/>
  <c r="C45" i="34"/>
  <c r="C44" i="34"/>
  <c r="C43" i="34"/>
  <c r="E36" i="34"/>
  <c r="D36" i="34"/>
  <c r="E35" i="34"/>
  <c r="D35" i="34"/>
  <c r="E33" i="34"/>
  <c r="D33" i="34"/>
  <c r="E32" i="34"/>
  <c r="D32" i="34"/>
  <c r="E31" i="34"/>
  <c r="D31" i="34"/>
  <c r="E30" i="34"/>
  <c r="D30" i="34"/>
  <c r="E29" i="34"/>
  <c r="D29" i="34"/>
  <c r="E28" i="34"/>
  <c r="D28" i="34"/>
  <c r="E27" i="34"/>
  <c r="D27" i="34"/>
  <c r="E26" i="34"/>
  <c r="D26" i="34"/>
  <c r="E25" i="34"/>
  <c r="D25" i="34"/>
  <c r="E24" i="34"/>
  <c r="D24" i="34"/>
  <c r="E23" i="34"/>
  <c r="D23" i="34"/>
  <c r="E22" i="34"/>
  <c r="D22" i="34"/>
  <c r="E21" i="34"/>
  <c r="D21" i="34"/>
  <c r="E20" i="34"/>
  <c r="D20" i="34"/>
  <c r="E19" i="34"/>
  <c r="D19" i="34"/>
  <c r="E18" i="34"/>
  <c r="D18" i="34"/>
  <c r="E17" i="34"/>
  <c r="D17" i="34"/>
  <c r="E15" i="34"/>
  <c r="D15" i="34"/>
  <c r="E14" i="34"/>
  <c r="D14" i="34"/>
  <c r="E13" i="34"/>
  <c r="D13" i="34"/>
  <c r="E9" i="34"/>
  <c r="D9" i="34"/>
  <c r="E6" i="34"/>
  <c r="D6" i="34"/>
  <c r="E5" i="34"/>
  <c r="D5" i="34"/>
  <c r="I64" i="4"/>
  <c r="I62" i="3"/>
  <c r="I80" i="4"/>
  <c r="I153" i="3"/>
  <c r="I149" i="3"/>
  <c r="I142" i="3"/>
  <c r="I141" i="3"/>
  <c r="I126" i="3"/>
  <c r="I124" i="3"/>
  <c r="I115" i="3"/>
  <c r="I116" i="3"/>
  <c r="I140" i="3"/>
  <c r="I139" i="3"/>
  <c r="I138" i="3"/>
  <c r="I137" i="3"/>
  <c r="I146" i="3"/>
  <c r="I145" i="3"/>
  <c r="I144" i="3"/>
  <c r="I47" i="3"/>
  <c r="R44" i="2"/>
  <c r="I225" i="1"/>
  <c r="Q43" i="1"/>
  <c r="R43" i="1"/>
  <c r="R46" i="23"/>
  <c r="Q46" i="23"/>
  <c r="Q45" i="23"/>
  <c r="R45" i="23"/>
  <c r="I210" i="23"/>
  <c r="I209" i="23"/>
  <c r="R44" i="23"/>
  <c r="Q44" i="23"/>
  <c r="Q43" i="23"/>
  <c r="R45" i="5"/>
  <c r="R45" i="1"/>
  <c r="C8" i="4"/>
  <c r="R45" i="4"/>
  <c r="R45" i="2"/>
  <c r="R45" i="3"/>
  <c r="R46" i="1" l="1"/>
  <c r="R43" i="2" s="1"/>
  <c r="R46" i="2" s="1"/>
  <c r="R43" i="3" l="1"/>
  <c r="R46" i="3" s="1"/>
  <c r="E3" i="3"/>
  <c r="I135" i="3"/>
  <c r="I103" i="3"/>
  <c r="I55" i="5"/>
  <c r="I57" i="4"/>
  <c r="I57" i="3"/>
  <c r="I72" i="3"/>
  <c r="I71" i="3"/>
  <c r="I65" i="3"/>
  <c r="I97" i="3"/>
  <c r="I96" i="3"/>
  <c r="I95" i="3"/>
  <c r="I94" i="3"/>
  <c r="I54" i="6"/>
  <c r="G54" i="6"/>
  <c r="I53" i="6"/>
  <c r="G53" i="6"/>
  <c r="I54" i="5"/>
  <c r="G54" i="5"/>
  <c r="I53" i="5"/>
  <c r="G53" i="5"/>
  <c r="I55" i="4"/>
  <c r="I54" i="4"/>
  <c r="G54" i="4"/>
  <c r="G55" i="3"/>
  <c r="G54" i="3"/>
  <c r="C10" i="2"/>
  <c r="C13" i="2"/>
  <c r="C13" i="1"/>
  <c r="I216" i="1"/>
  <c r="I208" i="1"/>
  <c r="I227" i="2"/>
  <c r="I12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21" i="2"/>
  <c r="I226" i="2"/>
  <c r="I220" i="2"/>
  <c r="I202" i="2"/>
  <c r="I201" i="2"/>
  <c r="I186" i="2"/>
  <c r="I185" i="2"/>
  <c r="I182" i="2"/>
  <c r="I181" i="2"/>
  <c r="I164" i="2"/>
  <c r="I163" i="2"/>
  <c r="I140" i="2"/>
  <c r="I134" i="2"/>
  <c r="I133" i="2"/>
  <c r="I130" i="2"/>
  <c r="I56" i="6"/>
  <c r="I57" i="5"/>
  <c r="I58" i="4"/>
  <c r="I58" i="3"/>
  <c r="I56" i="2"/>
  <c r="I60" i="2"/>
  <c r="I54" i="8"/>
  <c r="I53" i="12"/>
  <c r="I53" i="11"/>
  <c r="I53" i="10"/>
  <c r="I53" i="9"/>
  <c r="I53" i="7"/>
  <c r="I55" i="6"/>
  <c r="I56" i="5"/>
  <c r="I59" i="4"/>
  <c r="I59" i="3"/>
  <c r="I55" i="2"/>
  <c r="E3" i="1"/>
  <c r="I148" i="2"/>
  <c r="I46" i="2"/>
  <c r="I54" i="2"/>
  <c r="G37" i="2"/>
  <c r="I182" i="1"/>
  <c r="I201" i="1"/>
  <c r="I181" i="1"/>
  <c r="I24" i="12"/>
  <c r="I24" i="11"/>
  <c r="I24" i="10"/>
  <c r="I24" i="9"/>
  <c r="I24" i="8"/>
  <c r="I24" i="7"/>
  <c r="I24" i="6"/>
  <c r="I24" i="5"/>
  <c r="I24" i="4"/>
  <c r="I24" i="3"/>
  <c r="I24" i="2"/>
  <c r="I23" i="1"/>
  <c r="I224" i="1"/>
  <c r="I223" i="1"/>
  <c r="I46" i="1"/>
  <c r="I222" i="1"/>
  <c r="I221" i="1"/>
  <c r="I215" i="1"/>
  <c r="I220" i="1"/>
  <c r="I195" i="1"/>
  <c r="I61" i="1"/>
  <c r="I65" i="2"/>
  <c r="I65" i="1"/>
  <c r="I64" i="23"/>
  <c r="I196" i="1"/>
  <c r="I170" i="1"/>
  <c r="I57" i="2"/>
  <c r="I56" i="1"/>
  <c r="I184" i="1"/>
  <c r="C14" i="1"/>
  <c r="C10" i="1"/>
  <c r="G37" i="1"/>
  <c r="I56" i="4"/>
  <c r="I56" i="3"/>
  <c r="I53" i="2"/>
  <c r="I55" i="1"/>
  <c r="I72" i="1"/>
  <c r="I71" i="1"/>
  <c r="C21" i="2"/>
  <c r="R43" i="4" l="1"/>
  <c r="R46" i="4" s="1"/>
  <c r="R43" i="5" s="1"/>
  <c r="R46" i="5" s="1"/>
  <c r="I120" i="1"/>
  <c r="C38" i="1"/>
  <c r="C12" i="1"/>
  <c r="I220" i="23"/>
  <c r="I219" i="23"/>
  <c r="I218" i="23"/>
  <c r="I217" i="23"/>
  <c r="I216" i="23"/>
  <c r="I215" i="23"/>
  <c r="I214" i="23"/>
  <c r="I213" i="23"/>
  <c r="I212" i="23"/>
  <c r="I211" i="23"/>
  <c r="I208" i="23"/>
  <c r="I207" i="23"/>
  <c r="I206" i="23"/>
  <c r="I205" i="23"/>
  <c r="I204" i="23"/>
  <c r="I203" i="23"/>
  <c r="G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5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0" i="23"/>
  <c r="I49" i="23"/>
  <c r="G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B38" i="1" l="1"/>
  <c r="D38" i="1"/>
  <c r="I66" i="2"/>
  <c r="I64" i="2"/>
  <c r="I63" i="2"/>
  <c r="I62" i="2"/>
  <c r="I66" i="1"/>
  <c r="I64" i="1"/>
  <c r="I63" i="1"/>
  <c r="I62" i="1"/>
  <c r="I63" i="3" l="1"/>
  <c r="I60" i="1"/>
  <c r="I61" i="2"/>
  <c r="I217" i="32"/>
  <c r="I216" i="32"/>
  <c r="I215" i="32"/>
  <c r="I214" i="32"/>
  <c r="I213" i="32"/>
  <c r="I212" i="32"/>
  <c r="I211" i="32"/>
  <c r="I210" i="32"/>
  <c r="I209" i="32"/>
  <c r="I208" i="32"/>
  <c r="I207" i="32"/>
  <c r="I206" i="32"/>
  <c r="I205" i="32"/>
  <c r="I204" i="32"/>
  <c r="I203" i="32"/>
  <c r="I202" i="32"/>
  <c r="I201" i="32"/>
  <c r="I200" i="32"/>
  <c r="I199" i="32"/>
  <c r="I198" i="32"/>
  <c r="I197" i="32"/>
  <c r="I196" i="32"/>
  <c r="I195" i="32"/>
  <c r="I194" i="32"/>
  <c r="I193" i="32"/>
  <c r="I192" i="32"/>
  <c r="I191" i="32"/>
  <c r="I190" i="32"/>
  <c r="I189" i="32"/>
  <c r="I188" i="32"/>
  <c r="I187" i="32"/>
  <c r="I186" i="32"/>
  <c r="I185" i="32"/>
  <c r="I184" i="32"/>
  <c r="I183" i="32"/>
  <c r="I182" i="32"/>
  <c r="I181" i="32"/>
  <c r="I180" i="32"/>
  <c r="I179" i="32"/>
  <c r="I178" i="32"/>
  <c r="I177" i="32"/>
  <c r="I176" i="32"/>
  <c r="I175" i="32"/>
  <c r="I174" i="32"/>
  <c r="I173" i="32"/>
  <c r="I172" i="32"/>
  <c r="I171" i="32"/>
  <c r="I170" i="32"/>
  <c r="I169" i="32"/>
  <c r="I168" i="32"/>
  <c r="I167" i="32"/>
  <c r="I166" i="32"/>
  <c r="I165" i="32"/>
  <c r="I164" i="32"/>
  <c r="I163" i="32"/>
  <c r="I162" i="32"/>
  <c r="I161" i="32"/>
  <c r="I160" i="32"/>
  <c r="I159" i="32"/>
  <c r="I158" i="32"/>
  <c r="I157" i="32"/>
  <c r="I156" i="32"/>
  <c r="I155" i="32"/>
  <c r="I154" i="32"/>
  <c r="I153" i="32"/>
  <c r="I152" i="32"/>
  <c r="I151" i="32"/>
  <c r="I150" i="32"/>
  <c r="I149" i="32"/>
  <c r="I148" i="32"/>
  <c r="I147" i="32"/>
  <c r="I146" i="32"/>
  <c r="I145" i="32"/>
  <c r="I144" i="32"/>
  <c r="I143" i="32"/>
  <c r="I142" i="32"/>
  <c r="I141" i="32"/>
  <c r="I140" i="32"/>
  <c r="I139" i="32"/>
  <c r="I138" i="32"/>
  <c r="I137" i="32"/>
  <c r="I136" i="32"/>
  <c r="I135" i="32"/>
  <c r="I134" i="32"/>
  <c r="I133" i="32"/>
  <c r="I132" i="32"/>
  <c r="I131" i="32"/>
  <c r="I130" i="32"/>
  <c r="I129" i="32"/>
  <c r="I128" i="32"/>
  <c r="I127" i="32"/>
  <c r="I126" i="32"/>
  <c r="I125" i="32"/>
  <c r="I124" i="32"/>
  <c r="I123" i="32"/>
  <c r="I122" i="32"/>
  <c r="I121" i="32"/>
  <c r="I120" i="32"/>
  <c r="I119" i="32"/>
  <c r="I118" i="32"/>
  <c r="I117" i="32"/>
  <c r="I116" i="32"/>
  <c r="I115" i="32"/>
  <c r="I114" i="32"/>
  <c r="I113" i="32"/>
  <c r="I112" i="32"/>
  <c r="I111" i="32"/>
  <c r="I110" i="32"/>
  <c r="I109" i="32"/>
  <c r="I108" i="32"/>
  <c r="I107" i="32"/>
  <c r="I106" i="32"/>
  <c r="I105" i="32"/>
  <c r="I104" i="32"/>
  <c r="I103" i="32"/>
  <c r="I102" i="32"/>
  <c r="I101" i="32"/>
  <c r="I100" i="32"/>
  <c r="I99" i="32"/>
  <c r="I98" i="32"/>
  <c r="I97" i="32"/>
  <c r="I96" i="32"/>
  <c r="I95" i="32"/>
  <c r="I94" i="32"/>
  <c r="I93" i="32"/>
  <c r="I92" i="32"/>
  <c r="I91" i="32"/>
  <c r="I90" i="32"/>
  <c r="I89" i="32"/>
  <c r="I88" i="32"/>
  <c r="I87" i="32"/>
  <c r="I86" i="32"/>
  <c r="I85" i="32"/>
  <c r="I84" i="32"/>
  <c r="I83" i="32"/>
  <c r="I82" i="32"/>
  <c r="I81" i="32"/>
  <c r="I80" i="32"/>
  <c r="I79" i="32"/>
  <c r="I78" i="32"/>
  <c r="I77" i="32"/>
  <c r="I76" i="32"/>
  <c r="I75" i="32"/>
  <c r="I74" i="32"/>
  <c r="I73" i="32"/>
  <c r="I72" i="32"/>
  <c r="I71" i="32"/>
  <c r="I70" i="32"/>
  <c r="I69" i="32"/>
  <c r="I68" i="32"/>
  <c r="I67" i="32"/>
  <c r="I66" i="32"/>
  <c r="I65" i="32"/>
  <c r="I64" i="32"/>
  <c r="I63" i="32"/>
  <c r="I62" i="32"/>
  <c r="I61" i="32"/>
  <c r="I60" i="32"/>
  <c r="I59" i="32"/>
  <c r="I58" i="32"/>
  <c r="I56" i="32"/>
  <c r="I55" i="32"/>
  <c r="I54" i="32"/>
  <c r="I53" i="32"/>
  <c r="I52" i="32"/>
  <c r="I51" i="32"/>
  <c r="I50" i="32"/>
  <c r="I48" i="32"/>
  <c r="I47" i="32"/>
  <c r="G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G35" i="32"/>
  <c r="I34" i="32"/>
  <c r="G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3" i="32"/>
  <c r="I35" i="12"/>
  <c r="I35" i="11"/>
  <c r="I35" i="10"/>
  <c r="I35" i="9"/>
  <c r="I35" i="8"/>
  <c r="I35" i="7"/>
  <c r="I35" i="6"/>
  <c r="I35" i="5"/>
  <c r="I35" i="4"/>
  <c r="I35" i="3"/>
  <c r="I35" i="1"/>
  <c r="I34" i="1"/>
  <c r="I33" i="1"/>
  <c r="I32" i="1"/>
  <c r="I31" i="1"/>
  <c r="I30" i="1"/>
  <c r="I29" i="1"/>
  <c r="I28" i="1"/>
  <c r="I27" i="1"/>
  <c r="I26" i="1"/>
  <c r="I25" i="1"/>
  <c r="I24" i="1"/>
  <c r="I34" i="2"/>
  <c r="I33" i="2"/>
  <c r="I32" i="2"/>
  <c r="I31" i="2"/>
  <c r="I30" i="2"/>
  <c r="I29" i="2"/>
  <c r="I28" i="2"/>
  <c r="I27" i="2"/>
  <c r="I26" i="2"/>
  <c r="I25" i="2"/>
  <c r="I23" i="2"/>
  <c r="I34" i="3"/>
  <c r="I33" i="3"/>
  <c r="I32" i="3"/>
  <c r="I31" i="3"/>
  <c r="I30" i="3"/>
  <c r="I29" i="3"/>
  <c r="I28" i="3"/>
  <c r="I27" i="3"/>
  <c r="I26" i="3"/>
  <c r="I25" i="3"/>
  <c r="I23" i="3"/>
  <c r="I34" i="4"/>
  <c r="I33" i="4"/>
  <c r="I32" i="4"/>
  <c r="I31" i="4"/>
  <c r="I30" i="4"/>
  <c r="I29" i="4"/>
  <c r="I28" i="4"/>
  <c r="I27" i="4"/>
  <c r="I26" i="4"/>
  <c r="I25" i="4"/>
  <c r="I23" i="4"/>
  <c r="I34" i="5"/>
  <c r="I33" i="5"/>
  <c r="I32" i="5"/>
  <c r="I31" i="5"/>
  <c r="I30" i="5"/>
  <c r="I29" i="5"/>
  <c r="I28" i="5"/>
  <c r="I27" i="5"/>
  <c r="I26" i="5"/>
  <c r="I25" i="5"/>
  <c r="I23" i="5"/>
  <c r="I34" i="6"/>
  <c r="I33" i="6"/>
  <c r="I32" i="6"/>
  <c r="I31" i="6"/>
  <c r="I30" i="6"/>
  <c r="I29" i="6"/>
  <c r="I28" i="6"/>
  <c r="I27" i="6"/>
  <c r="I26" i="6"/>
  <c r="I25" i="6"/>
  <c r="I23" i="6"/>
  <c r="I34" i="7"/>
  <c r="I33" i="7"/>
  <c r="I32" i="7"/>
  <c r="I31" i="7"/>
  <c r="I30" i="7"/>
  <c r="I29" i="7"/>
  <c r="I28" i="7"/>
  <c r="I27" i="7"/>
  <c r="I26" i="7"/>
  <c r="I25" i="7"/>
  <c r="I23" i="7"/>
  <c r="I34" i="8"/>
  <c r="I33" i="8"/>
  <c r="I32" i="8"/>
  <c r="I31" i="8"/>
  <c r="I30" i="8"/>
  <c r="I29" i="8"/>
  <c r="I28" i="8"/>
  <c r="I27" i="8"/>
  <c r="I26" i="8"/>
  <c r="I25" i="8"/>
  <c r="I23" i="8"/>
  <c r="I34" i="9"/>
  <c r="I33" i="9"/>
  <c r="I32" i="9"/>
  <c r="I31" i="9"/>
  <c r="I30" i="9"/>
  <c r="I29" i="9"/>
  <c r="I28" i="9"/>
  <c r="I27" i="9"/>
  <c r="I26" i="9"/>
  <c r="I25" i="9"/>
  <c r="I23" i="9"/>
  <c r="I34" i="10"/>
  <c r="I33" i="10"/>
  <c r="I32" i="10"/>
  <c r="I31" i="10"/>
  <c r="I30" i="10"/>
  <c r="I29" i="10"/>
  <c r="I28" i="10"/>
  <c r="I27" i="10"/>
  <c r="I26" i="10"/>
  <c r="I25" i="10"/>
  <c r="I23" i="10"/>
  <c r="I34" i="11"/>
  <c r="I33" i="11"/>
  <c r="I32" i="11"/>
  <c r="I31" i="11"/>
  <c r="I30" i="11"/>
  <c r="I29" i="11"/>
  <c r="I28" i="11"/>
  <c r="I27" i="11"/>
  <c r="I26" i="11"/>
  <c r="I25" i="11"/>
  <c r="I23" i="11"/>
  <c r="I34" i="12"/>
  <c r="I33" i="12"/>
  <c r="I32" i="12"/>
  <c r="I31" i="12"/>
  <c r="I30" i="12"/>
  <c r="I29" i="12"/>
  <c r="I28" i="12"/>
  <c r="I27" i="12"/>
  <c r="I26" i="12"/>
  <c r="I25" i="12"/>
  <c r="I23" i="12"/>
  <c r="D16" i="12"/>
  <c r="C16" i="12"/>
  <c r="D15" i="12"/>
  <c r="C15" i="12"/>
  <c r="C10" i="12"/>
  <c r="D16" i="11"/>
  <c r="C16" i="11"/>
  <c r="D15" i="11"/>
  <c r="C15" i="11"/>
  <c r="C10" i="11"/>
  <c r="D16" i="10"/>
  <c r="C16" i="10"/>
  <c r="D15" i="10"/>
  <c r="C15" i="10"/>
  <c r="C10" i="10"/>
  <c r="D16" i="9"/>
  <c r="C16" i="9"/>
  <c r="D15" i="9"/>
  <c r="C15" i="9"/>
  <c r="C10" i="9"/>
  <c r="D16" i="8"/>
  <c r="C16" i="8"/>
  <c r="D15" i="8"/>
  <c r="C15" i="8"/>
  <c r="C10" i="8"/>
  <c r="D16" i="7"/>
  <c r="C16" i="7"/>
  <c r="D15" i="7"/>
  <c r="C15" i="7"/>
  <c r="C10" i="7"/>
  <c r="D16" i="6"/>
  <c r="C16" i="6"/>
  <c r="D15" i="6"/>
  <c r="C15" i="6"/>
  <c r="C10" i="6"/>
  <c r="D16" i="5"/>
  <c r="C16" i="5"/>
  <c r="D15" i="5"/>
  <c r="C15" i="5"/>
  <c r="C10" i="5"/>
  <c r="D16" i="4"/>
  <c r="C16" i="4"/>
  <c r="D15" i="4"/>
  <c r="C15" i="4"/>
  <c r="D16" i="3"/>
  <c r="C16" i="3"/>
  <c r="D15" i="3"/>
  <c r="C15" i="3"/>
  <c r="D16" i="2"/>
  <c r="C16" i="2"/>
  <c r="D15" i="2"/>
  <c r="C15" i="2"/>
  <c r="I54" i="11"/>
  <c r="I54" i="10"/>
  <c r="I55" i="10"/>
  <c r="I53" i="8"/>
  <c r="I54" i="9"/>
  <c r="I55" i="8"/>
  <c r="I55" i="3"/>
  <c r="I54" i="3"/>
  <c r="I54" i="12"/>
  <c r="C4" i="10"/>
  <c r="D12" i="9"/>
  <c r="D7" i="9"/>
  <c r="C8" i="8"/>
  <c r="D12" i="11"/>
  <c r="D9" i="4"/>
  <c r="C4" i="11"/>
  <c r="D9" i="8"/>
  <c r="C7" i="6"/>
  <c r="C11" i="3"/>
  <c r="C7" i="3"/>
  <c r="D12" i="8"/>
  <c r="C11" i="9"/>
  <c r="C4" i="8"/>
  <c r="C4" i="4"/>
  <c r="D7" i="4"/>
  <c r="D9" i="12"/>
  <c r="D11" i="2"/>
  <c r="C7" i="5"/>
  <c r="D7" i="12"/>
  <c r="D4" i="2"/>
  <c r="D4" i="12"/>
  <c r="D9" i="7"/>
  <c r="D7" i="10"/>
  <c r="C4" i="5"/>
  <c r="D4" i="8"/>
  <c r="D12" i="7"/>
  <c r="C11" i="7"/>
  <c r="D4" i="6"/>
  <c r="C7" i="10"/>
  <c r="C11" i="2"/>
  <c r="D11" i="12"/>
  <c r="D4" i="3"/>
  <c r="C3" i="3"/>
  <c r="D11" i="5"/>
  <c r="D12" i="5"/>
  <c r="D9" i="2"/>
  <c r="C8" i="6"/>
  <c r="C8" i="5"/>
  <c r="C7" i="8"/>
  <c r="D7" i="6"/>
  <c r="C11" i="5"/>
  <c r="C8" i="10"/>
  <c r="C3" i="6"/>
  <c r="C4" i="9"/>
  <c r="D11" i="7"/>
  <c r="D11" i="9"/>
  <c r="D7" i="3"/>
  <c r="C3" i="7"/>
  <c r="C3" i="10"/>
  <c r="C4" i="12"/>
  <c r="C3" i="11"/>
  <c r="C8" i="11"/>
  <c r="D12" i="6"/>
  <c r="C7" i="7"/>
  <c r="D12" i="3"/>
  <c r="C7" i="12"/>
  <c r="D4" i="5"/>
  <c r="C7" i="11"/>
  <c r="C11" i="12"/>
  <c r="C11" i="8"/>
  <c r="D7" i="7"/>
  <c r="C3" i="12"/>
  <c r="C11" i="11"/>
  <c r="D11" i="4"/>
  <c r="C3" i="5"/>
  <c r="D7" i="5"/>
  <c r="D12" i="10"/>
  <c r="C7" i="9"/>
  <c r="D9" i="11"/>
  <c r="C8" i="3"/>
  <c r="C8" i="2"/>
  <c r="D12" i="2"/>
  <c r="D4" i="11"/>
  <c r="D7" i="11"/>
  <c r="C4" i="6"/>
  <c r="C11" i="4"/>
  <c r="D9" i="6"/>
  <c r="C3" i="8"/>
  <c r="D9" i="3"/>
  <c r="D11" i="11"/>
  <c r="C7" i="4"/>
  <c r="D11" i="6"/>
  <c r="C3" i="4"/>
  <c r="D11" i="3"/>
  <c r="C11" i="10"/>
  <c r="C3" i="9"/>
  <c r="D12" i="12"/>
  <c r="D4" i="9"/>
  <c r="D11" i="10"/>
  <c r="D9" i="10"/>
  <c r="D9" i="9"/>
  <c r="C4" i="2"/>
  <c r="C4" i="3"/>
  <c r="C4" i="7"/>
  <c r="C8" i="12"/>
  <c r="C11" i="6"/>
  <c r="D7" i="8"/>
  <c r="C7" i="2"/>
  <c r="D11" i="8"/>
  <c r="D9" i="5"/>
  <c r="C8" i="7"/>
  <c r="D12" i="4"/>
  <c r="D4" i="4"/>
  <c r="D7" i="2"/>
  <c r="C8" i="9"/>
  <c r="D4" i="10"/>
  <c r="C3" i="2"/>
  <c r="D4" i="7"/>
  <c r="D44" i="12" l="1"/>
  <c r="D43" i="12"/>
  <c r="D43" i="11"/>
  <c r="D44" i="11"/>
  <c r="D43" i="10"/>
  <c r="D44" i="10"/>
  <c r="D43" i="9"/>
  <c r="D44" i="9"/>
  <c r="D43" i="8"/>
  <c r="D44" i="8"/>
  <c r="D43" i="7"/>
  <c r="D44" i="7"/>
  <c r="D43" i="6"/>
  <c r="D44" i="6"/>
  <c r="D43" i="5"/>
  <c r="D44" i="5"/>
  <c r="D43" i="4"/>
  <c r="D44" i="4"/>
  <c r="D43" i="3"/>
  <c r="D44" i="3"/>
  <c r="D44" i="2"/>
  <c r="D43" i="2"/>
  <c r="D16" i="1"/>
  <c r="C16" i="1"/>
  <c r="D15" i="1"/>
  <c r="C15" i="1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1" i="12"/>
  <c r="I50" i="12"/>
  <c r="G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G37" i="12"/>
  <c r="I36" i="12"/>
  <c r="G36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1" i="11"/>
  <c r="I50" i="11"/>
  <c r="G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G37" i="11"/>
  <c r="I36" i="11"/>
  <c r="G36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1" i="10"/>
  <c r="I50" i="10"/>
  <c r="G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G37" i="10"/>
  <c r="I36" i="10"/>
  <c r="G36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1" i="9"/>
  <c r="I50" i="9"/>
  <c r="G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G37" i="9"/>
  <c r="I36" i="9"/>
  <c r="G36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1" i="8"/>
  <c r="I50" i="8"/>
  <c r="G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G37" i="8"/>
  <c r="I36" i="8"/>
  <c r="G36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4" i="7"/>
  <c r="I51" i="7"/>
  <c r="I50" i="7"/>
  <c r="G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G37" i="7"/>
  <c r="I36" i="7"/>
  <c r="G36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8" i="6"/>
  <c r="I51" i="6"/>
  <c r="I50" i="6"/>
  <c r="G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G37" i="6"/>
  <c r="I36" i="6"/>
  <c r="G36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1" i="5"/>
  <c r="I51" i="5"/>
  <c r="I50" i="5"/>
  <c r="G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G37" i="5"/>
  <c r="I36" i="5"/>
  <c r="G36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87" i="4"/>
  <c r="I86" i="4"/>
  <c r="I85" i="4"/>
  <c r="I84" i="4"/>
  <c r="I83" i="4"/>
  <c r="I92" i="4"/>
  <c r="I91" i="4"/>
  <c r="I90" i="4"/>
  <c r="I89" i="4"/>
  <c r="I88" i="4"/>
  <c r="I82" i="4"/>
  <c r="I81" i="4"/>
  <c r="I77" i="4"/>
  <c r="I69" i="4"/>
  <c r="I68" i="4"/>
  <c r="I79" i="4"/>
  <c r="I78" i="4"/>
  <c r="I75" i="4"/>
  <c r="I74" i="4"/>
  <c r="I70" i="4"/>
  <c r="I66" i="4"/>
  <c r="I76" i="4"/>
  <c r="I73" i="4"/>
  <c r="I72" i="4"/>
  <c r="I71" i="4"/>
  <c r="I67" i="4"/>
  <c r="I60" i="4"/>
  <c r="I52" i="4"/>
  <c r="I51" i="4"/>
  <c r="I50" i="4"/>
  <c r="I49" i="4"/>
  <c r="I48" i="4"/>
  <c r="I46" i="4"/>
  <c r="I45" i="4"/>
  <c r="I44" i="4"/>
  <c r="I43" i="4"/>
  <c r="I42" i="4"/>
  <c r="I41" i="4"/>
  <c r="I40" i="4"/>
  <c r="I39" i="4"/>
  <c r="I38" i="4"/>
  <c r="I37" i="4"/>
  <c r="I36" i="4"/>
  <c r="G36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47" i="3"/>
  <c r="I134" i="3"/>
  <c r="I133" i="3"/>
  <c r="I132" i="3"/>
  <c r="I131" i="3"/>
  <c r="I119" i="3"/>
  <c r="I154" i="3"/>
  <c r="I150" i="3"/>
  <c r="I125" i="3"/>
  <c r="I110" i="3"/>
  <c r="I111" i="3"/>
  <c r="I118" i="3"/>
  <c r="I117" i="3"/>
  <c r="I122" i="3"/>
  <c r="I121" i="3"/>
  <c r="I120" i="3"/>
  <c r="I123" i="3"/>
  <c r="I130" i="3"/>
  <c r="I129" i="3"/>
  <c r="I128" i="3"/>
  <c r="I127" i="3"/>
  <c r="I136" i="3"/>
  <c r="I143" i="3"/>
  <c r="I148" i="3"/>
  <c r="I152" i="3"/>
  <c r="I151" i="3"/>
  <c r="I105" i="3"/>
  <c r="I90" i="3"/>
  <c r="I89" i="3"/>
  <c r="I108" i="3"/>
  <c r="I104" i="3"/>
  <c r="I102" i="3"/>
  <c r="I101" i="3"/>
  <c r="I88" i="3"/>
  <c r="I87" i="3"/>
  <c r="I83" i="3"/>
  <c r="I82" i="3"/>
  <c r="I79" i="3"/>
  <c r="I78" i="3"/>
  <c r="I70" i="3"/>
  <c r="I81" i="3"/>
  <c r="I114" i="3"/>
  <c r="I113" i="3"/>
  <c r="I112" i="3"/>
  <c r="I109" i="3"/>
  <c r="I107" i="3"/>
  <c r="I100" i="3"/>
  <c r="I99" i="3"/>
  <c r="I98" i="3"/>
  <c r="I93" i="3"/>
  <c r="I86" i="3"/>
  <c r="I85" i="3"/>
  <c r="I84" i="3"/>
  <c r="I80" i="3"/>
  <c r="I75" i="3"/>
  <c r="I73" i="3"/>
  <c r="I69" i="3"/>
  <c r="I77" i="3"/>
  <c r="I92" i="3"/>
  <c r="I91" i="3"/>
  <c r="I106" i="3"/>
  <c r="I74" i="3"/>
  <c r="I76" i="3"/>
  <c r="I68" i="3"/>
  <c r="I67" i="3"/>
  <c r="I66" i="3"/>
  <c r="I61" i="3"/>
  <c r="I60" i="3"/>
  <c r="I52" i="3"/>
  <c r="I51" i="3"/>
  <c r="G51" i="3"/>
  <c r="I50" i="3"/>
  <c r="I49" i="3"/>
  <c r="I48" i="3"/>
  <c r="I46" i="3"/>
  <c r="I45" i="3"/>
  <c r="I44" i="3"/>
  <c r="I43" i="3"/>
  <c r="I42" i="3"/>
  <c r="I41" i="3"/>
  <c r="I40" i="3"/>
  <c r="I39" i="3"/>
  <c r="I38" i="3"/>
  <c r="I37" i="3"/>
  <c r="I36" i="3"/>
  <c r="G36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116" i="2"/>
  <c r="I110" i="2"/>
  <c r="I109" i="2"/>
  <c r="I100" i="2"/>
  <c r="I115" i="2"/>
  <c r="I114" i="2"/>
  <c r="I113" i="2"/>
  <c r="I112" i="2"/>
  <c r="I123" i="2"/>
  <c r="I129" i="2"/>
  <c r="I128" i="2"/>
  <c r="I127" i="2"/>
  <c r="I126" i="2"/>
  <c r="I132" i="2"/>
  <c r="I154" i="2"/>
  <c r="I153" i="2"/>
  <c r="I152" i="2"/>
  <c r="I151" i="2"/>
  <c r="I150" i="2"/>
  <c r="I149" i="2"/>
  <c r="I162" i="2"/>
  <c r="I161" i="2"/>
  <c r="I160" i="2"/>
  <c r="I159" i="2"/>
  <c r="I171" i="2"/>
  <c r="I170" i="2"/>
  <c r="I169" i="2"/>
  <c r="I168" i="2"/>
  <c r="I167" i="2"/>
  <c r="I180" i="2"/>
  <c r="I179" i="2"/>
  <c r="I211" i="2"/>
  <c r="I210" i="2"/>
  <c r="I209" i="2"/>
  <c r="I208" i="2"/>
  <c r="I207" i="2"/>
  <c r="I219" i="2"/>
  <c r="I218" i="2"/>
  <c r="I217" i="2"/>
  <c r="I216" i="2"/>
  <c r="I225" i="2"/>
  <c r="I224" i="2"/>
  <c r="I223" i="2"/>
  <c r="I200" i="2"/>
  <c r="I199" i="2"/>
  <c r="I198" i="2"/>
  <c r="I103" i="2"/>
  <c r="I99" i="2"/>
  <c r="I98" i="2"/>
  <c r="I97" i="2"/>
  <c r="I96" i="2"/>
  <c r="I91" i="2"/>
  <c r="I90" i="2"/>
  <c r="I84" i="2"/>
  <c r="I83" i="2"/>
  <c r="I197" i="2"/>
  <c r="I196" i="2"/>
  <c r="I195" i="2"/>
  <c r="I194" i="2"/>
  <c r="I193" i="2"/>
  <c r="I192" i="2"/>
  <c r="I191" i="2"/>
  <c r="I190" i="2"/>
  <c r="I189" i="2"/>
  <c r="I188" i="2"/>
  <c r="I187" i="2"/>
  <c r="I184" i="2"/>
  <c r="I178" i="2"/>
  <c r="I177" i="2"/>
  <c r="I176" i="2"/>
  <c r="I158" i="2"/>
  <c r="I232" i="2"/>
  <c r="I231" i="2"/>
  <c r="I230" i="2"/>
  <c r="I229" i="2"/>
  <c r="I228" i="2"/>
  <c r="I222" i="2"/>
  <c r="I215" i="2"/>
  <c r="I214" i="2"/>
  <c r="I213" i="2"/>
  <c r="I212" i="2"/>
  <c r="I206" i="2"/>
  <c r="I205" i="2"/>
  <c r="I204" i="2"/>
  <c r="I203" i="2"/>
  <c r="I183" i="2"/>
  <c r="I175" i="2"/>
  <c r="I174" i="2"/>
  <c r="I173" i="2"/>
  <c r="I172" i="2"/>
  <c r="I166" i="2"/>
  <c r="I165" i="2"/>
  <c r="I157" i="2"/>
  <c r="I156" i="2"/>
  <c r="I155" i="2"/>
  <c r="I147" i="2"/>
  <c r="I146" i="2"/>
  <c r="I145" i="2"/>
  <c r="I144" i="2"/>
  <c r="I143" i="2"/>
  <c r="I142" i="2"/>
  <c r="I141" i="2"/>
  <c r="I139" i="2"/>
  <c r="I138" i="2"/>
  <c r="I137" i="2"/>
  <c r="I136" i="2"/>
  <c r="I135" i="2"/>
  <c r="I131" i="2"/>
  <c r="I125" i="2"/>
  <c r="I124" i="2"/>
  <c r="I122" i="2"/>
  <c r="I121" i="2"/>
  <c r="I119" i="2"/>
  <c r="I118" i="2"/>
  <c r="I117" i="2"/>
  <c r="I111" i="2"/>
  <c r="I108" i="2"/>
  <c r="I107" i="2"/>
  <c r="I106" i="2"/>
  <c r="I105" i="2"/>
  <c r="I104" i="2"/>
  <c r="I102" i="2"/>
  <c r="I101" i="2"/>
  <c r="I95" i="2"/>
  <c r="I94" i="2"/>
  <c r="I93" i="2"/>
  <c r="I92" i="2"/>
  <c r="I89" i="2"/>
  <c r="I88" i="2"/>
  <c r="I87" i="2"/>
  <c r="I86" i="2"/>
  <c r="I78" i="2"/>
  <c r="I85" i="2"/>
  <c r="I82" i="2"/>
  <c r="I81" i="2"/>
  <c r="I77" i="2"/>
  <c r="I76" i="2"/>
  <c r="I75" i="2"/>
  <c r="I74" i="2"/>
  <c r="I73" i="2"/>
  <c r="I72" i="2"/>
  <c r="I80" i="2"/>
  <c r="I71" i="2"/>
  <c r="I70" i="2"/>
  <c r="I69" i="2"/>
  <c r="I79" i="2"/>
  <c r="I68" i="2"/>
  <c r="I59" i="2"/>
  <c r="I58" i="2"/>
  <c r="I51" i="2"/>
  <c r="I50" i="2"/>
  <c r="G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G35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14" i="1"/>
  <c r="I213" i="1"/>
  <c r="I212" i="1"/>
  <c r="I211" i="1"/>
  <c r="I219" i="1"/>
  <c r="I218" i="1"/>
  <c r="I217" i="1"/>
  <c r="I210" i="1"/>
  <c r="I209" i="1"/>
  <c r="I207" i="1"/>
  <c r="I206" i="1"/>
  <c r="I205" i="1"/>
  <c r="I204" i="1"/>
  <c r="I203" i="1"/>
  <c r="I200" i="1"/>
  <c r="I199" i="1"/>
  <c r="I198" i="1"/>
  <c r="I197" i="1"/>
  <c r="I202" i="1"/>
  <c r="I194" i="1"/>
  <c r="I193" i="1"/>
  <c r="I192" i="1"/>
  <c r="I191" i="1"/>
  <c r="I190" i="1"/>
  <c r="I189" i="1"/>
  <c r="I169" i="1"/>
  <c r="I168" i="1"/>
  <c r="I167" i="1"/>
  <c r="I174" i="1"/>
  <c r="I173" i="1"/>
  <c r="I172" i="1"/>
  <c r="I180" i="1"/>
  <c r="I179" i="1"/>
  <c r="I178" i="1"/>
  <c r="I177" i="1"/>
  <c r="I188" i="1"/>
  <c r="I187" i="1"/>
  <c r="I144" i="1"/>
  <c r="I158" i="1"/>
  <c r="I157" i="1"/>
  <c r="I156" i="1"/>
  <c r="I155" i="1"/>
  <c r="I154" i="1"/>
  <c r="I153" i="1"/>
  <c r="I152" i="1"/>
  <c r="I151" i="1"/>
  <c r="I165" i="1"/>
  <c r="I164" i="1"/>
  <c r="I136" i="1"/>
  <c r="I135" i="1"/>
  <c r="I134" i="1"/>
  <c r="I140" i="1"/>
  <c r="I143" i="1"/>
  <c r="I176" i="1"/>
  <c r="I175" i="1"/>
  <c r="I171" i="1"/>
  <c r="I161" i="1"/>
  <c r="I150" i="1"/>
  <c r="I149" i="1"/>
  <c r="I139" i="1"/>
  <c r="I186" i="1"/>
  <c r="I185" i="1"/>
  <c r="I183" i="1"/>
  <c r="I166" i="1"/>
  <c r="I160" i="1"/>
  <c r="I163" i="1"/>
  <c r="I159" i="1"/>
  <c r="I162" i="1"/>
  <c r="I148" i="1"/>
  <c r="I147" i="1"/>
  <c r="I146" i="1"/>
  <c r="I145" i="1"/>
  <c r="I142" i="1"/>
  <c r="I141" i="1"/>
  <c r="I138" i="1"/>
  <c r="I137" i="1"/>
  <c r="I133" i="1"/>
  <c r="I131" i="1"/>
  <c r="I130" i="1"/>
  <c r="I129" i="1"/>
  <c r="I99" i="1"/>
  <c r="I122" i="1"/>
  <c r="I121" i="1"/>
  <c r="I128" i="1"/>
  <c r="I132" i="1"/>
  <c r="I127" i="1"/>
  <c r="I126" i="1"/>
  <c r="I125" i="1"/>
  <c r="I115" i="1"/>
  <c r="I114" i="1"/>
  <c r="I109" i="1"/>
  <c r="I108" i="1"/>
  <c r="I107" i="1"/>
  <c r="I94" i="1"/>
  <c r="I93" i="1"/>
  <c r="I92" i="1"/>
  <c r="I91" i="1"/>
  <c r="I90" i="1"/>
  <c r="I89" i="1"/>
  <c r="I88" i="1"/>
  <c r="I85" i="1"/>
  <c r="I84" i="1"/>
  <c r="I124" i="1"/>
  <c r="I123" i="1"/>
  <c r="I119" i="1"/>
  <c r="I118" i="1"/>
  <c r="I117" i="1"/>
  <c r="I116" i="1"/>
  <c r="I113" i="1"/>
  <c r="I112" i="1"/>
  <c r="I111" i="1"/>
  <c r="I110" i="1"/>
  <c r="I106" i="1"/>
  <c r="I105" i="1"/>
  <c r="I104" i="1"/>
  <c r="I103" i="1"/>
  <c r="I98" i="1"/>
  <c r="I97" i="1"/>
  <c r="I96" i="1"/>
  <c r="I87" i="1"/>
  <c r="I86" i="1"/>
  <c r="I102" i="1"/>
  <c r="I101" i="1"/>
  <c r="I100" i="1"/>
  <c r="I95" i="1"/>
  <c r="I70" i="1"/>
  <c r="I69" i="1"/>
  <c r="I68" i="1"/>
  <c r="I83" i="1"/>
  <c r="I82" i="1"/>
  <c r="I81" i="1"/>
  <c r="I80" i="1"/>
  <c r="I79" i="1"/>
  <c r="I78" i="1"/>
  <c r="I77" i="1"/>
  <c r="I76" i="1"/>
  <c r="I75" i="1"/>
  <c r="I74" i="1"/>
  <c r="I73" i="1"/>
  <c r="I59" i="1"/>
  <c r="I58" i="1"/>
  <c r="I57" i="1"/>
  <c r="I54" i="1"/>
  <c r="I52" i="1"/>
  <c r="I51" i="1"/>
  <c r="G51" i="1"/>
  <c r="I50" i="1"/>
  <c r="I49" i="1"/>
  <c r="I48" i="1"/>
  <c r="I47" i="1"/>
  <c r="I45" i="1"/>
  <c r="I44" i="1"/>
  <c r="I43" i="1"/>
  <c r="I42" i="1"/>
  <c r="I41" i="1"/>
  <c r="I40" i="1"/>
  <c r="I39" i="1"/>
  <c r="I38" i="1"/>
  <c r="I37" i="1"/>
  <c r="I36" i="1"/>
  <c r="G36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P19" i="23" a="1"/>
  <c r="AF35" i="23" s="1"/>
  <c r="AQ9" i="23"/>
  <c r="Y8" i="23"/>
  <c r="R8" i="32"/>
  <c r="P19" i="32" a="1"/>
  <c r="AN37" i="32" s="1"/>
  <c r="AP12" i="32"/>
  <c r="V12" i="32"/>
  <c r="AG11" i="32"/>
  <c r="Z9" i="32"/>
  <c r="AC10" i="32"/>
  <c r="AR11" i="32"/>
  <c r="AN9" i="32"/>
  <c r="T9" i="32"/>
  <c r="AI8" i="32"/>
  <c r="AU7" i="32"/>
  <c r="AA7" i="32"/>
  <c r="AQ6" i="32"/>
  <c r="S6" i="32"/>
  <c r="AR13" i="32"/>
  <c r="C2" i="9"/>
  <c r="C2" i="2"/>
  <c r="C2" i="7"/>
  <c r="C2" i="4"/>
  <c r="C2" i="1"/>
  <c r="C2" i="10"/>
  <c r="C2" i="11"/>
  <c r="D7" i="1"/>
  <c r="C3" i="1"/>
  <c r="C4" i="1"/>
  <c r="C2" i="12"/>
  <c r="C7" i="1"/>
  <c r="D9" i="1"/>
  <c r="C2" i="8"/>
  <c r="C11" i="1"/>
  <c r="C2" i="6"/>
  <c r="C2" i="5"/>
  <c r="D4" i="1"/>
  <c r="C8" i="1"/>
  <c r="C2" i="3"/>
  <c r="D12" i="1"/>
  <c r="D11" i="1"/>
  <c r="AD23" i="32" l="1"/>
  <c r="AS29" i="32"/>
  <c r="AB22" i="32"/>
  <c r="AF36" i="32"/>
  <c r="T20" i="32"/>
  <c r="AO20" i="32"/>
  <c r="AI21" i="32"/>
  <c r="AR28" i="32"/>
  <c r="AF32" i="32"/>
  <c r="S29" i="32"/>
  <c r="AP23" i="32"/>
  <c r="AC24" i="32"/>
  <c r="T25" i="32"/>
  <c r="AO25" i="32"/>
  <c r="AI26" i="32"/>
  <c r="AC27" i="32"/>
  <c r="W28" i="32"/>
  <c r="AI29" i="32"/>
  <c r="V30" i="32"/>
  <c r="AV30" i="32"/>
  <c r="AK31" i="32"/>
  <c r="AE32" i="32"/>
  <c r="X33" i="32"/>
  <c r="AS33" i="32"/>
  <c r="AJ34" i="32"/>
  <c r="X35" i="32"/>
  <c r="R36" i="32"/>
  <c r="AR36" i="32"/>
  <c r="AG37" i="32"/>
  <c r="AC22" i="32"/>
  <c r="U20" i="32"/>
  <c r="AP20" i="32"/>
  <c r="AJ21" i="32"/>
  <c r="Q23" i="32"/>
  <c r="AQ23" i="32"/>
  <c r="AD24" i="32"/>
  <c r="U25" i="32"/>
  <c r="AP25" i="32"/>
  <c r="AJ26" i="32"/>
  <c r="AD27" i="32"/>
  <c r="X28" i="32"/>
  <c r="AS28" i="32"/>
  <c r="AJ29" i="32"/>
  <c r="W30" i="32"/>
  <c r="Q31" i="32"/>
  <c r="AQ31" i="32"/>
  <c r="Y33" i="32"/>
  <c r="AT33" i="32"/>
  <c r="AK34" i="32"/>
  <c r="AD35" i="32"/>
  <c r="S36" i="32"/>
  <c r="AS36" i="32"/>
  <c r="AH37" i="32"/>
  <c r="V20" i="32"/>
  <c r="AQ20" i="32"/>
  <c r="AK21" i="32"/>
  <c r="AD22" i="32"/>
  <c r="R23" i="32"/>
  <c r="AR23" i="32"/>
  <c r="AJ24" i="32"/>
  <c r="V25" i="32"/>
  <c r="AQ25" i="32"/>
  <c r="AK26" i="32"/>
  <c r="AE27" i="32"/>
  <c r="Y28" i="32"/>
  <c r="AT28" i="32"/>
  <c r="AK29" i="32"/>
  <c r="X30" i="32"/>
  <c r="R31" i="32"/>
  <c r="AR31" i="32"/>
  <c r="AG32" i="32"/>
  <c r="Z33" i="32"/>
  <c r="AU33" i="32"/>
  <c r="AL34" i="32"/>
  <c r="AE35" i="32"/>
  <c r="T36" i="32"/>
  <c r="AT36" i="32"/>
  <c r="AI37" i="32"/>
  <c r="W20" i="32"/>
  <c r="Q21" i="32"/>
  <c r="AL21" i="32"/>
  <c r="AE22" i="32"/>
  <c r="X23" i="32"/>
  <c r="AS23" i="32"/>
  <c r="AK24" i="32"/>
  <c r="W25" i="32"/>
  <c r="Q26" i="32"/>
  <c r="AL26" i="32"/>
  <c r="AF27" i="32"/>
  <c r="Z28" i="32"/>
  <c r="AU28" i="32"/>
  <c r="AL29" i="32"/>
  <c r="Y30" i="32"/>
  <c r="S31" i="32"/>
  <c r="AS31" i="32"/>
  <c r="AM32" i="32"/>
  <c r="AA33" i="32"/>
  <c r="R34" i="32"/>
  <c r="AM34" i="32"/>
  <c r="AF35" i="32"/>
  <c r="U36" i="32"/>
  <c r="AU36" i="32"/>
  <c r="AO37" i="32"/>
  <c r="AH27" i="32"/>
  <c r="AB36" i="32"/>
  <c r="AQ24" i="32"/>
  <c r="AJ30" i="32"/>
  <c r="AU37" i="32"/>
  <c r="R22" i="32"/>
  <c r="AR27" i="32"/>
  <c r="Y32" i="32"/>
  <c r="AM35" i="32"/>
  <c r="X20" i="32"/>
  <c r="R21" i="32"/>
  <c r="AM21" i="32"/>
  <c r="AF22" i="32"/>
  <c r="Y23" i="32"/>
  <c r="AT23" i="32"/>
  <c r="AL24" i="32"/>
  <c r="X25" i="32"/>
  <c r="R26" i="32"/>
  <c r="AM26" i="32"/>
  <c r="AG27" i="32"/>
  <c r="AA28" i="32"/>
  <c r="AV28" i="32"/>
  <c r="AM29" i="32"/>
  <c r="AE30" i="32"/>
  <c r="T31" i="32"/>
  <c r="AT31" i="32"/>
  <c r="AN32" i="32"/>
  <c r="AB33" i="32"/>
  <c r="S34" i="32"/>
  <c r="AN34" i="32"/>
  <c r="AG35" i="32"/>
  <c r="AA36" i="32"/>
  <c r="AV36" i="32"/>
  <c r="AP37" i="32"/>
  <c r="Y25" i="32"/>
  <c r="Z20" i="32"/>
  <c r="T21" i="32"/>
  <c r="AT21" i="32"/>
  <c r="AH22" i="32"/>
  <c r="AA23" i="32"/>
  <c r="AV23" i="32"/>
  <c r="AN24" i="32"/>
  <c r="Z25" i="32"/>
  <c r="T26" i="32"/>
  <c r="AT26" i="32"/>
  <c r="AI27" i="32"/>
  <c r="AC28" i="32"/>
  <c r="T29" i="32"/>
  <c r="AO29" i="32"/>
  <c r="AG30" i="32"/>
  <c r="AA31" i="32"/>
  <c r="AV31" i="32"/>
  <c r="AP32" i="32"/>
  <c r="AD33" i="32"/>
  <c r="U34" i="32"/>
  <c r="AP34" i="32"/>
  <c r="AI35" i="32"/>
  <c r="AC36" i="32"/>
  <c r="R37" i="32"/>
  <c r="AR37" i="32"/>
  <c r="S21" i="32"/>
  <c r="AU23" i="32"/>
  <c r="AS26" i="32"/>
  <c r="AN29" i="32"/>
  <c r="U31" i="32"/>
  <c r="AO32" i="32"/>
  <c r="AC33" i="32"/>
  <c r="AO34" i="32"/>
  <c r="AH35" i="32"/>
  <c r="AQ37" i="32"/>
  <c r="AA20" i="32"/>
  <c r="U21" i="32"/>
  <c r="AU21" i="32"/>
  <c r="AI22" i="32"/>
  <c r="AB23" i="32"/>
  <c r="T24" i="32"/>
  <c r="AO24" i="32"/>
  <c r="AA25" i="32"/>
  <c r="U26" i="32"/>
  <c r="AU26" i="32"/>
  <c r="AJ27" i="32"/>
  <c r="AD28" i="32"/>
  <c r="U29" i="32"/>
  <c r="AP29" i="32"/>
  <c r="AH30" i="32"/>
  <c r="AB31" i="32"/>
  <c r="Q32" i="32"/>
  <c r="AQ32" i="32"/>
  <c r="AE33" i="32"/>
  <c r="V34" i="32"/>
  <c r="AQ34" i="32"/>
  <c r="AJ35" i="32"/>
  <c r="AD36" i="32"/>
  <c r="S37" i="32"/>
  <c r="AS37" i="32"/>
  <c r="AG20" i="32"/>
  <c r="V21" i="32"/>
  <c r="AV21" i="32"/>
  <c r="AJ22" i="32"/>
  <c r="AC23" i="32"/>
  <c r="U24" i="32"/>
  <c r="AP24" i="32"/>
  <c r="AG25" i="32"/>
  <c r="V26" i="32"/>
  <c r="AV26" i="32"/>
  <c r="AK27" i="32"/>
  <c r="AE28" i="32"/>
  <c r="V29" i="32"/>
  <c r="AQ29" i="32"/>
  <c r="AI30" i="32"/>
  <c r="AC31" i="32"/>
  <c r="W32" i="32"/>
  <c r="AR32" i="32"/>
  <c r="AK33" i="32"/>
  <c r="W34" i="32"/>
  <c r="AR34" i="32"/>
  <c r="AK35" i="32"/>
  <c r="AE36" i="32"/>
  <c r="Y37" i="32"/>
  <c r="AT37" i="32"/>
  <c r="Y20" i="32"/>
  <c r="AS21" i="32"/>
  <c r="Z23" i="32"/>
  <c r="AM24" i="32"/>
  <c r="S26" i="32"/>
  <c r="AB28" i="32"/>
  <c r="AF30" i="32"/>
  <c r="AU31" i="32"/>
  <c r="T34" i="32"/>
  <c r="Q37" i="32"/>
  <c r="AK22" i="32"/>
  <c r="W26" i="32"/>
  <c r="W29" i="32"/>
  <c r="AD31" i="32"/>
  <c r="AS32" i="32"/>
  <c r="AL33" i="32"/>
  <c r="Z37" i="32"/>
  <c r="AG22" i="32"/>
  <c r="AH20" i="32"/>
  <c r="Q22" i="32"/>
  <c r="V24" i="32"/>
  <c r="AH25" i="32"/>
  <c r="Q27" i="32"/>
  <c r="AQ27" i="32"/>
  <c r="AR29" i="32"/>
  <c r="X32" i="32"/>
  <c r="AL35" i="32"/>
  <c r="AQ22" i="32"/>
  <c r="AI25" i="32"/>
  <c r="X29" i="32"/>
  <c r="AT32" i="32"/>
  <c r="AA37" i="32"/>
  <c r="AJ20" i="32"/>
  <c r="AD21" i="32"/>
  <c r="S22" i="32"/>
  <c r="AR22" i="32"/>
  <c r="AF23" i="32"/>
  <c r="X24" i="32"/>
  <c r="AS24" i="32"/>
  <c r="AJ25" i="32"/>
  <c r="AD26" i="32"/>
  <c r="S27" i="32"/>
  <c r="AS27" i="32"/>
  <c r="AM28" i="32"/>
  <c r="Y29" i="32"/>
  <c r="Q30" i="32"/>
  <c r="AL30" i="32"/>
  <c r="AF31" i="32"/>
  <c r="Z32" i="32"/>
  <c r="AU32" i="32"/>
  <c r="AN33" i="32"/>
  <c r="Z34" i="32"/>
  <c r="S35" i="32"/>
  <c r="AN35" i="32"/>
  <c r="AH36" i="32"/>
  <c r="AB37" i="32"/>
  <c r="AK20" i="32"/>
  <c r="AE21" i="32"/>
  <c r="T22" i="32"/>
  <c r="AS22" i="32"/>
  <c r="AG23" i="32"/>
  <c r="Y24" i="32"/>
  <c r="AT24" i="32"/>
  <c r="AK25" i="32"/>
  <c r="AE26" i="32"/>
  <c r="T27" i="32"/>
  <c r="AT27" i="32"/>
  <c r="AN28" i="32"/>
  <c r="Z29" i="32"/>
  <c r="R30" i="32"/>
  <c r="AM30" i="32"/>
  <c r="AG31" i="32"/>
  <c r="AA32" i="32"/>
  <c r="AV32" i="32"/>
  <c r="AO33" i="32"/>
  <c r="AA34" i="32"/>
  <c r="T35" i="32"/>
  <c r="AT35" i="32"/>
  <c r="AI36" i="32"/>
  <c r="AC37" i="32"/>
  <c r="W21" i="32"/>
  <c r="AF28" i="32"/>
  <c r="X34" i="32"/>
  <c r="AI20" i="32"/>
  <c r="AC21" i="32"/>
  <c r="AE23" i="32"/>
  <c r="W24" i="32"/>
  <c r="AR24" i="32"/>
  <c r="AC26" i="32"/>
  <c r="R27" i="32"/>
  <c r="AG28" i="32"/>
  <c r="AK30" i="32"/>
  <c r="AE31" i="32"/>
  <c r="AM33" i="32"/>
  <c r="Y34" i="32"/>
  <c r="R35" i="32"/>
  <c r="AG36" i="32"/>
  <c r="AV37" i="32"/>
  <c r="Q20" i="32"/>
  <c r="AL20" i="32"/>
  <c r="AF21" i="32"/>
  <c r="U22" i="32"/>
  <c r="AT22" i="32"/>
  <c r="AH23" i="32"/>
  <c r="Z24" i="32"/>
  <c r="Q25" i="32"/>
  <c r="AL25" i="32"/>
  <c r="AF26" i="32"/>
  <c r="U27" i="32"/>
  <c r="AU27" i="32"/>
  <c r="AO28" i="32"/>
  <c r="AA29" i="32"/>
  <c r="S30" i="32"/>
  <c r="AN30" i="32"/>
  <c r="AH31" i="32"/>
  <c r="AB32" i="32"/>
  <c r="U33" i="32"/>
  <c r="AP33" i="32"/>
  <c r="AB34" i="32"/>
  <c r="U35" i="32"/>
  <c r="AU35" i="32"/>
  <c r="AJ36" i="32"/>
  <c r="AD37" i="32"/>
  <c r="Q35" i="32"/>
  <c r="R20" i="32"/>
  <c r="AM20" i="32"/>
  <c r="AG21" i="32"/>
  <c r="V22" i="32"/>
  <c r="AU22" i="32"/>
  <c r="AN23" i="32"/>
  <c r="AA24" i="32"/>
  <c r="R25" i="32"/>
  <c r="AM25" i="32"/>
  <c r="AG26" i="32"/>
  <c r="AA27" i="32"/>
  <c r="AV27" i="32"/>
  <c r="AP28" i="32"/>
  <c r="AB29" i="32"/>
  <c r="T30" i="32"/>
  <c r="AO30" i="32"/>
  <c r="AI31" i="32"/>
  <c r="AC32" i="32"/>
  <c r="V33" i="32"/>
  <c r="AQ33" i="32"/>
  <c r="AH34" i="32"/>
  <c r="V35" i="32"/>
  <c r="AV35" i="32"/>
  <c r="AK36" i="32"/>
  <c r="AE37" i="32"/>
  <c r="S20" i="32"/>
  <c r="AN20" i="32"/>
  <c r="AH21" i="32"/>
  <c r="AA22" i="32"/>
  <c r="AV22" i="32"/>
  <c r="AO23" i="32"/>
  <c r="AB24" i="32"/>
  <c r="S25" i="32"/>
  <c r="AN25" i="32"/>
  <c r="AH26" i="32"/>
  <c r="AB27" i="32"/>
  <c r="Q28" i="32"/>
  <c r="AQ28" i="32"/>
  <c r="AC29" i="32"/>
  <c r="U30" i="32"/>
  <c r="AU30" i="32"/>
  <c r="AJ31" i="32"/>
  <c r="AD32" i="32"/>
  <c r="W33" i="32"/>
  <c r="AR33" i="32"/>
  <c r="AI34" i="32"/>
  <c r="W35" i="32"/>
  <c r="Q36" i="32"/>
  <c r="AQ36" i="32"/>
  <c r="AF37" i="32"/>
  <c r="V25" i="23"/>
  <c r="X34" i="23"/>
  <c r="W20" i="23"/>
  <c r="AB22" i="23"/>
  <c r="AG24" i="23"/>
  <c r="T27" i="23"/>
  <c r="U30" i="23"/>
  <c r="W33" i="23"/>
  <c r="AI35" i="23"/>
  <c r="AG20" i="23"/>
  <c r="AC22" i="23"/>
  <c r="Q25" i="23"/>
  <c r="W27" i="23"/>
  <c r="X30" i="23"/>
  <c r="X33" i="23"/>
  <c r="Q36" i="23"/>
  <c r="AH20" i="23"/>
  <c r="AD22" i="23"/>
  <c r="S25" i="23"/>
  <c r="X27" i="23"/>
  <c r="Y30" i="23"/>
  <c r="Y33" i="23"/>
  <c r="W36" i="23"/>
  <c r="AK20" i="23"/>
  <c r="AE22" i="23"/>
  <c r="T25" i="23"/>
  <c r="AS27" i="23"/>
  <c r="Z30" i="23"/>
  <c r="Z33" i="23"/>
  <c r="AA36" i="23"/>
  <c r="U25" i="23"/>
  <c r="AU30" i="23"/>
  <c r="AB36" i="23"/>
  <c r="Q23" i="23"/>
  <c r="W31" i="23"/>
  <c r="AC36" i="23"/>
  <c r="X31" i="23"/>
  <c r="AC21" i="23"/>
  <c r="Q24" i="23"/>
  <c r="V26" i="23"/>
  <c r="U29" i="23"/>
  <c r="T32" i="23"/>
  <c r="R35" i="23"/>
  <c r="AH37" i="23"/>
  <c r="AF22" i="23"/>
  <c r="T21" i="23"/>
  <c r="AC25" i="23"/>
  <c r="AD36" i="23"/>
  <c r="AC31" i="23"/>
  <c r="AI21" i="23"/>
  <c r="U24" i="23"/>
  <c r="W26" i="23"/>
  <c r="V29" i="23"/>
  <c r="W32" i="23"/>
  <c r="T35" i="23"/>
  <c r="AI37" i="23"/>
  <c r="AJ21" i="23"/>
  <c r="AA24" i="23"/>
  <c r="AO26" i="23"/>
  <c r="W29" i="23"/>
  <c r="AC32" i="23"/>
  <c r="W35" i="23"/>
  <c r="AJ37" i="23"/>
  <c r="AL20" i="23"/>
  <c r="Y28" i="23"/>
  <c r="V21" i="23"/>
  <c r="AC23" i="23"/>
  <c r="Z28" i="23"/>
  <c r="AL36" i="23"/>
  <c r="W21" i="23"/>
  <c r="AS28" i="23"/>
  <c r="Z37" i="23"/>
  <c r="AD34" i="23"/>
  <c r="AU27" i="23"/>
  <c r="AA33" i="23"/>
  <c r="AM20" i="23"/>
  <c r="Q28" i="23"/>
  <c r="AV33" i="23"/>
  <c r="Z23" i="23"/>
  <c r="W34" i="23"/>
  <c r="AP25" i="23"/>
  <c r="AD23" i="23"/>
  <c r="R26" i="23"/>
  <c r="AT31" i="23"/>
  <c r="AC34" i="23"/>
  <c r="Y21" i="23"/>
  <c r="AE23" i="23"/>
  <c r="S26" i="23"/>
  <c r="S29" i="23"/>
  <c r="R32" i="23"/>
  <c r="AD37" i="23"/>
  <c r="Z21" i="23"/>
  <c r="AG23" i="23"/>
  <c r="T26" i="23"/>
  <c r="T29" i="23"/>
  <c r="S32" i="23"/>
  <c r="AE34" i="23"/>
  <c r="AE37" i="23"/>
  <c r="U20" i="23"/>
  <c r="U22" i="23"/>
  <c r="AC24" i="23"/>
  <c r="AS26" i="23"/>
  <c r="AR29" i="23"/>
  <c r="AQ32" i="23"/>
  <c r="AE35" i="23"/>
  <c r="V20" i="23"/>
  <c r="V22" i="23"/>
  <c r="AF24" i="23"/>
  <c r="R27" i="23"/>
  <c r="R30" i="23"/>
  <c r="Q33" i="23"/>
  <c r="D42" i="12"/>
  <c r="D46" i="12" s="1"/>
  <c r="D42" i="11"/>
  <c r="D46" i="11" s="1"/>
  <c r="D42" i="10"/>
  <c r="D46" i="10" s="1"/>
  <c r="D42" i="9"/>
  <c r="D46" i="9" s="1"/>
  <c r="D42" i="8"/>
  <c r="D46" i="8" s="1"/>
  <c r="D42" i="7"/>
  <c r="D46" i="7" s="1"/>
  <c r="D42" i="6"/>
  <c r="D46" i="6" s="1"/>
  <c r="D42" i="5"/>
  <c r="D46" i="5" s="1"/>
  <c r="D42" i="4"/>
  <c r="D46" i="4" s="1"/>
  <c r="D42" i="3"/>
  <c r="D46" i="3" s="1"/>
  <c r="D42" i="2"/>
  <c r="D46" i="2" s="1"/>
  <c r="D42" i="1"/>
  <c r="D44" i="1"/>
  <c r="D43" i="1"/>
  <c r="Y12" i="23"/>
  <c r="AK6" i="23"/>
  <c r="AV10" i="23"/>
  <c r="Z12" i="23"/>
  <c r="AB8" i="23"/>
  <c r="AC8" i="23"/>
  <c r="AM12" i="23"/>
  <c r="AK7" i="23"/>
  <c r="E68" i="23"/>
  <c r="AI8" i="23"/>
  <c r="R10" i="23"/>
  <c r="Q7" i="23"/>
  <c r="U7" i="23"/>
  <c r="AH12" i="23"/>
  <c r="AD8" i="23"/>
  <c r="Y13" i="23"/>
  <c r="AR9" i="23"/>
  <c r="R6" i="23"/>
  <c r="AV9" i="23"/>
  <c r="S6" i="23"/>
  <c r="U6" i="23"/>
  <c r="AE8" i="23"/>
  <c r="AD11" i="23"/>
  <c r="AL7" i="23"/>
  <c r="Q10" i="23"/>
  <c r="AH11" i="23"/>
  <c r="U13" i="23"/>
  <c r="AN7" i="23"/>
  <c r="Z6" i="23"/>
  <c r="AO7" i="23"/>
  <c r="S10" i="23"/>
  <c r="AJ11" i="23"/>
  <c r="AB6" i="23"/>
  <c r="AI10" i="23"/>
  <c r="AB13" i="23"/>
  <c r="AE6" i="23"/>
  <c r="AQ7" i="23"/>
  <c r="S9" i="23"/>
  <c r="AK10" i="23"/>
  <c r="AN11" i="23"/>
  <c r="AC13" i="23"/>
  <c r="AA8" i="23"/>
  <c r="AG12" i="23"/>
  <c r="V7" i="23"/>
  <c r="Z11" i="23"/>
  <c r="T6" i="23"/>
  <c r="AC11" i="23"/>
  <c r="V6" i="23"/>
  <c r="Y6" i="23"/>
  <c r="AI11" i="23"/>
  <c r="X13" i="23"/>
  <c r="AP7" i="23"/>
  <c r="Q9" i="23"/>
  <c r="AK11" i="23"/>
  <c r="AQ6" i="23"/>
  <c r="AR7" i="23"/>
  <c r="V9" i="23"/>
  <c r="AL10" i="23"/>
  <c r="AO11" i="23"/>
  <c r="AD13" i="23"/>
  <c r="AA9" i="23"/>
  <c r="AM13" i="23"/>
  <c r="AH7" i="23"/>
  <c r="AN12" i="23"/>
  <c r="AR6" i="23"/>
  <c r="X9" i="23"/>
  <c r="AM10" i="23"/>
  <c r="AE13" i="23"/>
  <c r="AN10" i="23"/>
  <c r="W8" i="23"/>
  <c r="AR10" i="23"/>
  <c r="W12" i="23"/>
  <c r="AT7" i="23"/>
  <c r="AS6" i="23"/>
  <c r="V12" i="23"/>
  <c r="AU6" i="23"/>
  <c r="AB9" i="23"/>
  <c r="E70" i="23"/>
  <c r="X8" i="23"/>
  <c r="AE9" i="23"/>
  <c r="AU10" i="23"/>
  <c r="X12" i="23"/>
  <c r="AN37" i="23"/>
  <c r="X37" i="23"/>
  <c r="AP36" i="23"/>
  <c r="Z36" i="23"/>
  <c r="AS35" i="23"/>
  <c r="AC35" i="23"/>
  <c r="AG34" i="23"/>
  <c r="Q34" i="23"/>
  <c r="AJ33" i="23"/>
  <c r="T33" i="23"/>
  <c r="AL32" i="23"/>
  <c r="V32" i="23"/>
  <c r="AP31" i="23"/>
  <c r="Z31" i="23"/>
  <c r="AT30" i="23"/>
  <c r="AD30" i="23"/>
  <c r="AH29" i="23"/>
  <c r="R29" i="23"/>
  <c r="AL28" i="23"/>
  <c r="V28" i="23"/>
  <c r="AP27" i="23"/>
  <c r="Z27" i="23"/>
  <c r="AR26" i="23"/>
  <c r="AB26" i="23"/>
  <c r="AV25" i="23"/>
  <c r="AF25" i="23"/>
  <c r="AI24" i="23"/>
  <c r="S24" i="23"/>
  <c r="AM23" i="23"/>
  <c r="W23" i="23"/>
  <c r="AP22" i="23"/>
  <c r="Z22" i="23"/>
  <c r="AR21" i="23"/>
  <c r="AB21" i="23"/>
  <c r="AV20" i="23"/>
  <c r="AF20" i="23"/>
  <c r="AM37" i="23"/>
  <c r="W37" i="23"/>
  <c r="AO36" i="23"/>
  <c r="Y36" i="23"/>
  <c r="AR35" i="23"/>
  <c r="AB35" i="23"/>
  <c r="AV34" i="23"/>
  <c r="AF34" i="23"/>
  <c r="AI33" i="23"/>
  <c r="S33" i="23"/>
  <c r="AK32" i="23"/>
  <c r="U32" i="23"/>
  <c r="AO31" i="23"/>
  <c r="Y31" i="23"/>
  <c r="AS30" i="23"/>
  <c r="AC30" i="23"/>
  <c r="AG29" i="23"/>
  <c r="Q29" i="23"/>
  <c r="AK28" i="23"/>
  <c r="U28" i="23"/>
  <c r="AO27" i="23"/>
  <c r="Y27" i="23"/>
  <c r="AQ26" i="23"/>
  <c r="AA26" i="23"/>
  <c r="AU25" i="23"/>
  <c r="AE25" i="23"/>
  <c r="AH24" i="23"/>
  <c r="R24" i="23"/>
  <c r="AL23" i="23"/>
  <c r="V23" i="23"/>
  <c r="AO22" i="23"/>
  <c r="Y22" i="23"/>
  <c r="AQ21" i="23"/>
  <c r="AA21" i="23"/>
  <c r="AU20" i="23"/>
  <c r="AE20" i="23"/>
  <c r="AG37" i="23"/>
  <c r="Q37" i="23"/>
  <c r="AI36" i="23"/>
  <c r="S36" i="23"/>
  <c r="AL35" i="23"/>
  <c r="V35" i="23"/>
  <c r="AP34" i="23"/>
  <c r="Z34" i="23"/>
  <c r="AS33" i="23"/>
  <c r="AC33" i="23"/>
  <c r="AU32" i="23"/>
  <c r="AE32" i="23"/>
  <c r="AI31" i="23"/>
  <c r="S31" i="23"/>
  <c r="AM30" i="23"/>
  <c r="W30" i="23"/>
  <c r="AQ29" i="23"/>
  <c r="AA29" i="23"/>
  <c r="AU28" i="23"/>
  <c r="AE28" i="23"/>
  <c r="AI27" i="23"/>
  <c r="S27" i="23"/>
  <c r="AK26" i="23"/>
  <c r="U26" i="23"/>
  <c r="AO25" i="23"/>
  <c r="Y25" i="23"/>
  <c r="AR24" i="23"/>
  <c r="AB24" i="23"/>
  <c r="AV23" i="23"/>
  <c r="AF23" i="23"/>
  <c r="AI22" i="23"/>
  <c r="S22" i="23"/>
  <c r="AK21" i="23"/>
  <c r="U21" i="23"/>
  <c r="AO20" i="23"/>
  <c r="Y20" i="23"/>
  <c r="AV37" i="23"/>
  <c r="AF37" i="23"/>
  <c r="AH36" i="23"/>
  <c r="R36" i="23"/>
  <c r="AK35" i="23"/>
  <c r="U35" i="23"/>
  <c r="AO34" i="23"/>
  <c r="Y34" i="23"/>
  <c r="AR33" i="23"/>
  <c r="AB33" i="23"/>
  <c r="AT32" i="23"/>
  <c r="AD32" i="23"/>
  <c r="AH31" i="23"/>
  <c r="R31" i="23"/>
  <c r="AL30" i="23"/>
  <c r="V30" i="23"/>
  <c r="AP29" i="23"/>
  <c r="Z29" i="23"/>
  <c r="AT28" i="23"/>
  <c r="AD28" i="23"/>
  <c r="AH27" i="23"/>
  <c r="AB37" i="23"/>
  <c r="AQ36" i="23"/>
  <c r="U36" i="23"/>
  <c r="AH35" i="23"/>
  <c r="AB34" i="23"/>
  <c r="AP33" i="23"/>
  <c r="V33" i="23"/>
  <c r="AH32" i="23"/>
  <c r="AV31" i="23"/>
  <c r="AB31" i="23"/>
  <c r="AP30" i="23"/>
  <c r="T30" i="23"/>
  <c r="AJ29" i="23"/>
  <c r="AB28" i="23"/>
  <c r="AR27" i="23"/>
  <c r="V27" i="23"/>
  <c r="AJ26" i="23"/>
  <c r="Q26" i="23"/>
  <c r="AH25" i="23"/>
  <c r="AE24" i="23"/>
  <c r="AU23" i="23"/>
  <c r="AB23" i="23"/>
  <c r="AS22" i="23"/>
  <c r="X22" i="23"/>
  <c r="AM21" i="23"/>
  <c r="S21" i="23"/>
  <c r="AJ20" i="23"/>
  <c r="Q20" i="23"/>
  <c r="AU37" i="23"/>
  <c r="AA37" i="23"/>
  <c r="AN36" i="23"/>
  <c r="T36" i="23"/>
  <c r="AG35" i="23"/>
  <c r="AU34" i="23"/>
  <c r="AA34" i="23"/>
  <c r="AO33" i="23"/>
  <c r="U33" i="23"/>
  <c r="AG32" i="23"/>
  <c r="AU31" i="23"/>
  <c r="AA31" i="23"/>
  <c r="AO30" i="23"/>
  <c r="S30" i="23"/>
  <c r="AI29" i="23"/>
  <c r="AA28" i="23"/>
  <c r="AQ27" i="23"/>
  <c r="U27" i="23"/>
  <c r="AI26" i="23"/>
  <c r="AG25" i="23"/>
  <c r="AD24" i="23"/>
  <c r="AT23" i="23"/>
  <c r="AA23" i="23"/>
  <c r="AR22" i="23"/>
  <c r="W22" i="23"/>
  <c r="AL21" i="23"/>
  <c r="R21" i="23"/>
  <c r="AI20" i="23"/>
  <c r="AR37" i="23"/>
  <c r="V37" i="23"/>
  <c r="AK36" i="23"/>
  <c r="AD35" i="23"/>
  <c r="AR34" i="23"/>
  <c r="V34" i="23"/>
  <c r="AL33" i="23"/>
  <c r="AB32" i="23"/>
  <c r="AR31" i="23"/>
  <c r="V31" i="23"/>
  <c r="AJ30" i="23"/>
  <c r="AD29" i="23"/>
  <c r="AR28" i="23"/>
  <c r="X28" i="23"/>
  <c r="AL27" i="23"/>
  <c r="Q27" i="23"/>
  <c r="AF26" i="23"/>
  <c r="AB25" i="23"/>
  <c r="AT24" i="23"/>
  <c r="Z24" i="23"/>
  <c r="AQ23" i="23"/>
  <c r="X23" i="23"/>
  <c r="AM22" i="23"/>
  <c r="T22" i="23"/>
  <c r="AH21" i="23"/>
  <c r="AD20" i="23"/>
  <c r="AQ37" i="23"/>
  <c r="U37" i="23"/>
  <c r="AJ36" i="23"/>
  <c r="AA35" i="23"/>
  <c r="AQ34" i="23"/>
  <c r="U34" i="23"/>
  <c r="AK33" i="23"/>
  <c r="AA32" i="23"/>
  <c r="AQ31" i="23"/>
  <c r="U31" i="23"/>
  <c r="AI30" i="23"/>
  <c r="AC29" i="23"/>
  <c r="AQ28" i="23"/>
  <c r="W28" i="23"/>
  <c r="AK27" i="23"/>
  <c r="AE26" i="23"/>
  <c r="AT25" i="23"/>
  <c r="AA25" i="23"/>
  <c r="AS24" i="23"/>
  <c r="Y24" i="23"/>
  <c r="AP23" i="23"/>
  <c r="U23" i="23"/>
  <c r="AL22" i="23"/>
  <c r="R22" i="23"/>
  <c r="AG21" i="23"/>
  <c r="AC20" i="23"/>
  <c r="AP37" i="23"/>
  <c r="T37" i="23"/>
  <c r="AG36" i="23"/>
  <c r="AV35" i="23"/>
  <c r="Z35" i="23"/>
  <c r="AN34" i="23"/>
  <c r="T34" i="23"/>
  <c r="AH33" i="23"/>
  <c r="Z32" i="23"/>
  <c r="AN31" i="23"/>
  <c r="T31" i="23"/>
  <c r="AH30" i="23"/>
  <c r="AV29" i="23"/>
  <c r="AB29" i="23"/>
  <c r="AP28" i="23"/>
  <c r="T28" i="23"/>
  <c r="AJ27" i="23"/>
  <c r="AD26" i="23"/>
  <c r="AS25" i="23"/>
  <c r="Z25" i="23"/>
  <c r="AQ24" i="23"/>
  <c r="X24" i="23"/>
  <c r="AO23" i="23"/>
  <c r="AK22" i="23"/>
  <c r="Q22" i="23"/>
  <c r="AF21" i="23"/>
  <c r="AB20" i="23"/>
  <c r="AV32" i="23"/>
  <c r="T23" i="23"/>
  <c r="AO37" i="23"/>
  <c r="S37" i="23"/>
  <c r="AF36" i="23"/>
  <c r="AU35" i="23"/>
  <c r="Y35" i="23"/>
  <c r="AM34" i="23"/>
  <c r="S34" i="23"/>
  <c r="AG33" i="23"/>
  <c r="AS32" i="23"/>
  <c r="Y32" i="23"/>
  <c r="AM31" i="23"/>
  <c r="Q31" i="23"/>
  <c r="AG30" i="23"/>
  <c r="AU29" i="23"/>
  <c r="Y29" i="23"/>
  <c r="AO28" i="23"/>
  <c r="S28" i="23"/>
  <c r="AG27" i="23"/>
  <c r="AV26" i="23"/>
  <c r="AC26" i="23"/>
  <c r="AR25" i="23"/>
  <c r="X25" i="23"/>
  <c r="AP24" i="23"/>
  <c r="W24" i="23"/>
  <c r="AN23" i="23"/>
  <c r="S23" i="23"/>
  <c r="AJ22" i="23"/>
  <c r="AE21" i="23"/>
  <c r="AT20" i="23"/>
  <c r="AA20" i="23"/>
  <c r="AL37" i="23"/>
  <c r="R37" i="23"/>
  <c r="AE36" i="23"/>
  <c r="AT35" i="23"/>
  <c r="X35" i="23"/>
  <c r="AL34" i="23"/>
  <c r="R34" i="23"/>
  <c r="AF33" i="23"/>
  <c r="AR32" i="23"/>
  <c r="X32" i="23"/>
  <c r="AL31" i="23"/>
  <c r="AF30" i="23"/>
  <c r="AT29" i="23"/>
  <c r="X29" i="23"/>
  <c r="AN28" i="23"/>
  <c r="R28" i="23"/>
  <c r="AF27" i="23"/>
  <c r="AU26" i="23"/>
  <c r="Z26" i="23"/>
  <c r="AQ25" i="23"/>
  <c r="W25" i="23"/>
  <c r="AO24" i="23"/>
  <c r="V24" i="23"/>
  <c r="AK23" i="23"/>
  <c r="R23" i="23"/>
  <c r="AH22" i="23"/>
  <c r="AD21" i="23"/>
  <c r="AS20" i="23"/>
  <c r="Z20" i="23"/>
  <c r="AP20" i="23"/>
  <c r="AO21" i="23"/>
  <c r="AN22" i="23"/>
  <c r="AI23" i="23"/>
  <c r="AK24" i="23"/>
  <c r="AI25" i="23"/>
  <c r="Y26" i="23"/>
  <c r="AB27" i="23"/>
  <c r="AF28" i="23"/>
  <c r="AF29" i="23"/>
  <c r="AB30" i="23"/>
  <c r="AE31" i="23"/>
  <c r="AI32" i="23"/>
  <c r="AE33" i="23"/>
  <c r="AI34" i="23"/>
  <c r="AM35" i="23"/>
  <c r="AR36" i="23"/>
  <c r="AS37" i="23"/>
  <c r="AF6" i="23"/>
  <c r="W7" i="23"/>
  <c r="AU7" i="23"/>
  <c r="AL8" i="23"/>
  <c r="AF9" i="23"/>
  <c r="U10" i="23"/>
  <c r="AP11" i="23"/>
  <c r="AO12" i="23"/>
  <c r="AN13" i="23"/>
  <c r="AN20" i="23"/>
  <c r="AN21" i="23"/>
  <c r="AG22" i="23"/>
  <c r="AH23" i="23"/>
  <c r="AJ24" i="23"/>
  <c r="AD25" i="23"/>
  <c r="X26" i="23"/>
  <c r="AA27" i="23"/>
  <c r="AC28" i="23"/>
  <c r="AE29" i="23"/>
  <c r="AA30" i="23"/>
  <c r="AD31" i="23"/>
  <c r="AF32" i="23"/>
  <c r="AD33" i="23"/>
  <c r="AH34" i="23"/>
  <c r="AJ35" i="23"/>
  <c r="AM36" i="23"/>
  <c r="AK37" i="23"/>
  <c r="AK13" i="23"/>
  <c r="AH6" i="23"/>
  <c r="X7" i="23"/>
  <c r="AV7" i="23"/>
  <c r="AM8" i="23"/>
  <c r="AG9" i="23"/>
  <c r="W10" i="23"/>
  <c r="Q11" i="23"/>
  <c r="AS11" i="23"/>
  <c r="AP12" i="23"/>
  <c r="AR13" i="23"/>
  <c r="AJ6" i="23"/>
  <c r="Y7" i="23"/>
  <c r="AQ8" i="23"/>
  <c r="AH9" i="23"/>
  <c r="AB10" i="23"/>
  <c r="R11" i="23"/>
  <c r="AQ12" i="23"/>
  <c r="AS13" i="23"/>
  <c r="P19" i="23"/>
  <c r="AQ20" i="23"/>
  <c r="AP21" i="23"/>
  <c r="AQ22" i="23"/>
  <c r="AJ23" i="23"/>
  <c r="AL24" i="23"/>
  <c r="AJ25" i="23"/>
  <c r="AG26" i="23"/>
  <c r="AC27" i="23"/>
  <c r="AG28" i="23"/>
  <c r="AK29" i="23"/>
  <c r="AE30" i="23"/>
  <c r="AF31" i="23"/>
  <c r="AJ32" i="23"/>
  <c r="AM33" i="23"/>
  <c r="AJ34" i="23"/>
  <c r="AN35" i="23"/>
  <c r="AS36" i="23"/>
  <c r="AT37" i="23"/>
  <c r="Z7" i="23"/>
  <c r="AR8" i="23"/>
  <c r="AI9" i="23"/>
  <c r="AC10" i="23"/>
  <c r="S11" i="23"/>
  <c r="AR12" i="23"/>
  <c r="AT13" i="23"/>
  <c r="AR20" i="23"/>
  <c r="AS21" i="23"/>
  <c r="AT22" i="23"/>
  <c r="AR23" i="23"/>
  <c r="AM24" i="23"/>
  <c r="AK25" i="23"/>
  <c r="AH26" i="23"/>
  <c r="AD27" i="23"/>
  <c r="AH28" i="23"/>
  <c r="AL29" i="23"/>
  <c r="AK30" i="23"/>
  <c r="AG31" i="23"/>
  <c r="AM32" i="23"/>
  <c r="AN33" i="23"/>
  <c r="AK34" i="23"/>
  <c r="AO35" i="23"/>
  <c r="AT36" i="23"/>
  <c r="E65" i="23"/>
  <c r="Y9" i="23"/>
  <c r="AN8" i="23"/>
  <c r="AD12" i="23"/>
  <c r="AJ13" i="23"/>
  <c r="AU12" i="23"/>
  <c r="AA12" i="23"/>
  <c r="AQ11" i="23"/>
  <c r="AL6" i="23"/>
  <c r="AA7" i="23"/>
  <c r="S8" i="23"/>
  <c r="AS8" i="23"/>
  <c r="AJ9" i="23"/>
  <c r="AF10" i="23"/>
  <c r="T11" i="23"/>
  <c r="AT12" i="23"/>
  <c r="AU13" i="23"/>
  <c r="R20" i="23"/>
  <c r="AT21" i="23"/>
  <c r="AU22" i="23"/>
  <c r="AS23" i="23"/>
  <c r="AN24" i="23"/>
  <c r="AL25" i="23"/>
  <c r="AL26" i="23"/>
  <c r="AE27" i="23"/>
  <c r="AI28" i="23"/>
  <c r="AM29" i="23"/>
  <c r="AN30" i="23"/>
  <c r="AJ31" i="23"/>
  <c r="AN32" i="23"/>
  <c r="AQ33" i="23"/>
  <c r="AS34" i="23"/>
  <c r="AP35" i="23"/>
  <c r="AU36" i="23"/>
  <c r="AO6" i="23"/>
  <c r="AB7" i="23"/>
  <c r="T8" i="23"/>
  <c r="AT8" i="23"/>
  <c r="AL9" i="23"/>
  <c r="AG10" i="23"/>
  <c r="U11" i="23"/>
  <c r="R12" i="23"/>
  <c r="AV13" i="23"/>
  <c r="S20" i="23"/>
  <c r="AU21" i="23"/>
  <c r="AV22" i="23"/>
  <c r="AU24" i="23"/>
  <c r="AM25" i="23"/>
  <c r="AM26" i="23"/>
  <c r="AM27" i="23"/>
  <c r="AJ28" i="23"/>
  <c r="AN29" i="23"/>
  <c r="AQ30" i="23"/>
  <c r="AK31" i="23"/>
  <c r="AO32" i="23"/>
  <c r="AT33" i="23"/>
  <c r="AT34" i="23"/>
  <c r="AQ35" i="23"/>
  <c r="AV36" i="23"/>
  <c r="AP6" i="23"/>
  <c r="AE7" i="23"/>
  <c r="U8" i="23"/>
  <c r="AU8" i="23"/>
  <c r="AP9" i="23"/>
  <c r="AH10" i="23"/>
  <c r="X11" i="23"/>
  <c r="U12" i="23"/>
  <c r="T13" i="23"/>
  <c r="T20" i="23"/>
  <c r="Q21" i="23"/>
  <c r="AV21" i="23"/>
  <c r="AV24" i="23"/>
  <c r="AN25" i="23"/>
  <c r="AN26" i="23"/>
  <c r="AN27" i="23"/>
  <c r="AM28" i="23"/>
  <c r="AO29" i="23"/>
  <c r="AR30" i="23"/>
  <c r="AS31" i="23"/>
  <c r="AP32" i="23"/>
  <c r="AU33" i="23"/>
  <c r="E66" i="23"/>
  <c r="AP26" i="23"/>
  <c r="AT27" i="23"/>
  <c r="AV28" i="23"/>
  <c r="AS29" i="23"/>
  <c r="AV30" i="23"/>
  <c r="Q35" i="23"/>
  <c r="V36" i="23"/>
  <c r="Y37" i="23"/>
  <c r="Z13" i="23"/>
  <c r="X20" i="23"/>
  <c r="X21" i="23"/>
  <c r="AA22" i="23"/>
  <c r="Y23" i="23"/>
  <c r="T24" i="23"/>
  <c r="R25" i="23"/>
  <c r="AT26" i="23"/>
  <c r="AV27" i="23"/>
  <c r="Q30" i="23"/>
  <c r="Q32" i="23"/>
  <c r="R33" i="23"/>
  <c r="S35" i="23"/>
  <c r="X36" i="23"/>
  <c r="AC37" i="23"/>
  <c r="AF13" i="23"/>
  <c r="AA6" i="23"/>
  <c r="AT6" i="23"/>
  <c r="AD7" i="23"/>
  <c r="AH8" i="23"/>
  <c r="R9" i="23"/>
  <c r="AK9" i="23"/>
  <c r="V10" i="23"/>
  <c r="AO10" i="23"/>
  <c r="Y11" i="23"/>
  <c r="AR11" i="23"/>
  <c r="AB12" i="23"/>
  <c r="AV12" i="23"/>
  <c r="AI13" i="23"/>
  <c r="E71" i="23"/>
  <c r="AC6" i="23"/>
  <c r="AV6" i="23"/>
  <c r="AF7" i="23"/>
  <c r="AJ8" i="23"/>
  <c r="T9" i="23"/>
  <c r="AN9" i="23"/>
  <c r="X10" i="23"/>
  <c r="AS10" i="23"/>
  <c r="AA11" i="23"/>
  <c r="AT11" i="23"/>
  <c r="AE12" i="23"/>
  <c r="AH13" i="23"/>
  <c r="R13" i="23"/>
  <c r="AJ12" i="23"/>
  <c r="T12" i="23"/>
  <c r="AM11" i="23"/>
  <c r="W11" i="23"/>
  <c r="AQ10" i="23"/>
  <c r="AA10" i="23"/>
  <c r="AT9" i="23"/>
  <c r="AD9" i="23"/>
  <c r="AG8" i="23"/>
  <c r="Q8" i="23"/>
  <c r="AJ7" i="23"/>
  <c r="T7" i="23"/>
  <c r="AN6" i="23"/>
  <c r="X6" i="23"/>
  <c r="Q13" i="23"/>
  <c r="AI12" i="23"/>
  <c r="S12" i="23"/>
  <c r="AL11" i="23"/>
  <c r="V11" i="23"/>
  <c r="AP10" i="23"/>
  <c r="AS9" i="23"/>
  <c r="AC9" i="23"/>
  <c r="AF8" i="23"/>
  <c r="AI7" i="23"/>
  <c r="S7" i="23"/>
  <c r="W6" i="23"/>
  <c r="AG13" i="23"/>
  <c r="Z10" i="23"/>
  <c r="AV8" i="23"/>
  <c r="AM6" i="23"/>
  <c r="AQ13" i="23"/>
  <c r="AA13" i="23"/>
  <c r="AS12" i="23"/>
  <c r="AC12" i="23"/>
  <c r="AV11" i="23"/>
  <c r="AF11" i="23"/>
  <c r="AJ10" i="23"/>
  <c r="T10" i="23"/>
  <c r="AM9" i="23"/>
  <c r="W9" i="23"/>
  <c r="AP8" i="23"/>
  <c r="Z8" i="23"/>
  <c r="AS7" i="23"/>
  <c r="AC7" i="23"/>
  <c r="AG6" i="23"/>
  <c r="Q6" i="23"/>
  <c r="AD6" i="23"/>
  <c r="AG7" i="23"/>
  <c r="R8" i="23"/>
  <c r="AK8" i="23"/>
  <c r="U9" i="23"/>
  <c r="AO9" i="23"/>
  <c r="Y10" i="23"/>
  <c r="AT10" i="23"/>
  <c r="AB11" i="23"/>
  <c r="AU11" i="23"/>
  <c r="AF12" i="23"/>
  <c r="S13" i="23"/>
  <c r="AL13" i="23"/>
  <c r="AD10" i="23"/>
  <c r="AE11" i="23"/>
  <c r="AK12" i="23"/>
  <c r="V13" i="23"/>
  <c r="AO13" i="23"/>
  <c r="AI6" i="23"/>
  <c r="R7" i="23"/>
  <c r="AM7" i="23"/>
  <c r="V8" i="23"/>
  <c r="AO8" i="23"/>
  <c r="Z9" i="23"/>
  <c r="AU9" i="23"/>
  <c r="AE10" i="23"/>
  <c r="AG11" i="23"/>
  <c r="Q12" i="23"/>
  <c r="AL12" i="23"/>
  <c r="W13" i="23"/>
  <c r="AP13" i="23"/>
  <c r="E70" i="32"/>
  <c r="U9" i="32"/>
  <c r="W12" i="32"/>
  <c r="AB13" i="32"/>
  <c r="AC7" i="32"/>
  <c r="W9" i="32"/>
  <c r="S8" i="32"/>
  <c r="AG10" i="32"/>
  <c r="AT12" i="32"/>
  <c r="U8" i="32"/>
  <c r="V8" i="32"/>
  <c r="AJ10" i="32"/>
  <c r="AL10" i="32"/>
  <c r="AB7" i="32"/>
  <c r="Y6" i="32"/>
  <c r="AP9" i="32"/>
  <c r="Z6" i="32"/>
  <c r="AU9" i="32"/>
  <c r="AE7" i="32"/>
  <c r="AV9" i="32"/>
  <c r="T8" i="32"/>
  <c r="AH10" i="32"/>
  <c r="AK7" i="32"/>
  <c r="S11" i="32"/>
  <c r="AB12" i="32"/>
  <c r="AK13" i="32"/>
  <c r="AE9" i="32"/>
  <c r="AC12" i="32"/>
  <c r="AN7" i="32"/>
  <c r="R10" i="32"/>
  <c r="U7" i="32"/>
  <c r="AS8" i="32"/>
  <c r="AM10" i="32"/>
  <c r="AU11" i="32"/>
  <c r="U13" i="32"/>
  <c r="AH6" i="32"/>
  <c r="V7" i="32"/>
  <c r="AP7" i="32"/>
  <c r="Z8" i="32"/>
  <c r="AI9" i="32"/>
  <c r="T10" i="32"/>
  <c r="AR10" i="32"/>
  <c r="AB11" i="32"/>
  <c r="AV11" i="32"/>
  <c r="AK12" i="32"/>
  <c r="V13" i="32"/>
  <c r="AP13" i="32"/>
  <c r="E71" i="32"/>
  <c r="AR6" i="32"/>
  <c r="AO9" i="32"/>
  <c r="AQ12" i="32"/>
  <c r="AK8" i="32"/>
  <c r="AI11" i="32"/>
  <c r="AD7" i="32"/>
  <c r="AF10" i="32"/>
  <c r="AM8" i="32"/>
  <c r="AO11" i="32"/>
  <c r="Z12" i="32"/>
  <c r="AI13" i="32"/>
  <c r="AC6" i="32"/>
  <c r="AI10" i="32"/>
  <c r="AL13" i="32"/>
  <c r="AF9" i="32"/>
  <c r="AS11" i="32"/>
  <c r="AM13" i="32"/>
  <c r="AF6" i="32"/>
  <c r="AR8" i="32"/>
  <c r="AE12" i="32"/>
  <c r="AG6" i="32"/>
  <c r="AO7" i="32"/>
  <c r="AH9" i="32"/>
  <c r="AA11" i="32"/>
  <c r="AF12" i="32"/>
  <c r="AO13" i="32"/>
  <c r="AI6" i="32"/>
  <c r="W7" i="32"/>
  <c r="AQ7" i="32"/>
  <c r="AA8" i="32"/>
  <c r="AJ9" i="32"/>
  <c r="U10" i="32"/>
  <c r="AS10" i="32"/>
  <c r="AC11" i="32"/>
  <c r="AL12" i="32"/>
  <c r="W13" i="32"/>
  <c r="AQ13" i="32"/>
  <c r="AV7" i="32"/>
  <c r="AH11" i="32"/>
  <c r="AS6" i="32"/>
  <c r="AE10" i="32"/>
  <c r="AL8" i="32"/>
  <c r="AN11" i="32"/>
  <c r="AD13" i="32"/>
  <c r="AU6" i="32"/>
  <c r="X9" i="32"/>
  <c r="Q11" i="32"/>
  <c r="E69" i="32"/>
  <c r="AB6" i="32"/>
  <c r="AN8" i="32"/>
  <c r="R11" i="32"/>
  <c r="AO8" i="32"/>
  <c r="AQ11" i="32"/>
  <c r="AV12" i="32"/>
  <c r="AD6" i="32"/>
  <c r="AP8" i="32"/>
  <c r="X11" i="32"/>
  <c r="AM7" i="32"/>
  <c r="AQ8" i="32"/>
  <c r="Q10" i="32"/>
  <c r="AD12" i="32"/>
  <c r="AG9" i="32"/>
  <c r="Z11" i="32"/>
  <c r="T13" i="32"/>
  <c r="AN13" i="32"/>
  <c r="Y8" i="32"/>
  <c r="S10" i="32"/>
  <c r="AJ6" i="32"/>
  <c r="X7" i="32"/>
  <c r="AR7" i="32"/>
  <c r="AB8" i="32"/>
  <c r="Q9" i="32"/>
  <c r="AK9" i="32"/>
  <c r="V10" i="32"/>
  <c r="AT10" i="32"/>
  <c r="AD11" i="32"/>
  <c r="AM12" i="32"/>
  <c r="X13" i="32"/>
  <c r="AJ8" i="32"/>
  <c r="X12" i="32"/>
  <c r="AT6" i="32"/>
  <c r="Y12" i="32"/>
  <c r="AA6" i="32"/>
  <c r="AF7" i="32"/>
  <c r="AA12" i="32"/>
  <c r="AL7" i="32"/>
  <c r="AH13" i="32"/>
  <c r="R13" i="32"/>
  <c r="AJ12" i="32"/>
  <c r="T12" i="32"/>
  <c r="AM11" i="32"/>
  <c r="W11" i="32"/>
  <c r="AQ10" i="32"/>
  <c r="AA10" i="32"/>
  <c r="AT9" i="32"/>
  <c r="AD9" i="32"/>
  <c r="AG8" i="32"/>
  <c r="Q8" i="32"/>
  <c r="AJ7" i="32"/>
  <c r="T7" i="32"/>
  <c r="AN6" i="32"/>
  <c r="X6" i="32"/>
  <c r="Q13" i="32"/>
  <c r="AI12" i="32"/>
  <c r="S12" i="32"/>
  <c r="AL11" i="32"/>
  <c r="V11" i="32"/>
  <c r="AP10" i="32"/>
  <c r="AS9" i="32"/>
  <c r="AV8" i="32"/>
  <c r="S7" i="32"/>
  <c r="W6" i="32"/>
  <c r="AU13" i="32"/>
  <c r="Q12" i="32"/>
  <c r="AJ11" i="32"/>
  <c r="AN10" i="32"/>
  <c r="AQ9" i="32"/>
  <c r="AT8" i="32"/>
  <c r="Q7" i="32"/>
  <c r="AK6" i="32"/>
  <c r="AG13" i="32"/>
  <c r="Z10" i="32"/>
  <c r="AC9" i="32"/>
  <c r="AF8" i="32"/>
  <c r="AI7" i="32"/>
  <c r="AM6" i="32"/>
  <c r="AD8" i="32"/>
  <c r="AV13" i="32"/>
  <c r="AF13" i="32"/>
  <c r="AH12" i="32"/>
  <c r="R12" i="32"/>
  <c r="AK11" i="32"/>
  <c r="U11" i="32"/>
  <c r="AO10" i="32"/>
  <c r="Y10" i="32"/>
  <c r="AR9" i="32"/>
  <c r="AB9" i="32"/>
  <c r="AU8" i="32"/>
  <c r="AE8" i="32"/>
  <c r="AH7" i="32"/>
  <c r="R7" i="32"/>
  <c r="AL6" i="32"/>
  <c r="V6" i="32"/>
  <c r="AE13" i="32"/>
  <c r="T11" i="32"/>
  <c r="X10" i="32"/>
  <c r="AA9" i="32"/>
  <c r="AG7" i="32"/>
  <c r="U6" i="32"/>
  <c r="E65" i="32"/>
  <c r="AG12" i="32"/>
  <c r="Y11" i="32"/>
  <c r="AT11" i="32"/>
  <c r="Y7" i="32"/>
  <c r="R9" i="32"/>
  <c r="AU10" i="32"/>
  <c r="Y13" i="32"/>
  <c r="AS13" i="32"/>
  <c r="AA13" i="32"/>
  <c r="T6" i="32"/>
  <c r="AD10" i="32"/>
  <c r="V9" i="32"/>
  <c r="AR12" i="32"/>
  <c r="AC13" i="32"/>
  <c r="AS12" i="32"/>
  <c r="AV6" i="32"/>
  <c r="Y9" i="32"/>
  <c r="AP11" i="32"/>
  <c r="AU12" i="32"/>
  <c r="AJ13" i="32"/>
  <c r="E66" i="32"/>
  <c r="AE6" i="32"/>
  <c r="W8" i="32"/>
  <c r="AK10" i="32"/>
  <c r="S13" i="32"/>
  <c r="X8" i="32"/>
  <c r="Q6" i="32"/>
  <c r="AO6" i="32"/>
  <c r="AS7" i="32"/>
  <c r="AC8" i="32"/>
  <c r="AL9" i="32"/>
  <c r="W10" i="32"/>
  <c r="AE11" i="32"/>
  <c r="AN12" i="32"/>
  <c r="R6" i="32"/>
  <c r="AP6" i="32"/>
  <c r="Z7" i="32"/>
  <c r="AT7" i="32"/>
  <c r="AH8" i="32"/>
  <c r="S9" i="32"/>
  <c r="AM9" i="32"/>
  <c r="AB10" i="32"/>
  <c r="AV10" i="32"/>
  <c r="AF11" i="32"/>
  <c r="U12" i="32"/>
  <c r="AO12" i="32"/>
  <c r="Z13" i="32"/>
  <c r="AT13" i="32"/>
  <c r="AB20" i="32"/>
  <c r="AR20" i="32"/>
  <c r="X21" i="32"/>
  <c r="AN21" i="32"/>
  <c r="AU24" i="32"/>
  <c r="AR25" i="32"/>
  <c r="X26" i="32"/>
  <c r="V27" i="32"/>
  <c r="AL27" i="32"/>
  <c r="R28" i="32"/>
  <c r="AH28" i="32"/>
  <c r="R32" i="32"/>
  <c r="P19" i="32"/>
  <c r="AC20" i="32"/>
  <c r="AS20" i="32"/>
  <c r="AO21" i="32"/>
  <c r="W22" i="32"/>
  <c r="AM22" i="32"/>
  <c r="T23" i="32"/>
  <c r="AJ23" i="32"/>
  <c r="AF24" i="32"/>
  <c r="AV24" i="32"/>
  <c r="AC25" i="32"/>
  <c r="AS25" i="32"/>
  <c r="Y26" i="32"/>
  <c r="AO26" i="32"/>
  <c r="AM27" i="32"/>
  <c r="S28" i="32"/>
  <c r="AI28" i="32"/>
  <c r="AE29" i="32"/>
  <c r="AU29" i="32"/>
  <c r="AA30" i="32"/>
  <c r="W31" i="32"/>
  <c r="AM31" i="32"/>
  <c r="S32" i="32"/>
  <c r="AI32" i="32"/>
  <c r="Q33" i="32"/>
  <c r="AG33" i="32"/>
  <c r="AD34" i="32"/>
  <c r="AT34" i="32"/>
  <c r="Z35" i="32"/>
  <c r="AP35" i="32"/>
  <c r="W36" i="32"/>
  <c r="AM36" i="32"/>
  <c r="U37" i="32"/>
  <c r="AK37" i="32"/>
  <c r="AL22" i="32"/>
  <c r="S23" i="32"/>
  <c r="AI23" i="32"/>
  <c r="AE24" i="32"/>
  <c r="AB25" i="32"/>
  <c r="AN26" i="32"/>
  <c r="AD29" i="32"/>
  <c r="AT29" i="32"/>
  <c r="Z30" i="32"/>
  <c r="AP30" i="32"/>
  <c r="V31" i="32"/>
  <c r="AL31" i="32"/>
  <c r="AH32" i="32"/>
  <c r="AS34" i="32"/>
  <c r="AO35" i="32"/>
  <c r="T37" i="32"/>
  <c r="AD20" i="32"/>
  <c r="AT20" i="32"/>
  <c r="Z21" i="32"/>
  <c r="AP21" i="32"/>
  <c r="X22" i="32"/>
  <c r="AN22" i="32"/>
  <c r="U23" i="32"/>
  <c r="AK23" i="32"/>
  <c r="Q24" i="32"/>
  <c r="AG24" i="32"/>
  <c r="AD25" i="32"/>
  <c r="AT25" i="32"/>
  <c r="Z26" i="32"/>
  <c r="AP26" i="32"/>
  <c r="X27" i="32"/>
  <c r="AN27" i="32"/>
  <c r="T28" i="32"/>
  <c r="AJ28" i="32"/>
  <c r="AF29" i="32"/>
  <c r="AV29" i="32"/>
  <c r="AB30" i="32"/>
  <c r="AR30" i="32"/>
  <c r="X31" i="32"/>
  <c r="AN31" i="32"/>
  <c r="T32" i="32"/>
  <c r="AJ32" i="32"/>
  <c r="R33" i="32"/>
  <c r="AH33" i="32"/>
  <c r="AE34" i="32"/>
  <c r="AU34" i="32"/>
  <c r="AA35" i="32"/>
  <c r="AQ35" i="32"/>
  <c r="X36" i="32"/>
  <c r="AN36" i="32"/>
  <c r="V37" i="32"/>
  <c r="AL37" i="32"/>
  <c r="AF33" i="32"/>
  <c r="AV33" i="32"/>
  <c r="AC34" i="32"/>
  <c r="Y35" i="32"/>
  <c r="V36" i="32"/>
  <c r="AL36" i="32"/>
  <c r="AJ37" i="32"/>
  <c r="AQ30" i="32"/>
  <c r="AE20" i="32"/>
  <c r="AU20" i="32"/>
  <c r="AA21" i="32"/>
  <c r="AQ21" i="32"/>
  <c r="Y22" i="32"/>
  <c r="AO22" i="32"/>
  <c r="V23" i="32"/>
  <c r="AL23" i="32"/>
  <c r="R24" i="32"/>
  <c r="AH24" i="32"/>
  <c r="AE25" i="32"/>
  <c r="AU25" i="32"/>
  <c r="AA26" i="32"/>
  <c r="AQ26" i="32"/>
  <c r="Y27" i="32"/>
  <c r="AO27" i="32"/>
  <c r="U28" i="32"/>
  <c r="AK28" i="32"/>
  <c r="Q29" i="32"/>
  <c r="AG29" i="32"/>
  <c r="AC30" i="32"/>
  <c r="AS30" i="32"/>
  <c r="Y31" i="32"/>
  <c r="AO31" i="32"/>
  <c r="U32" i="32"/>
  <c r="AK32" i="32"/>
  <c r="S33" i="32"/>
  <c r="AI33" i="32"/>
  <c r="AF34" i="32"/>
  <c r="AV34" i="32"/>
  <c r="AB35" i="32"/>
  <c r="AR35" i="32"/>
  <c r="Y36" i="32"/>
  <c r="AO36" i="32"/>
  <c r="W37" i="32"/>
  <c r="AM37" i="32"/>
  <c r="Y21" i="32"/>
  <c r="W27" i="32"/>
  <c r="AF20" i="32"/>
  <c r="AV20" i="32"/>
  <c r="AB21" i="32"/>
  <c r="AR21" i="32"/>
  <c r="Z22" i="32"/>
  <c r="AP22" i="32"/>
  <c r="W23" i="32"/>
  <c r="AM23" i="32"/>
  <c r="S24" i="32"/>
  <c r="AI24" i="32"/>
  <c r="AF25" i="32"/>
  <c r="AV25" i="32"/>
  <c r="AB26" i="32"/>
  <c r="AR26" i="32"/>
  <c r="Z27" i="32"/>
  <c r="AP27" i="32"/>
  <c r="V28" i="32"/>
  <c r="AL28" i="32"/>
  <c r="R29" i="32"/>
  <c r="AH29" i="32"/>
  <c r="AD30" i="32"/>
  <c r="AT30" i="32"/>
  <c r="Z31" i="32"/>
  <c r="AP31" i="32"/>
  <c r="V32" i="32"/>
  <c r="AL32" i="32"/>
  <c r="T33" i="32"/>
  <c r="AJ33" i="32"/>
  <c r="Q34" i="32"/>
  <c r="AG34" i="32"/>
  <c r="AC35" i="32"/>
  <c r="AS35" i="32"/>
  <c r="Z36" i="32"/>
  <c r="AP36" i="32"/>
  <c r="X37" i="32"/>
  <c r="T14" i="27"/>
  <c r="AN21" i="19"/>
  <c r="AL21" i="19"/>
  <c r="AJ21" i="19"/>
  <c r="AK21" i="19" s="1"/>
  <c r="AH21" i="19"/>
  <c r="AI21" i="19" s="1"/>
  <c r="AF21" i="19"/>
  <c r="AG21" i="19" s="1"/>
  <c r="AD21" i="19"/>
  <c r="AE21" i="19" s="1"/>
  <c r="AB21" i="19"/>
  <c r="Z21" i="19"/>
  <c r="AA21" i="19" s="1"/>
  <c r="X21" i="19"/>
  <c r="V21" i="19"/>
  <c r="T21" i="19"/>
  <c r="U21" i="19" s="1"/>
  <c r="U20" i="19"/>
  <c r="U19" i="19"/>
  <c r="U18" i="19"/>
  <c r="U17" i="19"/>
  <c r="D2" i="1"/>
  <c r="AC21" i="19" l="1"/>
  <c r="W21" i="19"/>
  <c r="AW33" i="23"/>
  <c r="AW25" i="23"/>
  <c r="AW23" i="23"/>
  <c r="AW36" i="23"/>
  <c r="AW24" i="23"/>
  <c r="AW28" i="23"/>
  <c r="AW25" i="32"/>
  <c r="AW23" i="32"/>
  <c r="AW21" i="32"/>
  <c r="AW20" i="32"/>
  <c r="AW22" i="32"/>
  <c r="AW32" i="32"/>
  <c r="AW26" i="32"/>
  <c r="AW30" i="32"/>
  <c r="AW35" i="32"/>
  <c r="AW31" i="32"/>
  <c r="AW27" i="32"/>
  <c r="AW36" i="32"/>
  <c r="D46" i="1"/>
  <c r="AW32" i="23"/>
  <c r="AW30" i="23"/>
  <c r="AW27" i="23"/>
  <c r="E69" i="23"/>
  <c r="AI19" i="23"/>
  <c r="S19" i="23"/>
  <c r="AH19" i="23"/>
  <c r="R19" i="23"/>
  <c r="AR19" i="23"/>
  <c r="AB19" i="23"/>
  <c r="AG19" i="23"/>
  <c r="AF19" i="23"/>
  <c r="AV19" i="23"/>
  <c r="AC19" i="23"/>
  <c r="AU19" i="23"/>
  <c r="AA19" i="23"/>
  <c r="AT19" i="23"/>
  <c r="Z19" i="23"/>
  <c r="AS19" i="23"/>
  <c r="Y19" i="23"/>
  <c r="AQ19" i="23"/>
  <c r="X19" i="23"/>
  <c r="AJ19" i="23"/>
  <c r="V19" i="23"/>
  <c r="U19" i="23"/>
  <c r="T19" i="23"/>
  <c r="Q19" i="23"/>
  <c r="AP19" i="23"/>
  <c r="AM19" i="23"/>
  <c r="AL19" i="23"/>
  <c r="AE19" i="23"/>
  <c r="AK19" i="23"/>
  <c r="AD19" i="23"/>
  <c r="AO19" i="23"/>
  <c r="W19" i="23"/>
  <c r="AN19" i="23"/>
  <c r="AW13" i="23"/>
  <c r="E67" i="23"/>
  <c r="AW37" i="23"/>
  <c r="AW12" i="23"/>
  <c r="AW8" i="23"/>
  <c r="AW31" i="23"/>
  <c r="AW22" i="23"/>
  <c r="AW29" i="23"/>
  <c r="AW20" i="23"/>
  <c r="AW21" i="23"/>
  <c r="AW34" i="23"/>
  <c r="AW26" i="23"/>
  <c r="AW10" i="23"/>
  <c r="AW7" i="23"/>
  <c r="AW11" i="23"/>
  <c r="AW9" i="23"/>
  <c r="AW35" i="23"/>
  <c r="AW6" i="23"/>
  <c r="AW12" i="32"/>
  <c r="AW6" i="32"/>
  <c r="AW24" i="32"/>
  <c r="AW28" i="32"/>
  <c r="E68" i="32"/>
  <c r="E67" i="32"/>
  <c r="AI19" i="32"/>
  <c r="S19" i="32"/>
  <c r="AH19" i="32"/>
  <c r="R19" i="32"/>
  <c r="AG19" i="32"/>
  <c r="Q19" i="32"/>
  <c r="AV19" i="32"/>
  <c r="AF19" i="32"/>
  <c r="AU19" i="32"/>
  <c r="AE19" i="32"/>
  <c r="AQ19" i="32"/>
  <c r="V19" i="32"/>
  <c r="AA19" i="32"/>
  <c r="Z19" i="32"/>
  <c r="Y19" i="32"/>
  <c r="AR19" i="32"/>
  <c r="W19" i="32"/>
  <c r="AP19" i="32"/>
  <c r="U19" i="32"/>
  <c r="AD19" i="32"/>
  <c r="AO19" i="32"/>
  <c r="T19" i="32"/>
  <c r="AK19" i="32"/>
  <c r="AC19" i="32"/>
  <c r="AT19" i="32"/>
  <c r="AN19" i="32"/>
  <c r="AL19" i="32"/>
  <c r="AJ19" i="32"/>
  <c r="AB19" i="32"/>
  <c r="AM19" i="32"/>
  <c r="AS19" i="32"/>
  <c r="X19" i="32"/>
  <c r="AW11" i="32"/>
  <c r="AW10" i="32"/>
  <c r="AW8" i="32"/>
  <c r="AW7" i="32"/>
  <c r="AW9" i="32"/>
  <c r="AW33" i="32"/>
  <c r="AW13" i="32"/>
  <c r="AW34" i="32"/>
  <c r="AW29" i="32"/>
  <c r="AW37" i="32"/>
  <c r="Y21" i="19"/>
  <c r="AM21" i="19"/>
  <c r="AW19" i="23" l="1"/>
  <c r="AW19" i="32"/>
  <c r="P19" i="12" a="1"/>
  <c r="AN30" i="12" s="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19" i="11" a="1"/>
  <c r="AN30" i="11" s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19" i="1" a="1"/>
  <c r="AN30" i="1" s="1"/>
  <c r="P19" i="2" a="1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19" i="3" a="1"/>
  <c r="AN30" i="3" s="1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19" i="4" a="1"/>
  <c r="AN30" i="4" s="1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19" i="5" a="1"/>
  <c r="AE31" i="5" s="1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19" i="6" a="1"/>
  <c r="AO31" i="6" s="1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19" i="7" a="1"/>
  <c r="AN30" i="7" s="1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19" i="8" a="1"/>
  <c r="AN30" i="8" s="1"/>
  <c r="P19" i="9" a="1"/>
  <c r="AN30" i="9" s="1"/>
  <c r="P19" i="10" a="1"/>
  <c r="B43" i="1"/>
  <c r="B43" i="6"/>
  <c r="B42" i="9"/>
  <c r="B42" i="1"/>
  <c r="B42" i="5"/>
  <c r="B44" i="3"/>
  <c r="B42" i="8"/>
  <c r="B44" i="5"/>
  <c r="B43" i="5"/>
  <c r="B44" i="8"/>
  <c r="B44" i="6"/>
  <c r="B44" i="1"/>
  <c r="B44" i="2"/>
  <c r="B43" i="3"/>
  <c r="B43" i="8"/>
  <c r="B44" i="9"/>
  <c r="B42" i="7"/>
  <c r="B42" i="2"/>
  <c r="B43" i="7"/>
  <c r="B42" i="11"/>
  <c r="B42" i="10"/>
  <c r="B42" i="3"/>
  <c r="B43" i="4"/>
  <c r="B44" i="12"/>
  <c r="B44" i="7"/>
  <c r="B44" i="11"/>
  <c r="B44" i="4"/>
  <c r="B43" i="2"/>
  <c r="B42" i="12"/>
  <c r="B42" i="4"/>
  <c r="B42" i="6"/>
  <c r="AF31" i="4" l="1"/>
  <c r="AV31" i="4"/>
  <c r="AG31" i="4"/>
  <c r="AH31" i="4"/>
  <c r="AK31" i="4"/>
  <c r="X31" i="4"/>
  <c r="AO31" i="4"/>
  <c r="AA31" i="4"/>
  <c r="AB31" i="4"/>
  <c r="AC31" i="4"/>
  <c r="AD31" i="4"/>
  <c r="AE31" i="4"/>
  <c r="R31" i="4"/>
  <c r="S31" i="4"/>
  <c r="AJ31" i="4"/>
  <c r="V31" i="4"/>
  <c r="AL31" i="4"/>
  <c r="AN31" i="4"/>
  <c r="Y31" i="4"/>
  <c r="Z31" i="4"/>
  <c r="AP31" i="4"/>
  <c r="AQ31" i="4"/>
  <c r="AR31" i="4"/>
  <c r="AS31" i="4"/>
  <c r="AT31" i="4"/>
  <c r="AU31" i="4"/>
  <c r="Q31" i="4"/>
  <c r="AI31" i="4"/>
  <c r="T31" i="4"/>
  <c r="U31" i="4"/>
  <c r="W31" i="4"/>
  <c r="AM31" i="4"/>
  <c r="AF35" i="12"/>
  <c r="AO37" i="12"/>
  <c r="AP37" i="12"/>
  <c r="S31" i="12"/>
  <c r="AE31" i="12"/>
  <c r="AQ31" i="12"/>
  <c r="W32" i="12"/>
  <c r="AI32" i="12"/>
  <c r="AU32" i="12"/>
  <c r="AA33" i="12"/>
  <c r="AM33" i="12"/>
  <c r="S34" i="12"/>
  <c r="AE34" i="12"/>
  <c r="AQ34" i="12"/>
  <c r="W35" i="12"/>
  <c r="AI35" i="12"/>
  <c r="AU35" i="12"/>
  <c r="AA36" i="12"/>
  <c r="AM36" i="12"/>
  <c r="S37" i="12"/>
  <c r="AE37" i="12"/>
  <c r="AQ37" i="12"/>
  <c r="AA31" i="12"/>
  <c r="AM31" i="12"/>
  <c r="S32" i="12"/>
  <c r="AE32" i="12"/>
  <c r="AQ32" i="12"/>
  <c r="W33" i="12"/>
  <c r="AU33" i="12"/>
  <c r="AA34" i="12"/>
  <c r="AM34" i="12"/>
  <c r="S35" i="12"/>
  <c r="AE35" i="12"/>
  <c r="AQ35" i="12"/>
  <c r="W36" i="12"/>
  <c r="AI36" i="12"/>
  <c r="AU36" i="12"/>
  <c r="AA37" i="12"/>
  <c r="AN31" i="12"/>
  <c r="AF32" i="12"/>
  <c r="X33" i="12"/>
  <c r="AV33" i="12"/>
  <c r="AN34" i="12"/>
  <c r="AR35" i="12"/>
  <c r="AJ36" i="12"/>
  <c r="AB37" i="12"/>
  <c r="Q31" i="12"/>
  <c r="AO31" i="12"/>
  <c r="U32" i="12"/>
  <c r="AS32" i="12"/>
  <c r="Q34" i="12"/>
  <c r="AO34" i="12"/>
  <c r="AG35" i="12"/>
  <c r="Y36" i="12"/>
  <c r="Q37" i="12"/>
  <c r="AC37" i="12"/>
  <c r="R31" i="12"/>
  <c r="AP31" i="12"/>
  <c r="AH32" i="12"/>
  <c r="Z33" i="12"/>
  <c r="R34" i="12"/>
  <c r="AP34" i="12"/>
  <c r="AH35" i="12"/>
  <c r="Z36" i="12"/>
  <c r="R37" i="12"/>
  <c r="AD37" i="12"/>
  <c r="T31" i="12"/>
  <c r="AF31" i="12"/>
  <c r="AR31" i="12"/>
  <c r="X32" i="12"/>
  <c r="AJ32" i="12"/>
  <c r="AV32" i="12"/>
  <c r="AB33" i="12"/>
  <c r="AN33" i="12"/>
  <c r="T34" i="12"/>
  <c r="AF34" i="12"/>
  <c r="AR34" i="12"/>
  <c r="X35" i="12"/>
  <c r="AJ35" i="12"/>
  <c r="AV35" i="12"/>
  <c r="AB36" i="12"/>
  <c r="AN36" i="12"/>
  <c r="T37" i="12"/>
  <c r="AF37" i="12"/>
  <c r="AR37" i="12"/>
  <c r="T32" i="12"/>
  <c r="AR32" i="12"/>
  <c r="AJ33" i="12"/>
  <c r="AB34" i="12"/>
  <c r="T35" i="12"/>
  <c r="X36" i="12"/>
  <c r="AV36" i="12"/>
  <c r="AN37" i="12"/>
  <c r="AC31" i="12"/>
  <c r="AG32" i="12"/>
  <c r="Y33" i="12"/>
  <c r="AK33" i="12"/>
  <c r="AC34" i="12"/>
  <c r="U35" i="12"/>
  <c r="AS35" i="12"/>
  <c r="AK36" i="12"/>
  <c r="AD31" i="12"/>
  <c r="V32" i="12"/>
  <c r="AT32" i="12"/>
  <c r="AL33" i="12"/>
  <c r="AD34" i="12"/>
  <c r="V35" i="12"/>
  <c r="AT35" i="12"/>
  <c r="AL36" i="12"/>
  <c r="U31" i="12"/>
  <c r="AG31" i="12"/>
  <c r="AS31" i="12"/>
  <c r="Y32" i="12"/>
  <c r="AK32" i="12"/>
  <c r="Q33" i="12"/>
  <c r="AC33" i="12"/>
  <c r="AO33" i="12"/>
  <c r="U34" i="12"/>
  <c r="AG34" i="12"/>
  <c r="AS34" i="12"/>
  <c r="Y35" i="12"/>
  <c r="AK35" i="12"/>
  <c r="Q36" i="12"/>
  <c r="AC36" i="12"/>
  <c r="AO36" i="12"/>
  <c r="U37" i="12"/>
  <c r="AG37" i="12"/>
  <c r="AS37" i="12"/>
  <c r="AI33" i="12"/>
  <c r="AT31" i="12"/>
  <c r="AL32" i="12"/>
  <c r="AD33" i="12"/>
  <c r="V34" i="12"/>
  <c r="AH34" i="12"/>
  <c r="Z35" i="12"/>
  <c r="AL35" i="12"/>
  <c r="R36" i="12"/>
  <c r="AD36" i="12"/>
  <c r="AP36" i="12"/>
  <c r="V37" i="12"/>
  <c r="AH37" i="12"/>
  <c r="AT37" i="12"/>
  <c r="AM37" i="12"/>
  <c r="AH31" i="12"/>
  <c r="AB31" i="12"/>
  <c r="V31" i="12"/>
  <c r="Z32" i="12"/>
  <c r="R33" i="12"/>
  <c r="AP33" i="12"/>
  <c r="AT34" i="12"/>
  <c r="W31" i="12"/>
  <c r="AU31" i="12"/>
  <c r="AM32" i="12"/>
  <c r="AE33" i="12"/>
  <c r="W34" i="12"/>
  <c r="AI34" i="12"/>
  <c r="AU34" i="12"/>
  <c r="AM35" i="12"/>
  <c r="S36" i="12"/>
  <c r="AE36" i="12"/>
  <c r="AQ36" i="12"/>
  <c r="W37" i="12"/>
  <c r="AI37" i="12"/>
  <c r="AU37" i="12"/>
  <c r="X31" i="12"/>
  <c r="AJ31" i="12"/>
  <c r="AV31" i="12"/>
  <c r="AB32" i="12"/>
  <c r="AN32" i="12"/>
  <c r="T33" i="12"/>
  <c r="AF33" i="12"/>
  <c r="AR33" i="12"/>
  <c r="X34" i="12"/>
  <c r="AJ34" i="12"/>
  <c r="AV34" i="12"/>
  <c r="AB35" i="12"/>
  <c r="AN35" i="12"/>
  <c r="T36" i="12"/>
  <c r="AF36" i="12"/>
  <c r="AR36" i="12"/>
  <c r="X37" i="12"/>
  <c r="AJ37" i="12"/>
  <c r="AV37" i="12"/>
  <c r="AI31" i="12"/>
  <c r="AA32" i="12"/>
  <c r="S33" i="12"/>
  <c r="AQ33" i="12"/>
  <c r="AA35" i="12"/>
  <c r="Y31" i="12"/>
  <c r="AK31" i="12"/>
  <c r="Q32" i="12"/>
  <c r="AC32" i="12"/>
  <c r="AO32" i="12"/>
  <c r="U33" i="12"/>
  <c r="AG33" i="12"/>
  <c r="AS33" i="12"/>
  <c r="Y34" i="12"/>
  <c r="AK34" i="12"/>
  <c r="Q35" i="12"/>
  <c r="AC35" i="12"/>
  <c r="AO35" i="12"/>
  <c r="U36" i="12"/>
  <c r="AG36" i="12"/>
  <c r="AS36" i="12"/>
  <c r="Y37" i="12"/>
  <c r="AK37" i="12"/>
  <c r="Z31" i="12"/>
  <c r="AL31" i="12"/>
  <c r="R32" i="12"/>
  <c r="AD32" i="12"/>
  <c r="AP32" i="12"/>
  <c r="V33" i="12"/>
  <c r="AH33" i="12"/>
  <c r="AT33" i="12"/>
  <c r="Z34" i="12"/>
  <c r="AL34" i="12"/>
  <c r="R35" i="12"/>
  <c r="AD35" i="12"/>
  <c r="AP35" i="12"/>
  <c r="V36" i="12"/>
  <c r="AH36" i="12"/>
  <c r="AT36" i="12"/>
  <c r="Z37" i="12"/>
  <c r="AL37" i="12"/>
  <c r="AW35" i="3"/>
  <c r="AL36" i="9"/>
  <c r="AD37" i="9"/>
  <c r="AE31" i="9"/>
  <c r="W32" i="9"/>
  <c r="AU32" i="9"/>
  <c r="AM33" i="9"/>
  <c r="AE34" i="9"/>
  <c r="W35" i="9"/>
  <c r="AU35" i="9"/>
  <c r="AM36" i="9"/>
  <c r="AE37" i="9"/>
  <c r="AF31" i="9"/>
  <c r="X32" i="9"/>
  <c r="AV32" i="9"/>
  <c r="AN33" i="9"/>
  <c r="AF34" i="9"/>
  <c r="X35" i="9"/>
  <c r="AV35" i="9"/>
  <c r="AN36" i="9"/>
  <c r="AF37" i="9"/>
  <c r="AG31" i="9"/>
  <c r="Y32" i="9"/>
  <c r="Q33" i="9"/>
  <c r="AO33" i="9"/>
  <c r="AG34" i="9"/>
  <c r="Y35" i="9"/>
  <c r="Q36" i="9"/>
  <c r="AC36" i="9"/>
  <c r="U37" i="9"/>
  <c r="V31" i="9"/>
  <c r="AT31" i="9"/>
  <c r="AL32" i="9"/>
  <c r="AD33" i="9"/>
  <c r="V34" i="9"/>
  <c r="AT34" i="9"/>
  <c r="AL35" i="9"/>
  <c r="R36" i="9"/>
  <c r="AP36" i="9"/>
  <c r="V37" i="9"/>
  <c r="W31" i="9"/>
  <c r="AU31" i="9"/>
  <c r="AM32" i="9"/>
  <c r="AE33" i="9"/>
  <c r="W34" i="9"/>
  <c r="AU34" i="9"/>
  <c r="AM35" i="9"/>
  <c r="W37" i="9"/>
  <c r="AV31" i="9"/>
  <c r="AN32" i="9"/>
  <c r="AF33" i="9"/>
  <c r="X34" i="9"/>
  <c r="AV34" i="9"/>
  <c r="AN35" i="9"/>
  <c r="T36" i="9"/>
  <c r="AF36" i="9"/>
  <c r="AR36" i="9"/>
  <c r="X37" i="9"/>
  <c r="AJ37" i="9"/>
  <c r="AV37" i="9"/>
  <c r="AD34" i="9"/>
  <c r="AP34" i="9"/>
  <c r="V35" i="9"/>
  <c r="AH35" i="9"/>
  <c r="AT35" i="9"/>
  <c r="Z36" i="9"/>
  <c r="R37" i="9"/>
  <c r="S31" i="9"/>
  <c r="AQ31" i="9"/>
  <c r="AI32" i="9"/>
  <c r="AA33" i="9"/>
  <c r="S34" i="9"/>
  <c r="AQ34" i="9"/>
  <c r="AI35" i="9"/>
  <c r="AA36" i="9"/>
  <c r="S37" i="9"/>
  <c r="T31" i="9"/>
  <c r="AR31" i="9"/>
  <c r="AJ32" i="9"/>
  <c r="AB33" i="9"/>
  <c r="T34" i="9"/>
  <c r="AR34" i="9"/>
  <c r="AJ35" i="9"/>
  <c r="AB36" i="9"/>
  <c r="T37" i="9"/>
  <c r="U31" i="9"/>
  <c r="AS31" i="9"/>
  <c r="AK32" i="9"/>
  <c r="AC33" i="9"/>
  <c r="U34" i="9"/>
  <c r="AS34" i="9"/>
  <c r="AK35" i="9"/>
  <c r="AO36" i="9"/>
  <c r="AG37" i="9"/>
  <c r="AH31" i="9"/>
  <c r="Z32" i="9"/>
  <c r="R33" i="9"/>
  <c r="AP33" i="9"/>
  <c r="AH34" i="9"/>
  <c r="Z35" i="9"/>
  <c r="AD36" i="9"/>
  <c r="AH37" i="9"/>
  <c r="AI31" i="9"/>
  <c r="AA32" i="9"/>
  <c r="S33" i="9"/>
  <c r="AQ33" i="9"/>
  <c r="AI34" i="9"/>
  <c r="AA35" i="9"/>
  <c r="S36" i="9"/>
  <c r="AE36" i="9"/>
  <c r="AQ36" i="9"/>
  <c r="AI37" i="9"/>
  <c r="X31" i="9"/>
  <c r="AJ31" i="9"/>
  <c r="AB32" i="9"/>
  <c r="T33" i="9"/>
  <c r="AR33" i="9"/>
  <c r="AJ34" i="9"/>
  <c r="AB35" i="9"/>
  <c r="Y31" i="9"/>
  <c r="AK31" i="9"/>
  <c r="Q32" i="9"/>
  <c r="AC32" i="9"/>
  <c r="AO32" i="9"/>
  <c r="U33" i="9"/>
  <c r="AG33" i="9"/>
  <c r="AS33" i="9"/>
  <c r="Y34" i="9"/>
  <c r="AK34" i="9"/>
  <c r="Q35" i="9"/>
  <c r="AC35" i="9"/>
  <c r="AO35" i="9"/>
  <c r="U36" i="9"/>
  <c r="AG36" i="9"/>
  <c r="AS36" i="9"/>
  <c r="Y37" i="9"/>
  <c r="AK37" i="9"/>
  <c r="AL37" i="9"/>
  <c r="AB31" i="9"/>
  <c r="AN31" i="9"/>
  <c r="T32" i="9"/>
  <c r="AF32" i="9"/>
  <c r="AR32" i="9"/>
  <c r="X33" i="9"/>
  <c r="AJ33" i="9"/>
  <c r="AV33" i="9"/>
  <c r="AB34" i="9"/>
  <c r="AN34" i="9"/>
  <c r="T35" i="9"/>
  <c r="AF35" i="9"/>
  <c r="AR35" i="9"/>
  <c r="X36" i="9"/>
  <c r="AJ36" i="9"/>
  <c r="AV36" i="9"/>
  <c r="AB37" i="9"/>
  <c r="Q31" i="9"/>
  <c r="AC31" i="9"/>
  <c r="AO31" i="9"/>
  <c r="U32" i="9"/>
  <c r="AG32" i="9"/>
  <c r="AS32" i="9"/>
  <c r="Y33" i="9"/>
  <c r="AK33" i="9"/>
  <c r="Q34" i="9"/>
  <c r="AC34" i="9"/>
  <c r="AO34" i="9"/>
  <c r="U35" i="9"/>
  <c r="AG35" i="9"/>
  <c r="AS35" i="9"/>
  <c r="Y36" i="9"/>
  <c r="AK36" i="9"/>
  <c r="Q37" i="9"/>
  <c r="AC37" i="9"/>
  <c r="R31" i="9"/>
  <c r="AD31" i="9"/>
  <c r="AP31" i="9"/>
  <c r="V32" i="9"/>
  <c r="AH32" i="9"/>
  <c r="AT32" i="9"/>
  <c r="Z33" i="9"/>
  <c r="AL33" i="9"/>
  <c r="R34" i="9"/>
  <c r="Z31" i="9"/>
  <c r="AL31" i="9"/>
  <c r="R32" i="9"/>
  <c r="AD32" i="9"/>
  <c r="AP32" i="9"/>
  <c r="V33" i="9"/>
  <c r="AH33" i="9"/>
  <c r="AT33" i="9"/>
  <c r="Z34" i="9"/>
  <c r="AL34" i="9"/>
  <c r="R35" i="9"/>
  <c r="AD35" i="9"/>
  <c r="AP35" i="9"/>
  <c r="V36" i="9"/>
  <c r="AH36" i="9"/>
  <c r="AT36" i="9"/>
  <c r="Z37" i="9"/>
  <c r="AA31" i="9"/>
  <c r="AM31" i="9"/>
  <c r="S32" i="9"/>
  <c r="AE32" i="9"/>
  <c r="AQ32" i="9"/>
  <c r="W33" i="9"/>
  <c r="AI33" i="9"/>
  <c r="AU33" i="9"/>
  <c r="AA34" i="9"/>
  <c r="AM34" i="9"/>
  <c r="S35" i="9"/>
  <c r="AE35" i="9"/>
  <c r="AQ35" i="9"/>
  <c r="W36" i="9"/>
  <c r="AI36" i="9"/>
  <c r="AU36" i="9"/>
  <c r="AA37" i="9"/>
  <c r="AM37" i="9"/>
  <c r="AN37" i="9"/>
  <c r="AO37" i="9"/>
  <c r="AP37" i="9"/>
  <c r="AQ37" i="9"/>
  <c r="AR37" i="9"/>
  <c r="AS37" i="9"/>
  <c r="AT37" i="9"/>
  <c r="AU37" i="9"/>
  <c r="AW34" i="7"/>
  <c r="AW37" i="7"/>
  <c r="AW31" i="7"/>
  <c r="AW33" i="7"/>
  <c r="AW36" i="7"/>
  <c r="AW32" i="7"/>
  <c r="AW35" i="7"/>
  <c r="AW35" i="6"/>
  <c r="AW36" i="6"/>
  <c r="AW34" i="6"/>
  <c r="AW37" i="6"/>
  <c r="AW32" i="6"/>
  <c r="AW33" i="6"/>
  <c r="AW35" i="5"/>
  <c r="AW36" i="5"/>
  <c r="AW34" i="5"/>
  <c r="AW37" i="5"/>
  <c r="AW32" i="5"/>
  <c r="AW33" i="5"/>
  <c r="AW32" i="4"/>
  <c r="AW35" i="4"/>
  <c r="AW34" i="4"/>
  <c r="AW37" i="4"/>
  <c r="AW33" i="4"/>
  <c r="AW36" i="4"/>
  <c r="AW31" i="3"/>
  <c r="AW34" i="3"/>
  <c r="AW37" i="3"/>
  <c r="AW32" i="3"/>
  <c r="AW33" i="3"/>
  <c r="AW36" i="3"/>
  <c r="AW33" i="1"/>
  <c r="AW32" i="1"/>
  <c r="AW35" i="1"/>
  <c r="AW36" i="1"/>
  <c r="AW31" i="1"/>
  <c r="AW34" i="1"/>
  <c r="AW37" i="1"/>
  <c r="AW35" i="11"/>
  <c r="AW32" i="11"/>
  <c r="AW31" i="11"/>
  <c r="AW37" i="11"/>
  <c r="AW34" i="11"/>
  <c r="AW33" i="11"/>
  <c r="AW36" i="11"/>
  <c r="AW33" i="8"/>
  <c r="AW36" i="8"/>
  <c r="AW32" i="8"/>
  <c r="AW34" i="8"/>
  <c r="AW35" i="8"/>
  <c r="AW31" i="8"/>
  <c r="AW37" i="8"/>
  <c r="Y31" i="6"/>
  <c r="Z31" i="6"/>
  <c r="S31" i="5"/>
  <c r="AD31" i="6"/>
  <c r="AB31" i="5"/>
  <c r="AF31" i="6"/>
  <c r="AG31" i="5"/>
  <c r="AI31" i="6"/>
  <c r="AO31" i="5"/>
  <c r="AJ31" i="6"/>
  <c r="AU31" i="5"/>
  <c r="AK31" i="6"/>
  <c r="Q31" i="6"/>
  <c r="AL31" i="6"/>
  <c r="S31" i="6"/>
  <c r="AM31" i="6"/>
  <c r="U31" i="6"/>
  <c r="AQ31" i="6"/>
  <c r="W31" i="6"/>
  <c r="AS31" i="6"/>
  <c r="X31" i="6"/>
  <c r="AV31" i="6"/>
  <c r="R31" i="6"/>
  <c r="AE31" i="6"/>
  <c r="AR31" i="6"/>
  <c r="AC31" i="5"/>
  <c r="AD31" i="5"/>
  <c r="T31" i="6"/>
  <c r="AG31" i="6"/>
  <c r="AU31" i="6"/>
  <c r="AN30" i="5"/>
  <c r="AM31" i="5"/>
  <c r="AA31" i="5"/>
  <c r="AL31" i="5"/>
  <c r="Z31" i="5"/>
  <c r="AV31" i="5"/>
  <c r="AJ31" i="5"/>
  <c r="X31" i="5"/>
  <c r="AT31" i="5"/>
  <c r="AH31" i="5"/>
  <c r="V31" i="5"/>
  <c r="AR31" i="5"/>
  <c r="AF31" i="5"/>
  <c r="T31" i="5"/>
  <c r="AI31" i="5"/>
  <c r="Q31" i="5"/>
  <c r="AK31" i="5"/>
  <c r="R31" i="5"/>
  <c r="AN31" i="5"/>
  <c r="AA31" i="6"/>
  <c r="AN31" i="6"/>
  <c r="U31" i="5"/>
  <c r="AP31" i="5"/>
  <c r="AB31" i="6"/>
  <c r="W31" i="5"/>
  <c r="AQ31" i="5"/>
  <c r="AT31" i="6"/>
  <c r="AH31" i="6"/>
  <c r="V31" i="6"/>
  <c r="AC31" i="6"/>
  <c r="AP31" i="6"/>
  <c r="Y31" i="5"/>
  <c r="AS31" i="5"/>
  <c r="AN30" i="6"/>
  <c r="X24" i="6"/>
  <c r="AU20" i="12"/>
  <c r="AO22" i="12"/>
  <c r="Z25" i="12"/>
  <c r="T27" i="12"/>
  <c r="AR27" i="12"/>
  <c r="Z29" i="12"/>
  <c r="AO30" i="12"/>
  <c r="X20" i="12"/>
  <c r="AJ20" i="12"/>
  <c r="AV20" i="12"/>
  <c r="AA21" i="12"/>
  <c r="AM21" i="12"/>
  <c r="R22" i="12"/>
  <c r="AD22" i="12"/>
  <c r="AP22" i="12"/>
  <c r="U23" i="12"/>
  <c r="AG23" i="12"/>
  <c r="AS23" i="12"/>
  <c r="X24" i="12"/>
  <c r="AJ24" i="12"/>
  <c r="AV24" i="12"/>
  <c r="AA25" i="12"/>
  <c r="AM25" i="12"/>
  <c r="R26" i="12"/>
  <c r="AD26" i="12"/>
  <c r="AP26" i="12"/>
  <c r="U27" i="12"/>
  <c r="AG27" i="12"/>
  <c r="AS27" i="12"/>
  <c r="X28" i="12"/>
  <c r="AJ28" i="12"/>
  <c r="AV28" i="12"/>
  <c r="AA29" i="12"/>
  <c r="AM29" i="12"/>
  <c r="R30" i="12"/>
  <c r="AD30" i="12"/>
  <c r="AP30" i="12"/>
  <c r="AI20" i="12"/>
  <c r="Q22" i="12"/>
  <c r="AR23" i="12"/>
  <c r="AI24" i="12"/>
  <c r="AC26" i="12"/>
  <c r="W28" i="12"/>
  <c r="Y20" i="12"/>
  <c r="AK20" i="12"/>
  <c r="AB21" i="12"/>
  <c r="AN21" i="12"/>
  <c r="S22" i="12"/>
  <c r="AE22" i="12"/>
  <c r="AQ22" i="12"/>
  <c r="V23" i="12"/>
  <c r="AH23" i="12"/>
  <c r="AT23" i="12"/>
  <c r="Y24" i="12"/>
  <c r="AK24" i="12"/>
  <c r="AB25" i="12"/>
  <c r="AN25" i="12"/>
  <c r="S26" i="12"/>
  <c r="AE26" i="12"/>
  <c r="AQ26" i="12"/>
  <c r="V27" i="12"/>
  <c r="AH27" i="12"/>
  <c r="AT27" i="12"/>
  <c r="Y28" i="12"/>
  <c r="AK28" i="12"/>
  <c r="AB29" i="12"/>
  <c r="AN29" i="12"/>
  <c r="S30" i="12"/>
  <c r="AE30" i="12"/>
  <c r="AQ30" i="12"/>
  <c r="Z20" i="12"/>
  <c r="AL20" i="12"/>
  <c r="Q21" i="12"/>
  <c r="AC21" i="12"/>
  <c r="AO21" i="12"/>
  <c r="T22" i="12"/>
  <c r="AF22" i="12"/>
  <c r="AR22" i="12"/>
  <c r="W23" i="12"/>
  <c r="AI23" i="12"/>
  <c r="AU23" i="12"/>
  <c r="Z24" i="12"/>
  <c r="AL24" i="12"/>
  <c r="Q25" i="12"/>
  <c r="AC25" i="12"/>
  <c r="AO25" i="12"/>
  <c r="T26" i="12"/>
  <c r="AF26" i="12"/>
  <c r="AR26" i="12"/>
  <c r="W27" i="12"/>
  <c r="AI27" i="12"/>
  <c r="AU27" i="12"/>
  <c r="Z28" i="12"/>
  <c r="AL28" i="12"/>
  <c r="Q29" i="12"/>
  <c r="AC29" i="12"/>
  <c r="AO29" i="12"/>
  <c r="T30" i="12"/>
  <c r="AF30" i="12"/>
  <c r="AR30" i="12"/>
  <c r="W20" i="12"/>
  <c r="AL21" i="12"/>
  <c r="AF23" i="12"/>
  <c r="W24" i="12"/>
  <c r="Q26" i="12"/>
  <c r="AU28" i="12"/>
  <c r="AA20" i="12"/>
  <c r="AM20" i="12"/>
  <c r="R21" i="12"/>
  <c r="AD21" i="12"/>
  <c r="AP21" i="12"/>
  <c r="U22" i="12"/>
  <c r="AG22" i="12"/>
  <c r="AS22" i="12"/>
  <c r="X23" i="12"/>
  <c r="AJ23" i="12"/>
  <c r="AV23" i="12"/>
  <c r="AA24" i="12"/>
  <c r="AM24" i="12"/>
  <c r="R25" i="12"/>
  <c r="AD25" i="12"/>
  <c r="AP25" i="12"/>
  <c r="U26" i="12"/>
  <c r="AG26" i="12"/>
  <c r="AS26" i="12"/>
  <c r="X27" i="12"/>
  <c r="AJ27" i="12"/>
  <c r="AV27" i="12"/>
  <c r="AA28" i="12"/>
  <c r="AM28" i="12"/>
  <c r="R29" i="12"/>
  <c r="AD29" i="12"/>
  <c r="AP29" i="12"/>
  <c r="U30" i="12"/>
  <c r="AG30" i="12"/>
  <c r="AS30" i="12"/>
  <c r="AC22" i="12"/>
  <c r="AL25" i="12"/>
  <c r="Q30" i="12"/>
  <c r="AB20" i="12"/>
  <c r="AN20" i="12"/>
  <c r="S21" i="12"/>
  <c r="AE21" i="12"/>
  <c r="AQ21" i="12"/>
  <c r="V22" i="12"/>
  <c r="AH22" i="12"/>
  <c r="AT22" i="12"/>
  <c r="Y23" i="12"/>
  <c r="AK23" i="12"/>
  <c r="AB24" i="12"/>
  <c r="AN24" i="12"/>
  <c r="S25" i="12"/>
  <c r="AE25" i="12"/>
  <c r="AQ25" i="12"/>
  <c r="V26" i="12"/>
  <c r="AH26" i="12"/>
  <c r="AT26" i="12"/>
  <c r="Y27" i="12"/>
  <c r="AK27" i="12"/>
  <c r="AB28" i="12"/>
  <c r="AN28" i="12"/>
  <c r="S29" i="12"/>
  <c r="AE29" i="12"/>
  <c r="AQ29" i="12"/>
  <c r="V30" i="12"/>
  <c r="AH30" i="12"/>
  <c r="AT30" i="12"/>
  <c r="Z21" i="12"/>
  <c r="T23" i="12"/>
  <c r="AU24" i="12"/>
  <c r="AO26" i="12"/>
  <c r="AF27" i="12"/>
  <c r="AI28" i="12"/>
  <c r="AL29" i="12"/>
  <c r="AC30" i="12"/>
  <c r="Q20" i="12"/>
  <c r="AC20" i="12"/>
  <c r="AO20" i="12"/>
  <c r="T21" i="12"/>
  <c r="AF21" i="12"/>
  <c r="AR21" i="12"/>
  <c r="W22" i="12"/>
  <c r="AI22" i="12"/>
  <c r="AU22" i="12"/>
  <c r="Z23" i="12"/>
  <c r="AL23" i="12"/>
  <c r="Q24" i="12"/>
  <c r="AC24" i="12"/>
  <c r="AO24" i="12"/>
  <c r="T25" i="12"/>
  <c r="AF25" i="12"/>
  <c r="AR25" i="12"/>
  <c r="W26" i="12"/>
  <c r="AI26" i="12"/>
  <c r="AU26" i="12"/>
  <c r="Z27" i="12"/>
  <c r="AL27" i="12"/>
  <c r="Q28" i="12"/>
  <c r="AC28" i="12"/>
  <c r="AO28" i="12"/>
  <c r="T29" i="12"/>
  <c r="AF29" i="12"/>
  <c r="AR29" i="12"/>
  <c r="W30" i="12"/>
  <c r="AI30" i="12"/>
  <c r="AU30" i="12"/>
  <c r="R20" i="12"/>
  <c r="AD20" i="12"/>
  <c r="AP20" i="12"/>
  <c r="U21" i="12"/>
  <c r="AG21" i="12"/>
  <c r="AS21" i="12"/>
  <c r="X22" i="12"/>
  <c r="AJ22" i="12"/>
  <c r="AV22" i="12"/>
  <c r="AA23" i="12"/>
  <c r="AM23" i="12"/>
  <c r="R24" i="12"/>
  <c r="AD24" i="12"/>
  <c r="AP24" i="12"/>
  <c r="U25" i="12"/>
  <c r="AG25" i="12"/>
  <c r="AS25" i="12"/>
  <c r="X26" i="12"/>
  <c r="AJ26" i="12"/>
  <c r="AV26" i="12"/>
  <c r="AA27" i="12"/>
  <c r="AM27" i="12"/>
  <c r="R28" i="12"/>
  <c r="AD28" i="12"/>
  <c r="AP28" i="12"/>
  <c r="U29" i="12"/>
  <c r="AG29" i="12"/>
  <c r="AS29" i="12"/>
  <c r="X30" i="12"/>
  <c r="AJ30" i="12"/>
  <c r="AV30" i="12"/>
  <c r="P19" i="12"/>
  <c r="S20" i="12"/>
  <c r="AE20" i="12"/>
  <c r="AQ20" i="12"/>
  <c r="V21" i="12"/>
  <c r="AH21" i="12"/>
  <c r="AT21" i="12"/>
  <c r="Y22" i="12"/>
  <c r="AK22" i="12"/>
  <c r="AB23" i="12"/>
  <c r="AN23" i="12"/>
  <c r="S24" i="12"/>
  <c r="AE24" i="12"/>
  <c r="AQ24" i="12"/>
  <c r="V25" i="12"/>
  <c r="AH25" i="12"/>
  <c r="AT25" i="12"/>
  <c r="Y26" i="12"/>
  <c r="AK26" i="12"/>
  <c r="AB27" i="12"/>
  <c r="AN27" i="12"/>
  <c r="S28" i="12"/>
  <c r="AE28" i="12"/>
  <c r="AQ28" i="12"/>
  <c r="V29" i="12"/>
  <c r="AH29" i="12"/>
  <c r="AT29" i="12"/>
  <c r="Y30" i="12"/>
  <c r="AK30" i="12"/>
  <c r="T20" i="12"/>
  <c r="AF20" i="12"/>
  <c r="AR20" i="12"/>
  <c r="W21" i="12"/>
  <c r="AI21" i="12"/>
  <c r="AU21" i="12"/>
  <c r="Z22" i="12"/>
  <c r="AL22" i="12"/>
  <c r="Q23" i="12"/>
  <c r="AC23" i="12"/>
  <c r="AO23" i="12"/>
  <c r="T24" i="12"/>
  <c r="AF24" i="12"/>
  <c r="AR24" i="12"/>
  <c r="W25" i="12"/>
  <c r="AI25" i="12"/>
  <c r="AU25" i="12"/>
  <c r="Z26" i="12"/>
  <c r="AL26" i="12"/>
  <c r="Q27" i="12"/>
  <c r="AC27" i="12"/>
  <c r="AO27" i="12"/>
  <c r="T28" i="12"/>
  <c r="AF28" i="12"/>
  <c r="AR28" i="12"/>
  <c r="W29" i="12"/>
  <c r="AI29" i="12"/>
  <c r="AU29" i="12"/>
  <c r="Z30" i="12"/>
  <c r="AL30" i="12"/>
  <c r="U20" i="12"/>
  <c r="AG20" i="12"/>
  <c r="AS20" i="12"/>
  <c r="X21" i="12"/>
  <c r="AJ21" i="12"/>
  <c r="AV21" i="12"/>
  <c r="AA22" i="12"/>
  <c r="AM22" i="12"/>
  <c r="R23" i="12"/>
  <c r="AD23" i="12"/>
  <c r="AP23" i="12"/>
  <c r="U24" i="12"/>
  <c r="AG24" i="12"/>
  <c r="AS24" i="12"/>
  <c r="X25" i="12"/>
  <c r="AJ25" i="12"/>
  <c r="AV25" i="12"/>
  <c r="AA26" i="12"/>
  <c r="AM26" i="12"/>
  <c r="R27" i="12"/>
  <c r="AD27" i="12"/>
  <c r="AP27" i="12"/>
  <c r="U28" i="12"/>
  <c r="AG28" i="12"/>
  <c r="AS28" i="12"/>
  <c r="X29" i="12"/>
  <c r="AJ29" i="12"/>
  <c r="AV29" i="12"/>
  <c r="AA30" i="12"/>
  <c r="AM30" i="12"/>
  <c r="V20" i="12"/>
  <c r="AH20" i="12"/>
  <c r="AT20" i="12"/>
  <c r="Y21" i="12"/>
  <c r="AK21" i="12"/>
  <c r="AB22" i="12"/>
  <c r="AN22" i="12"/>
  <c r="S23" i="12"/>
  <c r="AE23" i="12"/>
  <c r="AQ23" i="12"/>
  <c r="V24" i="12"/>
  <c r="AH24" i="12"/>
  <c r="AT24" i="12"/>
  <c r="Y25" i="12"/>
  <c r="AK25" i="12"/>
  <c r="AB26" i="12"/>
  <c r="AN26" i="12"/>
  <c r="S27" i="12"/>
  <c r="AE27" i="12"/>
  <c r="AQ27" i="12"/>
  <c r="V28" i="12"/>
  <c r="AH28" i="12"/>
  <c r="AT28" i="12"/>
  <c r="Y29" i="12"/>
  <c r="AK29" i="12"/>
  <c r="AB30" i="12"/>
  <c r="W30" i="11"/>
  <c r="W20" i="11"/>
  <c r="AI20" i="11"/>
  <c r="AU20" i="11"/>
  <c r="Z21" i="11"/>
  <c r="AL21" i="11"/>
  <c r="Q22" i="11"/>
  <c r="AC22" i="11"/>
  <c r="AO22" i="11"/>
  <c r="T23" i="11"/>
  <c r="AF23" i="11"/>
  <c r="AR23" i="11"/>
  <c r="W24" i="11"/>
  <c r="AI24" i="11"/>
  <c r="AU24" i="11"/>
  <c r="Z25" i="11"/>
  <c r="AL25" i="11"/>
  <c r="Q26" i="11"/>
  <c r="AC26" i="11"/>
  <c r="AO26" i="11"/>
  <c r="T27" i="11"/>
  <c r="AF27" i="11"/>
  <c r="AR27" i="11"/>
  <c r="W28" i="11"/>
  <c r="AI28" i="11"/>
  <c r="AU28" i="11"/>
  <c r="Z29" i="11"/>
  <c r="AL29" i="11"/>
  <c r="Q30" i="11"/>
  <c r="AC30" i="11"/>
  <c r="AO30" i="11"/>
  <c r="AO28" i="11"/>
  <c r="X20" i="11"/>
  <c r="AJ20" i="11"/>
  <c r="AV20" i="11"/>
  <c r="AA21" i="11"/>
  <c r="AM21" i="11"/>
  <c r="R22" i="11"/>
  <c r="AD22" i="11"/>
  <c r="AP22" i="11"/>
  <c r="U23" i="11"/>
  <c r="AG23" i="11"/>
  <c r="AS23" i="11"/>
  <c r="X24" i="11"/>
  <c r="AJ24" i="11"/>
  <c r="AV24" i="11"/>
  <c r="AA25" i="11"/>
  <c r="AM25" i="11"/>
  <c r="R26" i="11"/>
  <c r="AD26" i="11"/>
  <c r="AP26" i="11"/>
  <c r="U27" i="11"/>
  <c r="AG27" i="11"/>
  <c r="AS27" i="11"/>
  <c r="X28" i="11"/>
  <c r="AJ28" i="11"/>
  <c r="AV28" i="11"/>
  <c r="AA29" i="11"/>
  <c r="AM29" i="11"/>
  <c r="R30" i="11"/>
  <c r="AD30" i="11"/>
  <c r="AP30" i="11"/>
  <c r="T29" i="11"/>
  <c r="Y20" i="11"/>
  <c r="AK20" i="11"/>
  <c r="AB21" i="11"/>
  <c r="AN21" i="11"/>
  <c r="S22" i="11"/>
  <c r="AE22" i="11"/>
  <c r="AQ22" i="11"/>
  <c r="V23" i="11"/>
  <c r="AH23" i="11"/>
  <c r="AT23" i="11"/>
  <c r="Y24" i="11"/>
  <c r="AK24" i="11"/>
  <c r="AB25" i="11"/>
  <c r="AN25" i="11"/>
  <c r="S26" i="11"/>
  <c r="AE26" i="11"/>
  <c r="AQ26" i="11"/>
  <c r="V27" i="11"/>
  <c r="AH27" i="11"/>
  <c r="AT27" i="11"/>
  <c r="Y28" i="11"/>
  <c r="AK28" i="11"/>
  <c r="AB29" i="11"/>
  <c r="AN29" i="11"/>
  <c r="S30" i="11"/>
  <c r="AE30" i="11"/>
  <c r="AQ30" i="11"/>
  <c r="Z20" i="11"/>
  <c r="AL20" i="11"/>
  <c r="Q21" i="11"/>
  <c r="AC21" i="11"/>
  <c r="AO21" i="11"/>
  <c r="T22" i="11"/>
  <c r="AF22" i="11"/>
  <c r="AR22" i="11"/>
  <c r="W23" i="11"/>
  <c r="AI23" i="11"/>
  <c r="AU23" i="11"/>
  <c r="Z24" i="11"/>
  <c r="AL24" i="11"/>
  <c r="Q25" i="11"/>
  <c r="AC25" i="11"/>
  <c r="AO25" i="11"/>
  <c r="T26" i="11"/>
  <c r="AF26" i="11"/>
  <c r="AR26" i="11"/>
  <c r="W27" i="11"/>
  <c r="AI27" i="11"/>
  <c r="AU27" i="11"/>
  <c r="Z28" i="11"/>
  <c r="AL28" i="11"/>
  <c r="Q29" i="11"/>
  <c r="AC29" i="11"/>
  <c r="AO29" i="11"/>
  <c r="T30" i="11"/>
  <c r="AF30" i="11"/>
  <c r="AR30" i="11"/>
  <c r="AC28" i="11"/>
  <c r="AA20" i="11"/>
  <c r="AM20" i="11"/>
  <c r="R21" i="11"/>
  <c r="AD21" i="11"/>
  <c r="AP21" i="11"/>
  <c r="U22" i="11"/>
  <c r="AG22" i="11"/>
  <c r="AS22" i="11"/>
  <c r="X23" i="11"/>
  <c r="AJ23" i="11"/>
  <c r="AV23" i="11"/>
  <c r="AA24" i="11"/>
  <c r="AM24" i="11"/>
  <c r="R25" i="11"/>
  <c r="AD25" i="11"/>
  <c r="AP25" i="11"/>
  <c r="U26" i="11"/>
  <c r="AG26" i="11"/>
  <c r="AS26" i="11"/>
  <c r="X27" i="11"/>
  <c r="AJ27" i="11"/>
  <c r="AV27" i="11"/>
  <c r="AA28" i="11"/>
  <c r="AM28" i="11"/>
  <c r="R29" i="11"/>
  <c r="AD29" i="11"/>
  <c r="AP29" i="11"/>
  <c r="U30" i="11"/>
  <c r="AG30" i="11"/>
  <c r="AS30" i="11"/>
  <c r="Q28" i="11"/>
  <c r="AB20" i="11"/>
  <c r="AN20" i="11"/>
  <c r="S21" i="11"/>
  <c r="AE21" i="11"/>
  <c r="AQ21" i="11"/>
  <c r="V22" i="11"/>
  <c r="AH22" i="11"/>
  <c r="AT22" i="11"/>
  <c r="Y23" i="11"/>
  <c r="AK23" i="11"/>
  <c r="AB24" i="11"/>
  <c r="AN24" i="11"/>
  <c r="S25" i="11"/>
  <c r="AE25" i="11"/>
  <c r="AQ25" i="11"/>
  <c r="V26" i="11"/>
  <c r="AH26" i="11"/>
  <c r="AT26" i="11"/>
  <c r="Y27" i="11"/>
  <c r="AK27" i="11"/>
  <c r="AB28" i="11"/>
  <c r="AN28" i="11"/>
  <c r="S29" i="11"/>
  <c r="AE29" i="11"/>
  <c r="AQ29" i="11"/>
  <c r="V30" i="11"/>
  <c r="AH30" i="11"/>
  <c r="AT30" i="11"/>
  <c r="Q20" i="11"/>
  <c r="AC20" i="11"/>
  <c r="AO20" i="11"/>
  <c r="T21" i="11"/>
  <c r="AF21" i="11"/>
  <c r="AR21" i="11"/>
  <c r="W22" i="11"/>
  <c r="AI22" i="11"/>
  <c r="AU22" i="11"/>
  <c r="Z23" i="11"/>
  <c r="AL23" i="11"/>
  <c r="Q24" i="11"/>
  <c r="AC24" i="11"/>
  <c r="AO24" i="11"/>
  <c r="T25" i="11"/>
  <c r="AF25" i="11"/>
  <c r="AR25" i="11"/>
  <c r="W26" i="11"/>
  <c r="AI26" i="11"/>
  <c r="AU26" i="11"/>
  <c r="Z27" i="11"/>
  <c r="AL27" i="11"/>
  <c r="R20" i="11"/>
  <c r="AD20" i="11"/>
  <c r="AP20" i="11"/>
  <c r="U21" i="11"/>
  <c r="AG21" i="11"/>
  <c r="AS21" i="11"/>
  <c r="X22" i="11"/>
  <c r="AJ22" i="11"/>
  <c r="AV22" i="11"/>
  <c r="AA23" i="11"/>
  <c r="AM23" i="11"/>
  <c r="R24" i="11"/>
  <c r="AD24" i="11"/>
  <c r="AP24" i="11"/>
  <c r="U25" i="11"/>
  <c r="AG25" i="11"/>
  <c r="AS25" i="11"/>
  <c r="X26" i="11"/>
  <c r="AJ26" i="11"/>
  <c r="AV26" i="11"/>
  <c r="AA27" i="11"/>
  <c r="AM27" i="11"/>
  <c r="R28" i="11"/>
  <c r="AD28" i="11"/>
  <c r="AP28" i="11"/>
  <c r="U29" i="11"/>
  <c r="AG29" i="11"/>
  <c r="AS29" i="11"/>
  <c r="X30" i="11"/>
  <c r="AJ30" i="11"/>
  <c r="AV30" i="11"/>
  <c r="AU30" i="11"/>
  <c r="P19" i="11"/>
  <c r="S20" i="11"/>
  <c r="AE20" i="11"/>
  <c r="AQ20" i="11"/>
  <c r="V21" i="11"/>
  <c r="AH21" i="11"/>
  <c r="AT21" i="11"/>
  <c r="Y22" i="11"/>
  <c r="AK22" i="11"/>
  <c r="AB23" i="11"/>
  <c r="AN23" i="11"/>
  <c r="S24" i="11"/>
  <c r="AE24" i="11"/>
  <c r="AQ24" i="11"/>
  <c r="V25" i="11"/>
  <c r="AH25" i="11"/>
  <c r="AT25" i="11"/>
  <c r="Y26" i="11"/>
  <c r="AK26" i="11"/>
  <c r="AB27" i="11"/>
  <c r="AN27" i="11"/>
  <c r="S28" i="11"/>
  <c r="AE28" i="11"/>
  <c r="AQ28" i="11"/>
  <c r="V29" i="11"/>
  <c r="AH29" i="11"/>
  <c r="AT29" i="11"/>
  <c r="Y30" i="11"/>
  <c r="AK30" i="11"/>
  <c r="AR29" i="11"/>
  <c r="T20" i="11"/>
  <c r="AF20" i="11"/>
  <c r="AR20" i="11"/>
  <c r="W21" i="11"/>
  <c r="AI21" i="11"/>
  <c r="AU21" i="11"/>
  <c r="Z22" i="11"/>
  <c r="AL22" i="11"/>
  <c r="Q23" i="11"/>
  <c r="AC23" i="11"/>
  <c r="AO23" i="11"/>
  <c r="T24" i="11"/>
  <c r="AF24" i="11"/>
  <c r="AR24" i="11"/>
  <c r="W25" i="11"/>
  <c r="AI25" i="11"/>
  <c r="AU25" i="11"/>
  <c r="Z26" i="11"/>
  <c r="AL26" i="11"/>
  <c r="Q27" i="11"/>
  <c r="AC27" i="11"/>
  <c r="AO27" i="11"/>
  <c r="T28" i="11"/>
  <c r="AF28" i="11"/>
  <c r="AR28" i="11"/>
  <c r="W29" i="11"/>
  <c r="AI29" i="11"/>
  <c r="AU29" i="11"/>
  <c r="Z30" i="11"/>
  <c r="AL30" i="11"/>
  <c r="AF29" i="11"/>
  <c r="U20" i="11"/>
  <c r="AG20" i="11"/>
  <c r="AS20" i="11"/>
  <c r="X21" i="11"/>
  <c r="AJ21" i="11"/>
  <c r="AV21" i="11"/>
  <c r="AA22" i="11"/>
  <c r="AM22" i="11"/>
  <c r="R23" i="11"/>
  <c r="AD23" i="11"/>
  <c r="AP23" i="11"/>
  <c r="U24" i="11"/>
  <c r="AG24" i="11"/>
  <c r="AS24" i="11"/>
  <c r="X25" i="11"/>
  <c r="AJ25" i="11"/>
  <c r="AV25" i="11"/>
  <c r="AA26" i="11"/>
  <c r="AM26" i="11"/>
  <c r="R27" i="11"/>
  <c r="AD27" i="11"/>
  <c r="AP27" i="11"/>
  <c r="U28" i="11"/>
  <c r="AG28" i="11"/>
  <c r="AS28" i="11"/>
  <c r="X29" i="11"/>
  <c r="AJ29" i="11"/>
  <c r="AV29" i="11"/>
  <c r="AA30" i="11"/>
  <c r="AM30" i="11"/>
  <c r="AI30" i="11"/>
  <c r="V20" i="11"/>
  <c r="AH20" i="11"/>
  <c r="AT20" i="11"/>
  <c r="Y21" i="11"/>
  <c r="AK21" i="11"/>
  <c r="AB22" i="11"/>
  <c r="AN22" i="11"/>
  <c r="S23" i="11"/>
  <c r="AE23" i="11"/>
  <c r="AQ23" i="11"/>
  <c r="V24" i="11"/>
  <c r="AH24" i="11"/>
  <c r="AT24" i="11"/>
  <c r="Y25" i="11"/>
  <c r="AK25" i="11"/>
  <c r="AB26" i="11"/>
  <c r="AN26" i="11"/>
  <c r="S27" i="11"/>
  <c r="AE27" i="11"/>
  <c r="AQ27" i="11"/>
  <c r="V28" i="11"/>
  <c r="AH28" i="11"/>
  <c r="AT28" i="11"/>
  <c r="Y29" i="11"/>
  <c r="AK29" i="11"/>
  <c r="AB30" i="11"/>
  <c r="X20" i="1"/>
  <c r="AJ20" i="1"/>
  <c r="AV20" i="1"/>
  <c r="AA21" i="1"/>
  <c r="AM21" i="1"/>
  <c r="R22" i="1"/>
  <c r="AD22" i="1"/>
  <c r="AP22" i="1"/>
  <c r="U23" i="1"/>
  <c r="AG23" i="1"/>
  <c r="AS23" i="1"/>
  <c r="X24" i="1"/>
  <c r="AJ24" i="1"/>
  <c r="AV24" i="1"/>
  <c r="AA25" i="1"/>
  <c r="AM25" i="1"/>
  <c r="R26" i="1"/>
  <c r="AD26" i="1"/>
  <c r="AP26" i="1"/>
  <c r="U27" i="1"/>
  <c r="AG27" i="1"/>
  <c r="AS27" i="1"/>
  <c r="X28" i="1"/>
  <c r="AJ28" i="1"/>
  <c r="AV28" i="1"/>
  <c r="AA29" i="1"/>
  <c r="AM29" i="1"/>
  <c r="R30" i="1"/>
  <c r="AD30" i="1"/>
  <c r="AP30" i="1"/>
  <c r="Y20" i="1"/>
  <c r="AK20" i="1"/>
  <c r="AB21" i="1"/>
  <c r="AN21" i="1"/>
  <c r="S22" i="1"/>
  <c r="AE22" i="1"/>
  <c r="AQ22" i="1"/>
  <c r="V23" i="1"/>
  <c r="AH23" i="1"/>
  <c r="AT23" i="1"/>
  <c r="Y24" i="1"/>
  <c r="AK24" i="1"/>
  <c r="AB25" i="1"/>
  <c r="AN25" i="1"/>
  <c r="S26" i="1"/>
  <c r="AE26" i="1"/>
  <c r="AQ26" i="1"/>
  <c r="V27" i="1"/>
  <c r="AH27" i="1"/>
  <c r="AT27" i="1"/>
  <c r="Y28" i="1"/>
  <c r="AK28" i="1"/>
  <c r="AB29" i="1"/>
  <c r="AN29" i="1"/>
  <c r="S30" i="1"/>
  <c r="AE30" i="1"/>
  <c r="AQ30" i="1"/>
  <c r="Z20" i="1"/>
  <c r="AL20" i="1"/>
  <c r="Q21" i="1"/>
  <c r="AC21" i="1"/>
  <c r="AO21" i="1"/>
  <c r="T22" i="1"/>
  <c r="AF22" i="1"/>
  <c r="AR22" i="1"/>
  <c r="W23" i="1"/>
  <c r="AI23" i="1"/>
  <c r="AU23" i="1"/>
  <c r="Z24" i="1"/>
  <c r="AL24" i="1"/>
  <c r="Q25" i="1"/>
  <c r="AC25" i="1"/>
  <c r="AO25" i="1"/>
  <c r="T26" i="1"/>
  <c r="AF26" i="1"/>
  <c r="AR26" i="1"/>
  <c r="W27" i="1"/>
  <c r="AI27" i="1"/>
  <c r="AU27" i="1"/>
  <c r="Z28" i="1"/>
  <c r="AL28" i="1"/>
  <c r="Q29" i="1"/>
  <c r="AC29" i="1"/>
  <c r="AO29" i="1"/>
  <c r="T30" i="1"/>
  <c r="AF30" i="1"/>
  <c r="AR30" i="1"/>
  <c r="AA20" i="1"/>
  <c r="AM20" i="1"/>
  <c r="R21" i="1"/>
  <c r="AD21" i="1"/>
  <c r="AP21" i="1"/>
  <c r="U22" i="1"/>
  <c r="AG22" i="1"/>
  <c r="AS22" i="1"/>
  <c r="X23" i="1"/>
  <c r="AJ23" i="1"/>
  <c r="AV23" i="1"/>
  <c r="AA24" i="1"/>
  <c r="AM24" i="1"/>
  <c r="R25" i="1"/>
  <c r="AD25" i="1"/>
  <c r="AP25" i="1"/>
  <c r="U26" i="1"/>
  <c r="AG26" i="1"/>
  <c r="AS26" i="1"/>
  <c r="X27" i="1"/>
  <c r="AJ27" i="1"/>
  <c r="AV27" i="1"/>
  <c r="AA28" i="1"/>
  <c r="AM28" i="1"/>
  <c r="R29" i="1"/>
  <c r="AD29" i="1"/>
  <c r="AP29" i="1"/>
  <c r="U30" i="1"/>
  <c r="AG30" i="1"/>
  <c r="AS30" i="1"/>
  <c r="W20" i="1"/>
  <c r="AI20" i="1"/>
  <c r="AU20" i="1"/>
  <c r="Z21" i="1"/>
  <c r="AL21" i="1"/>
  <c r="Q22" i="1"/>
  <c r="AC22" i="1"/>
  <c r="AO22" i="1"/>
  <c r="T23" i="1"/>
  <c r="AF23" i="1"/>
  <c r="AR23" i="1"/>
  <c r="W24" i="1"/>
  <c r="AI24" i="1"/>
  <c r="Z25" i="1"/>
  <c r="AL25" i="1"/>
  <c r="Q26" i="1"/>
  <c r="AC26" i="1"/>
  <c r="AO26" i="1"/>
  <c r="T27" i="1"/>
  <c r="AF27" i="1"/>
  <c r="AR27" i="1"/>
  <c r="W28" i="1"/>
  <c r="AI28" i="1"/>
  <c r="AU28" i="1"/>
  <c r="Z29" i="1"/>
  <c r="AL29" i="1"/>
  <c r="Q30" i="1"/>
  <c r="AC30" i="1"/>
  <c r="AO30" i="1"/>
  <c r="AB20" i="1"/>
  <c r="AN20" i="1"/>
  <c r="S21" i="1"/>
  <c r="AE21" i="1"/>
  <c r="AQ21" i="1"/>
  <c r="V22" i="1"/>
  <c r="AH22" i="1"/>
  <c r="AT22" i="1"/>
  <c r="Y23" i="1"/>
  <c r="AK23" i="1"/>
  <c r="AB24" i="1"/>
  <c r="AN24" i="1"/>
  <c r="S25" i="1"/>
  <c r="AE25" i="1"/>
  <c r="AQ25" i="1"/>
  <c r="V26" i="1"/>
  <c r="AH26" i="1"/>
  <c r="AT26" i="1"/>
  <c r="Y27" i="1"/>
  <c r="AK27" i="1"/>
  <c r="AB28" i="1"/>
  <c r="AN28" i="1"/>
  <c r="S29" i="1"/>
  <c r="AE29" i="1"/>
  <c r="AQ29" i="1"/>
  <c r="V30" i="1"/>
  <c r="AH30" i="1"/>
  <c r="AT30" i="1"/>
  <c r="Q20" i="1"/>
  <c r="AC20" i="1"/>
  <c r="AO20" i="1"/>
  <c r="T21" i="1"/>
  <c r="AF21" i="1"/>
  <c r="AR21" i="1"/>
  <c r="W22" i="1"/>
  <c r="AI22" i="1"/>
  <c r="AU22" i="1"/>
  <c r="Z23" i="1"/>
  <c r="AL23" i="1"/>
  <c r="Q24" i="1"/>
  <c r="AC24" i="1"/>
  <c r="AO24" i="1"/>
  <c r="T25" i="1"/>
  <c r="AF25" i="1"/>
  <c r="AR25" i="1"/>
  <c r="W26" i="1"/>
  <c r="AI26" i="1"/>
  <c r="AU26" i="1"/>
  <c r="Z27" i="1"/>
  <c r="AL27" i="1"/>
  <c r="Q28" i="1"/>
  <c r="AC28" i="1"/>
  <c r="AO28" i="1"/>
  <c r="T29" i="1"/>
  <c r="AF29" i="1"/>
  <c r="AR29" i="1"/>
  <c r="W30" i="1"/>
  <c r="AI30" i="1"/>
  <c r="AU30" i="1"/>
  <c r="R20" i="1"/>
  <c r="AD20" i="1"/>
  <c r="AP20" i="1"/>
  <c r="U21" i="1"/>
  <c r="AG21" i="1"/>
  <c r="AS21" i="1"/>
  <c r="X22" i="1"/>
  <c r="AJ22" i="1"/>
  <c r="AV22" i="1"/>
  <c r="AA23" i="1"/>
  <c r="AM23" i="1"/>
  <c r="R24" i="1"/>
  <c r="AD24" i="1"/>
  <c r="AP24" i="1"/>
  <c r="U25" i="1"/>
  <c r="AG25" i="1"/>
  <c r="AS25" i="1"/>
  <c r="X26" i="1"/>
  <c r="AJ26" i="1"/>
  <c r="AV26" i="1"/>
  <c r="AA27" i="1"/>
  <c r="AM27" i="1"/>
  <c r="R28" i="1"/>
  <c r="AD28" i="1"/>
  <c r="AP28" i="1"/>
  <c r="U29" i="1"/>
  <c r="AG29" i="1"/>
  <c r="AS29" i="1"/>
  <c r="X30" i="1"/>
  <c r="AJ30" i="1"/>
  <c r="AV30" i="1"/>
  <c r="P19" i="1"/>
  <c r="S20" i="1"/>
  <c r="AE20" i="1"/>
  <c r="AQ20" i="1"/>
  <c r="V21" i="1"/>
  <c r="AH21" i="1"/>
  <c r="AT21" i="1"/>
  <c r="Y22" i="1"/>
  <c r="AK22" i="1"/>
  <c r="AB23" i="1"/>
  <c r="AN23" i="1"/>
  <c r="S24" i="1"/>
  <c r="AE24" i="1"/>
  <c r="AQ24" i="1"/>
  <c r="V25" i="1"/>
  <c r="AH25" i="1"/>
  <c r="AT25" i="1"/>
  <c r="Y26" i="1"/>
  <c r="AK26" i="1"/>
  <c r="AB27" i="1"/>
  <c r="AN27" i="1"/>
  <c r="S28" i="1"/>
  <c r="AE28" i="1"/>
  <c r="AQ28" i="1"/>
  <c r="V29" i="1"/>
  <c r="AH29" i="1"/>
  <c r="AT29" i="1"/>
  <c r="Y30" i="1"/>
  <c r="AK30" i="1"/>
  <c r="T20" i="1"/>
  <c r="AF20" i="1"/>
  <c r="AR20" i="1"/>
  <c r="W21" i="1"/>
  <c r="AI21" i="1"/>
  <c r="AU21" i="1"/>
  <c r="Z22" i="1"/>
  <c r="AL22" i="1"/>
  <c r="Q23" i="1"/>
  <c r="AC23" i="1"/>
  <c r="AO23" i="1"/>
  <c r="T24" i="1"/>
  <c r="AF24" i="1"/>
  <c r="AR24" i="1"/>
  <c r="W25" i="1"/>
  <c r="AI25" i="1"/>
  <c r="AU25" i="1"/>
  <c r="Z26" i="1"/>
  <c r="AL26" i="1"/>
  <c r="Q27" i="1"/>
  <c r="AC27" i="1"/>
  <c r="AO27" i="1"/>
  <c r="T28" i="1"/>
  <c r="AF28" i="1"/>
  <c r="AR28" i="1"/>
  <c r="W29" i="1"/>
  <c r="AI29" i="1"/>
  <c r="AU29" i="1"/>
  <c r="Z30" i="1"/>
  <c r="AL30" i="1"/>
  <c r="U20" i="1"/>
  <c r="AG20" i="1"/>
  <c r="AS20" i="1"/>
  <c r="X21" i="1"/>
  <c r="AJ21" i="1"/>
  <c r="AV21" i="1"/>
  <c r="AA22" i="1"/>
  <c r="AM22" i="1"/>
  <c r="R23" i="1"/>
  <c r="AD23" i="1"/>
  <c r="AP23" i="1"/>
  <c r="U24" i="1"/>
  <c r="AG24" i="1"/>
  <c r="AS24" i="1"/>
  <c r="X25" i="1"/>
  <c r="AJ25" i="1"/>
  <c r="AV25" i="1"/>
  <c r="AA26" i="1"/>
  <c r="AM26" i="1"/>
  <c r="R27" i="1"/>
  <c r="AD27" i="1"/>
  <c r="AP27" i="1"/>
  <c r="U28" i="1"/>
  <c r="AG28" i="1"/>
  <c r="AS28" i="1"/>
  <c r="X29" i="1"/>
  <c r="AJ29" i="1"/>
  <c r="AV29" i="1"/>
  <c r="AA30" i="1"/>
  <c r="AM30" i="1"/>
  <c r="V20" i="1"/>
  <c r="AH20" i="1"/>
  <c r="AT20" i="1"/>
  <c r="Y21" i="1"/>
  <c r="AK21" i="1"/>
  <c r="AB22" i="1"/>
  <c r="AN22" i="1"/>
  <c r="S23" i="1"/>
  <c r="AE23" i="1"/>
  <c r="AQ23" i="1"/>
  <c r="V24" i="1"/>
  <c r="AH24" i="1"/>
  <c r="AT24" i="1"/>
  <c r="Y25" i="1"/>
  <c r="AK25" i="1"/>
  <c r="AB26" i="1"/>
  <c r="AN26" i="1"/>
  <c r="S27" i="1"/>
  <c r="AE27" i="1"/>
  <c r="AQ27" i="1"/>
  <c r="V28" i="1"/>
  <c r="AH28" i="1"/>
  <c r="AT28" i="1"/>
  <c r="Y29" i="1"/>
  <c r="AK29" i="1"/>
  <c r="AB30" i="1"/>
  <c r="P19" i="2"/>
  <c r="AI20" i="3"/>
  <c r="Z21" i="3"/>
  <c r="Q22" i="3"/>
  <c r="AO22" i="3"/>
  <c r="AF23" i="3"/>
  <c r="W24" i="3"/>
  <c r="AU24" i="3"/>
  <c r="AL25" i="3"/>
  <c r="AC26" i="3"/>
  <c r="T27" i="3"/>
  <c r="AR27" i="3"/>
  <c r="AI28" i="3"/>
  <c r="Z29" i="3"/>
  <c r="Q30" i="3"/>
  <c r="AC30" i="3"/>
  <c r="X20" i="3"/>
  <c r="AJ20" i="3"/>
  <c r="AV20" i="3"/>
  <c r="AA21" i="3"/>
  <c r="AM21" i="3"/>
  <c r="R22" i="3"/>
  <c r="AD22" i="3"/>
  <c r="AP22" i="3"/>
  <c r="U23" i="3"/>
  <c r="AG23" i="3"/>
  <c r="AS23" i="3"/>
  <c r="X24" i="3"/>
  <c r="AJ24" i="3"/>
  <c r="AV24" i="3"/>
  <c r="AA25" i="3"/>
  <c r="AM25" i="3"/>
  <c r="R26" i="3"/>
  <c r="AD26" i="3"/>
  <c r="AP26" i="3"/>
  <c r="U27" i="3"/>
  <c r="AG27" i="3"/>
  <c r="AS27" i="3"/>
  <c r="X28" i="3"/>
  <c r="AJ28" i="3"/>
  <c r="AV28" i="3"/>
  <c r="AA29" i="3"/>
  <c r="AM29" i="3"/>
  <c r="R30" i="3"/>
  <c r="AD30" i="3"/>
  <c r="AP30" i="3"/>
  <c r="Y20" i="3"/>
  <c r="AK20" i="3"/>
  <c r="AB21" i="3"/>
  <c r="AN21" i="3"/>
  <c r="S22" i="3"/>
  <c r="AE22" i="3"/>
  <c r="AQ22" i="3"/>
  <c r="V23" i="3"/>
  <c r="AH23" i="3"/>
  <c r="AT23" i="3"/>
  <c r="Y24" i="3"/>
  <c r="AK24" i="3"/>
  <c r="AB25" i="3"/>
  <c r="AN25" i="3"/>
  <c r="S26" i="3"/>
  <c r="AE26" i="3"/>
  <c r="AQ26" i="3"/>
  <c r="V27" i="3"/>
  <c r="AH27" i="3"/>
  <c r="AT27" i="3"/>
  <c r="Y28" i="3"/>
  <c r="AK28" i="3"/>
  <c r="AB29" i="3"/>
  <c r="AN29" i="3"/>
  <c r="S30" i="3"/>
  <c r="AE30" i="3"/>
  <c r="AQ30" i="3"/>
  <c r="Z20" i="3"/>
  <c r="AL20" i="3"/>
  <c r="Q21" i="3"/>
  <c r="AC21" i="3"/>
  <c r="AO21" i="3"/>
  <c r="T22" i="3"/>
  <c r="AF22" i="3"/>
  <c r="AR22" i="3"/>
  <c r="W23" i="3"/>
  <c r="AI23" i="3"/>
  <c r="AU23" i="3"/>
  <c r="Z24" i="3"/>
  <c r="AL24" i="3"/>
  <c r="Q25" i="3"/>
  <c r="AC25" i="3"/>
  <c r="AO25" i="3"/>
  <c r="T26" i="3"/>
  <c r="AF26" i="3"/>
  <c r="AR26" i="3"/>
  <c r="W27" i="3"/>
  <c r="AI27" i="3"/>
  <c r="AU27" i="3"/>
  <c r="Z28" i="3"/>
  <c r="AL28" i="3"/>
  <c r="Q29" i="3"/>
  <c r="AC29" i="3"/>
  <c r="AO29" i="3"/>
  <c r="T30" i="3"/>
  <c r="AF30" i="3"/>
  <c r="AR30" i="3"/>
  <c r="AA20" i="3"/>
  <c r="AM20" i="3"/>
  <c r="R21" i="3"/>
  <c r="AD21" i="3"/>
  <c r="AP21" i="3"/>
  <c r="U22" i="3"/>
  <c r="AG22" i="3"/>
  <c r="AS22" i="3"/>
  <c r="X23" i="3"/>
  <c r="AJ23" i="3"/>
  <c r="AV23" i="3"/>
  <c r="AA24" i="3"/>
  <c r="AM24" i="3"/>
  <c r="R25" i="3"/>
  <c r="AD25" i="3"/>
  <c r="AP25" i="3"/>
  <c r="U26" i="3"/>
  <c r="AG26" i="3"/>
  <c r="AS26" i="3"/>
  <c r="X27" i="3"/>
  <c r="AJ27" i="3"/>
  <c r="AV27" i="3"/>
  <c r="AA28" i="3"/>
  <c r="AM28" i="3"/>
  <c r="R29" i="3"/>
  <c r="AD29" i="3"/>
  <c r="AP29" i="3"/>
  <c r="U30" i="3"/>
  <c r="AG30" i="3"/>
  <c r="AS30" i="3"/>
  <c r="AB20" i="3"/>
  <c r="AN20" i="3"/>
  <c r="S21" i="3"/>
  <c r="AE21" i="3"/>
  <c r="AQ21" i="3"/>
  <c r="V22" i="3"/>
  <c r="AH22" i="3"/>
  <c r="AT22" i="3"/>
  <c r="Y23" i="3"/>
  <c r="AK23" i="3"/>
  <c r="AB24" i="3"/>
  <c r="AN24" i="3"/>
  <c r="S25" i="3"/>
  <c r="AE25" i="3"/>
  <c r="AQ25" i="3"/>
  <c r="V26" i="3"/>
  <c r="AH26" i="3"/>
  <c r="AT26" i="3"/>
  <c r="Y27" i="3"/>
  <c r="AK27" i="3"/>
  <c r="AB28" i="3"/>
  <c r="AN28" i="3"/>
  <c r="S29" i="3"/>
  <c r="AE29" i="3"/>
  <c r="AQ29" i="3"/>
  <c r="V30" i="3"/>
  <c r="AH30" i="3"/>
  <c r="AT30" i="3"/>
  <c r="Q20" i="3"/>
  <c r="AC20" i="3"/>
  <c r="AO20" i="3"/>
  <c r="T21" i="3"/>
  <c r="AF21" i="3"/>
  <c r="AR21" i="3"/>
  <c r="W22" i="3"/>
  <c r="AI22" i="3"/>
  <c r="AU22" i="3"/>
  <c r="Z23" i="3"/>
  <c r="AL23" i="3"/>
  <c r="Q24" i="3"/>
  <c r="AC24" i="3"/>
  <c r="AO24" i="3"/>
  <c r="T25" i="3"/>
  <c r="AF25" i="3"/>
  <c r="AR25" i="3"/>
  <c r="W26" i="3"/>
  <c r="AI26" i="3"/>
  <c r="AU26" i="3"/>
  <c r="Z27" i="3"/>
  <c r="AL27" i="3"/>
  <c r="Q28" i="3"/>
  <c r="AC28" i="3"/>
  <c r="AO28" i="3"/>
  <c r="T29" i="3"/>
  <c r="AF29" i="3"/>
  <c r="AR29" i="3"/>
  <c r="W30" i="3"/>
  <c r="AI30" i="3"/>
  <c r="AU30" i="3"/>
  <c r="R20" i="3"/>
  <c r="AD20" i="3"/>
  <c r="AP20" i="3"/>
  <c r="U21" i="3"/>
  <c r="AG21" i="3"/>
  <c r="AS21" i="3"/>
  <c r="X22" i="3"/>
  <c r="AJ22" i="3"/>
  <c r="AV22" i="3"/>
  <c r="AA23" i="3"/>
  <c r="AM23" i="3"/>
  <c r="R24" i="3"/>
  <c r="AD24" i="3"/>
  <c r="AP24" i="3"/>
  <c r="U25" i="3"/>
  <c r="AG25" i="3"/>
  <c r="AS25" i="3"/>
  <c r="X26" i="3"/>
  <c r="AJ26" i="3"/>
  <c r="AV26" i="3"/>
  <c r="AA27" i="3"/>
  <c r="AM27" i="3"/>
  <c r="R28" i="3"/>
  <c r="AD28" i="3"/>
  <c r="AP28" i="3"/>
  <c r="U29" i="3"/>
  <c r="AG29" i="3"/>
  <c r="AS29" i="3"/>
  <c r="X30" i="3"/>
  <c r="AJ30" i="3"/>
  <c r="AV30" i="3"/>
  <c r="P19" i="3"/>
  <c r="S20" i="3"/>
  <c r="AE20" i="3"/>
  <c r="AQ20" i="3"/>
  <c r="V21" i="3"/>
  <c r="AH21" i="3"/>
  <c r="AT21" i="3"/>
  <c r="Y22" i="3"/>
  <c r="AK22" i="3"/>
  <c r="AB23" i="3"/>
  <c r="AN23" i="3"/>
  <c r="S24" i="3"/>
  <c r="AE24" i="3"/>
  <c r="AQ24" i="3"/>
  <c r="V25" i="3"/>
  <c r="AH25" i="3"/>
  <c r="AT25" i="3"/>
  <c r="Y26" i="3"/>
  <c r="AK26" i="3"/>
  <c r="AB27" i="3"/>
  <c r="AN27" i="3"/>
  <c r="S28" i="3"/>
  <c r="AE28" i="3"/>
  <c r="AQ28" i="3"/>
  <c r="V29" i="3"/>
  <c r="AH29" i="3"/>
  <c r="AT29" i="3"/>
  <c r="Y30" i="3"/>
  <c r="AK30" i="3"/>
  <c r="T20" i="3"/>
  <c r="AF20" i="3"/>
  <c r="AR20" i="3"/>
  <c r="W21" i="3"/>
  <c r="AI21" i="3"/>
  <c r="AU21" i="3"/>
  <c r="Z22" i="3"/>
  <c r="AL22" i="3"/>
  <c r="Q23" i="3"/>
  <c r="AC23" i="3"/>
  <c r="AO23" i="3"/>
  <c r="T24" i="3"/>
  <c r="AF24" i="3"/>
  <c r="AR24" i="3"/>
  <c r="W25" i="3"/>
  <c r="AI25" i="3"/>
  <c r="AU25" i="3"/>
  <c r="Z26" i="3"/>
  <c r="AL26" i="3"/>
  <c r="Q27" i="3"/>
  <c r="AC27" i="3"/>
  <c r="AO27" i="3"/>
  <c r="T28" i="3"/>
  <c r="AF28" i="3"/>
  <c r="AR28" i="3"/>
  <c r="W29" i="3"/>
  <c r="AI29" i="3"/>
  <c r="AU29" i="3"/>
  <c r="Z30" i="3"/>
  <c r="AL30" i="3"/>
  <c r="W20" i="3"/>
  <c r="AU20" i="3"/>
  <c r="AL21" i="3"/>
  <c r="AC22" i="3"/>
  <c r="T23" i="3"/>
  <c r="AR23" i="3"/>
  <c r="AI24" i="3"/>
  <c r="Z25" i="3"/>
  <c r="Q26" i="3"/>
  <c r="AO26" i="3"/>
  <c r="AF27" i="3"/>
  <c r="W28" i="3"/>
  <c r="AU28" i="3"/>
  <c r="AL29" i="3"/>
  <c r="AO30" i="3"/>
  <c r="U20" i="3"/>
  <c r="AG20" i="3"/>
  <c r="AS20" i="3"/>
  <c r="X21" i="3"/>
  <c r="AJ21" i="3"/>
  <c r="AV21" i="3"/>
  <c r="AA22" i="3"/>
  <c r="AM22" i="3"/>
  <c r="R23" i="3"/>
  <c r="AD23" i="3"/>
  <c r="AP23" i="3"/>
  <c r="U24" i="3"/>
  <c r="AG24" i="3"/>
  <c r="AS24" i="3"/>
  <c r="X25" i="3"/>
  <c r="AJ25" i="3"/>
  <c r="AV25" i="3"/>
  <c r="AA26" i="3"/>
  <c r="AM26" i="3"/>
  <c r="R27" i="3"/>
  <c r="AD27" i="3"/>
  <c r="AP27" i="3"/>
  <c r="U28" i="3"/>
  <c r="AG28" i="3"/>
  <c r="AS28" i="3"/>
  <c r="X29" i="3"/>
  <c r="AJ29" i="3"/>
  <c r="AV29" i="3"/>
  <c r="AA30" i="3"/>
  <c r="AM30" i="3"/>
  <c r="V20" i="3"/>
  <c r="AH20" i="3"/>
  <c r="AT20" i="3"/>
  <c r="Y21" i="3"/>
  <c r="AK21" i="3"/>
  <c r="AB22" i="3"/>
  <c r="AN22" i="3"/>
  <c r="S23" i="3"/>
  <c r="AE23" i="3"/>
  <c r="AQ23" i="3"/>
  <c r="V24" i="3"/>
  <c r="AH24" i="3"/>
  <c r="AT24" i="3"/>
  <c r="Y25" i="3"/>
  <c r="AK25" i="3"/>
  <c r="AB26" i="3"/>
  <c r="AN26" i="3"/>
  <c r="S27" i="3"/>
  <c r="AE27" i="3"/>
  <c r="AQ27" i="3"/>
  <c r="V28" i="3"/>
  <c r="AH28" i="3"/>
  <c r="AT28" i="3"/>
  <c r="Y29" i="3"/>
  <c r="AK29" i="3"/>
  <c r="AB30" i="3"/>
  <c r="W20" i="4"/>
  <c r="AI20" i="4"/>
  <c r="AU20" i="4"/>
  <c r="Z21" i="4"/>
  <c r="AL21" i="4"/>
  <c r="Q22" i="4"/>
  <c r="AC22" i="4"/>
  <c r="AO22" i="4"/>
  <c r="T23" i="4"/>
  <c r="AF23" i="4"/>
  <c r="AR23" i="4"/>
  <c r="W24" i="4"/>
  <c r="AI24" i="4"/>
  <c r="AU24" i="4"/>
  <c r="Z25" i="4"/>
  <c r="AL25" i="4"/>
  <c r="Q26" i="4"/>
  <c r="AC26" i="4"/>
  <c r="AO26" i="4"/>
  <c r="T27" i="4"/>
  <c r="AF27" i="4"/>
  <c r="AR27" i="4"/>
  <c r="W28" i="4"/>
  <c r="AI28" i="4"/>
  <c r="AU28" i="4"/>
  <c r="Z29" i="4"/>
  <c r="AL29" i="4"/>
  <c r="Q30" i="4"/>
  <c r="AC30" i="4"/>
  <c r="AO30" i="4"/>
  <c r="AJ20" i="4"/>
  <c r="AA21" i="4"/>
  <c r="R22" i="4"/>
  <c r="AP22" i="4"/>
  <c r="AG23" i="4"/>
  <c r="X24" i="4"/>
  <c r="AV24" i="4"/>
  <c r="AA25" i="4"/>
  <c r="R26" i="4"/>
  <c r="AD26" i="4"/>
  <c r="U27" i="4"/>
  <c r="AG27" i="4"/>
  <c r="AS27" i="4"/>
  <c r="AJ28" i="4"/>
  <c r="AV28" i="4"/>
  <c r="AA29" i="4"/>
  <c r="AM29" i="4"/>
  <c r="R30" i="4"/>
  <c r="AP30" i="4"/>
  <c r="Y20" i="4"/>
  <c r="AK20" i="4"/>
  <c r="AB21" i="4"/>
  <c r="AN21" i="4"/>
  <c r="S22" i="4"/>
  <c r="AE22" i="4"/>
  <c r="AQ22" i="4"/>
  <c r="V23" i="4"/>
  <c r="AH23" i="4"/>
  <c r="AT23" i="4"/>
  <c r="Y24" i="4"/>
  <c r="AK24" i="4"/>
  <c r="AB25" i="4"/>
  <c r="AN25" i="4"/>
  <c r="S26" i="4"/>
  <c r="AE26" i="4"/>
  <c r="AQ26" i="4"/>
  <c r="V27" i="4"/>
  <c r="AH27" i="4"/>
  <c r="AT27" i="4"/>
  <c r="Y28" i="4"/>
  <c r="AK28" i="4"/>
  <c r="AB29" i="4"/>
  <c r="AN29" i="4"/>
  <c r="S30" i="4"/>
  <c r="AE30" i="4"/>
  <c r="AQ30" i="4"/>
  <c r="Z20" i="4"/>
  <c r="AL20" i="4"/>
  <c r="Q21" i="4"/>
  <c r="AC21" i="4"/>
  <c r="AO21" i="4"/>
  <c r="T22" i="4"/>
  <c r="AF22" i="4"/>
  <c r="AR22" i="4"/>
  <c r="W23" i="4"/>
  <c r="AI23" i="4"/>
  <c r="AU23" i="4"/>
  <c r="Z24" i="4"/>
  <c r="AL24" i="4"/>
  <c r="Q25" i="4"/>
  <c r="AC25" i="4"/>
  <c r="AO25" i="4"/>
  <c r="T26" i="4"/>
  <c r="AF26" i="4"/>
  <c r="AR26" i="4"/>
  <c r="W27" i="4"/>
  <c r="AI27" i="4"/>
  <c r="AU27" i="4"/>
  <c r="Z28" i="4"/>
  <c r="AL28" i="4"/>
  <c r="Q29" i="4"/>
  <c r="AC29" i="4"/>
  <c r="AO29" i="4"/>
  <c r="T30" i="4"/>
  <c r="AF30" i="4"/>
  <c r="AR30" i="4"/>
  <c r="X20" i="4"/>
  <c r="AV20" i="4"/>
  <c r="AM21" i="4"/>
  <c r="AD22" i="4"/>
  <c r="U23" i="4"/>
  <c r="AS23" i="4"/>
  <c r="AJ24" i="4"/>
  <c r="AM25" i="4"/>
  <c r="AP26" i="4"/>
  <c r="X28" i="4"/>
  <c r="AD30" i="4"/>
  <c r="AA20" i="4"/>
  <c r="AM20" i="4"/>
  <c r="R21" i="4"/>
  <c r="AD21" i="4"/>
  <c r="AP21" i="4"/>
  <c r="U22" i="4"/>
  <c r="AG22" i="4"/>
  <c r="AS22" i="4"/>
  <c r="X23" i="4"/>
  <c r="AJ23" i="4"/>
  <c r="AV23" i="4"/>
  <c r="AA24" i="4"/>
  <c r="AM24" i="4"/>
  <c r="R25" i="4"/>
  <c r="AD25" i="4"/>
  <c r="AP25" i="4"/>
  <c r="U26" i="4"/>
  <c r="AG26" i="4"/>
  <c r="AS26" i="4"/>
  <c r="X27" i="4"/>
  <c r="AJ27" i="4"/>
  <c r="AV27" i="4"/>
  <c r="AA28" i="4"/>
  <c r="AM28" i="4"/>
  <c r="R29" i="4"/>
  <c r="AD29" i="4"/>
  <c r="AP29" i="4"/>
  <c r="U30" i="4"/>
  <c r="AG30" i="4"/>
  <c r="AS30" i="4"/>
  <c r="AB20" i="4"/>
  <c r="AN20" i="4"/>
  <c r="S21" i="4"/>
  <c r="AE21" i="4"/>
  <c r="AQ21" i="4"/>
  <c r="V22" i="4"/>
  <c r="AH22" i="4"/>
  <c r="AT22" i="4"/>
  <c r="Y23" i="4"/>
  <c r="AK23" i="4"/>
  <c r="AB24" i="4"/>
  <c r="AN24" i="4"/>
  <c r="S25" i="4"/>
  <c r="AE25" i="4"/>
  <c r="AQ25" i="4"/>
  <c r="V26" i="4"/>
  <c r="AH26" i="4"/>
  <c r="AT26" i="4"/>
  <c r="Y27" i="4"/>
  <c r="AK27" i="4"/>
  <c r="AB28" i="4"/>
  <c r="AN28" i="4"/>
  <c r="S29" i="4"/>
  <c r="AE29" i="4"/>
  <c r="AQ29" i="4"/>
  <c r="V30" i="4"/>
  <c r="AH30" i="4"/>
  <c r="AT30" i="4"/>
  <c r="Q20" i="4"/>
  <c r="AC20" i="4"/>
  <c r="AO20" i="4"/>
  <c r="T21" i="4"/>
  <c r="AF21" i="4"/>
  <c r="AR21" i="4"/>
  <c r="W22" i="4"/>
  <c r="AI22" i="4"/>
  <c r="AU22" i="4"/>
  <c r="Z23" i="4"/>
  <c r="AL23" i="4"/>
  <c r="Q24" i="4"/>
  <c r="AC24" i="4"/>
  <c r="AO24" i="4"/>
  <c r="T25" i="4"/>
  <c r="AF25" i="4"/>
  <c r="AR25" i="4"/>
  <c r="W26" i="4"/>
  <c r="AI26" i="4"/>
  <c r="AU26" i="4"/>
  <c r="Z27" i="4"/>
  <c r="AL27" i="4"/>
  <c r="Q28" i="4"/>
  <c r="AC28" i="4"/>
  <c r="AO28" i="4"/>
  <c r="T29" i="4"/>
  <c r="AF29" i="4"/>
  <c r="AR29" i="4"/>
  <c r="W30" i="4"/>
  <c r="AI30" i="4"/>
  <c r="AU30" i="4"/>
  <c r="R20" i="4"/>
  <c r="AD20" i="4"/>
  <c r="AP20" i="4"/>
  <c r="U21" i="4"/>
  <c r="AG21" i="4"/>
  <c r="AS21" i="4"/>
  <c r="X22" i="4"/>
  <c r="AJ22" i="4"/>
  <c r="AV22" i="4"/>
  <c r="AA23" i="4"/>
  <c r="AM23" i="4"/>
  <c r="R24" i="4"/>
  <c r="AD24" i="4"/>
  <c r="AP24" i="4"/>
  <c r="U25" i="4"/>
  <c r="AG25" i="4"/>
  <c r="AS25" i="4"/>
  <c r="X26" i="4"/>
  <c r="AJ26" i="4"/>
  <c r="AV26" i="4"/>
  <c r="AA27" i="4"/>
  <c r="AM27" i="4"/>
  <c r="R28" i="4"/>
  <c r="AD28" i="4"/>
  <c r="AP28" i="4"/>
  <c r="U29" i="4"/>
  <c r="AG29" i="4"/>
  <c r="AS29" i="4"/>
  <c r="X30" i="4"/>
  <c r="AJ30" i="4"/>
  <c r="AV30" i="4"/>
  <c r="P19" i="4"/>
  <c r="S20" i="4"/>
  <c r="AE20" i="4"/>
  <c r="AQ20" i="4"/>
  <c r="V21" i="4"/>
  <c r="AH21" i="4"/>
  <c r="AT21" i="4"/>
  <c r="Y22" i="4"/>
  <c r="AK22" i="4"/>
  <c r="AB23" i="4"/>
  <c r="AN23" i="4"/>
  <c r="S24" i="4"/>
  <c r="AE24" i="4"/>
  <c r="AQ24" i="4"/>
  <c r="V25" i="4"/>
  <c r="AH25" i="4"/>
  <c r="AT25" i="4"/>
  <c r="Y26" i="4"/>
  <c r="AK26" i="4"/>
  <c r="AB27" i="4"/>
  <c r="AN27" i="4"/>
  <c r="S28" i="4"/>
  <c r="AE28" i="4"/>
  <c r="AQ28" i="4"/>
  <c r="V29" i="4"/>
  <c r="AH29" i="4"/>
  <c r="AT29" i="4"/>
  <c r="Y30" i="4"/>
  <c r="AK30" i="4"/>
  <c r="T20" i="4"/>
  <c r="AF20" i="4"/>
  <c r="AR20" i="4"/>
  <c r="W21" i="4"/>
  <c r="AI21" i="4"/>
  <c r="AU21" i="4"/>
  <c r="Z22" i="4"/>
  <c r="AL22" i="4"/>
  <c r="Q23" i="4"/>
  <c r="AC23" i="4"/>
  <c r="AO23" i="4"/>
  <c r="T24" i="4"/>
  <c r="AF24" i="4"/>
  <c r="AR24" i="4"/>
  <c r="W25" i="4"/>
  <c r="AI25" i="4"/>
  <c r="AU25" i="4"/>
  <c r="Z26" i="4"/>
  <c r="AL26" i="4"/>
  <c r="Q27" i="4"/>
  <c r="AC27" i="4"/>
  <c r="AO27" i="4"/>
  <c r="T28" i="4"/>
  <c r="AF28" i="4"/>
  <c r="AR28" i="4"/>
  <c r="W29" i="4"/>
  <c r="AI29" i="4"/>
  <c r="AU29" i="4"/>
  <c r="Z30" i="4"/>
  <c r="AL30" i="4"/>
  <c r="U20" i="4"/>
  <c r="AG20" i="4"/>
  <c r="AS20" i="4"/>
  <c r="X21" i="4"/>
  <c r="AJ21" i="4"/>
  <c r="AV21" i="4"/>
  <c r="AA22" i="4"/>
  <c r="AM22" i="4"/>
  <c r="R23" i="4"/>
  <c r="AD23" i="4"/>
  <c r="AP23" i="4"/>
  <c r="U24" i="4"/>
  <c r="AG24" i="4"/>
  <c r="AS24" i="4"/>
  <c r="X25" i="4"/>
  <c r="AJ25" i="4"/>
  <c r="AV25" i="4"/>
  <c r="AA26" i="4"/>
  <c r="AM26" i="4"/>
  <c r="R27" i="4"/>
  <c r="AD27" i="4"/>
  <c r="AP27" i="4"/>
  <c r="U28" i="4"/>
  <c r="AG28" i="4"/>
  <c r="AS28" i="4"/>
  <c r="X29" i="4"/>
  <c r="AJ29" i="4"/>
  <c r="AV29" i="4"/>
  <c r="AA30" i="4"/>
  <c r="AM30" i="4"/>
  <c r="V20" i="4"/>
  <c r="AH20" i="4"/>
  <c r="AT20" i="4"/>
  <c r="Y21" i="4"/>
  <c r="AK21" i="4"/>
  <c r="AB22" i="4"/>
  <c r="AN22" i="4"/>
  <c r="S23" i="4"/>
  <c r="AE23" i="4"/>
  <c r="AQ23" i="4"/>
  <c r="V24" i="4"/>
  <c r="AH24" i="4"/>
  <c r="AT24" i="4"/>
  <c r="Y25" i="4"/>
  <c r="AK25" i="4"/>
  <c r="AB26" i="4"/>
  <c r="AN26" i="4"/>
  <c r="S27" i="4"/>
  <c r="AE27" i="4"/>
  <c r="AQ27" i="4"/>
  <c r="V28" i="4"/>
  <c r="AH28" i="4"/>
  <c r="AT28" i="4"/>
  <c r="Y29" i="4"/>
  <c r="AK29" i="4"/>
  <c r="AB30" i="4"/>
  <c r="Z20" i="5"/>
  <c r="AL20" i="5"/>
  <c r="Q21" i="5"/>
  <c r="AC21" i="5"/>
  <c r="AO21" i="5"/>
  <c r="T22" i="5"/>
  <c r="AF22" i="5"/>
  <c r="AR22" i="5"/>
  <c r="W23" i="5"/>
  <c r="AI23" i="5"/>
  <c r="AU23" i="5"/>
  <c r="Z24" i="5"/>
  <c r="AL24" i="5"/>
  <c r="AC25" i="5"/>
  <c r="AO25" i="5"/>
  <c r="T26" i="5"/>
  <c r="AF26" i="5"/>
  <c r="AR26" i="5"/>
  <c r="W27" i="5"/>
  <c r="AI27" i="5"/>
  <c r="AU27" i="5"/>
  <c r="Z28" i="5"/>
  <c r="AL28" i="5"/>
  <c r="Q29" i="5"/>
  <c r="AC29" i="5"/>
  <c r="AO29" i="5"/>
  <c r="T30" i="5"/>
  <c r="AF30" i="5"/>
  <c r="AR30" i="5"/>
  <c r="AU20" i="5"/>
  <c r="Z25" i="5"/>
  <c r="AD22" i="5"/>
  <c r="U27" i="5"/>
  <c r="AA20" i="5"/>
  <c r="AM20" i="5"/>
  <c r="R21" i="5"/>
  <c r="AD21" i="5"/>
  <c r="AP21" i="5"/>
  <c r="U22" i="5"/>
  <c r="AG22" i="5"/>
  <c r="AS22" i="5"/>
  <c r="X23" i="5"/>
  <c r="AJ23" i="5"/>
  <c r="AV23" i="5"/>
  <c r="AA24" i="5"/>
  <c r="AM24" i="5"/>
  <c r="R25" i="5"/>
  <c r="AD25" i="5"/>
  <c r="AP25" i="5"/>
  <c r="U26" i="5"/>
  <c r="AG26" i="5"/>
  <c r="AS26" i="5"/>
  <c r="X27" i="5"/>
  <c r="AJ27" i="5"/>
  <c r="AV27" i="5"/>
  <c r="AA28" i="5"/>
  <c r="AM28" i="5"/>
  <c r="R29" i="5"/>
  <c r="AD29" i="5"/>
  <c r="AP29" i="5"/>
  <c r="U30" i="5"/>
  <c r="AG30" i="5"/>
  <c r="AS30" i="5"/>
  <c r="Y20" i="5"/>
  <c r="AK20" i="5"/>
  <c r="AB21" i="5"/>
  <c r="AN21" i="5"/>
  <c r="S22" i="5"/>
  <c r="AE22" i="5"/>
  <c r="AQ22" i="5"/>
  <c r="V23" i="5"/>
  <c r="AH23" i="5"/>
  <c r="AT23" i="5"/>
  <c r="Y24" i="5"/>
  <c r="AK24" i="5"/>
  <c r="AB25" i="5"/>
  <c r="AN25" i="5"/>
  <c r="S26" i="5"/>
  <c r="AE26" i="5"/>
  <c r="AQ26" i="5"/>
  <c r="V27" i="5"/>
  <c r="AH27" i="5"/>
  <c r="AT27" i="5"/>
  <c r="Y28" i="5"/>
  <c r="AK28" i="5"/>
  <c r="AB29" i="5"/>
  <c r="AN29" i="5"/>
  <c r="S30" i="5"/>
  <c r="AE30" i="5"/>
  <c r="AQ30" i="5"/>
  <c r="AB20" i="5"/>
  <c r="AN20" i="5"/>
  <c r="S21" i="5"/>
  <c r="AE21" i="5"/>
  <c r="AQ21" i="5"/>
  <c r="V22" i="5"/>
  <c r="AH22" i="5"/>
  <c r="AT22" i="5"/>
  <c r="Y23" i="5"/>
  <c r="AK23" i="5"/>
  <c r="AB24" i="5"/>
  <c r="AN24" i="5"/>
  <c r="S25" i="5"/>
  <c r="AE25" i="5"/>
  <c r="AQ25" i="5"/>
  <c r="V26" i="5"/>
  <c r="AH26" i="5"/>
  <c r="AT26" i="5"/>
  <c r="Y27" i="5"/>
  <c r="AK27" i="5"/>
  <c r="AB28" i="5"/>
  <c r="AN28" i="5"/>
  <c r="S29" i="5"/>
  <c r="AE29" i="5"/>
  <c r="AQ29" i="5"/>
  <c r="V30" i="5"/>
  <c r="AH30" i="5"/>
  <c r="AT30" i="5"/>
  <c r="Q20" i="5"/>
  <c r="AC20" i="5"/>
  <c r="AO20" i="5"/>
  <c r="T21" i="5"/>
  <c r="AF21" i="5"/>
  <c r="AR21" i="5"/>
  <c r="W22" i="5"/>
  <c r="AI22" i="5"/>
  <c r="AU22" i="5"/>
  <c r="Z23" i="5"/>
  <c r="AL23" i="5"/>
  <c r="Q24" i="5"/>
  <c r="AC24" i="5"/>
  <c r="AO24" i="5"/>
  <c r="T25" i="5"/>
  <c r="AF25" i="5"/>
  <c r="AR25" i="5"/>
  <c r="W26" i="5"/>
  <c r="AI26" i="5"/>
  <c r="AU26" i="5"/>
  <c r="Z27" i="5"/>
  <c r="AL27" i="5"/>
  <c r="Q28" i="5"/>
  <c r="AC28" i="5"/>
  <c r="AO28" i="5"/>
  <c r="T29" i="5"/>
  <c r="AF29" i="5"/>
  <c r="AR29" i="5"/>
  <c r="W30" i="5"/>
  <c r="AI30" i="5"/>
  <c r="AU30" i="5"/>
  <c r="R20" i="5"/>
  <c r="AD20" i="5"/>
  <c r="AP20" i="5"/>
  <c r="U21" i="5"/>
  <c r="AG21" i="5"/>
  <c r="AS21" i="5"/>
  <c r="X22" i="5"/>
  <c r="AJ22" i="5"/>
  <c r="AV22" i="5"/>
  <c r="AA23" i="5"/>
  <c r="AM23" i="5"/>
  <c r="R24" i="5"/>
  <c r="AD24" i="5"/>
  <c r="AP24" i="5"/>
  <c r="U25" i="5"/>
  <c r="AG25" i="5"/>
  <c r="AS25" i="5"/>
  <c r="X26" i="5"/>
  <c r="AJ26" i="5"/>
  <c r="AV26" i="5"/>
  <c r="AA27" i="5"/>
  <c r="AM27" i="5"/>
  <c r="R28" i="5"/>
  <c r="AD28" i="5"/>
  <c r="AP28" i="5"/>
  <c r="U29" i="5"/>
  <c r="AG29" i="5"/>
  <c r="AS29" i="5"/>
  <c r="X30" i="5"/>
  <c r="AJ30" i="5"/>
  <c r="AV30" i="5"/>
  <c r="P19" i="5"/>
  <c r="S20" i="5"/>
  <c r="AE20" i="5"/>
  <c r="AQ20" i="5"/>
  <c r="V21" i="5"/>
  <c r="AH21" i="5"/>
  <c r="AT21" i="5"/>
  <c r="Y22" i="5"/>
  <c r="AK22" i="5"/>
  <c r="AB23" i="5"/>
  <c r="AN23" i="5"/>
  <c r="S24" i="5"/>
  <c r="AE24" i="5"/>
  <c r="AQ24" i="5"/>
  <c r="V25" i="5"/>
  <c r="AH25" i="5"/>
  <c r="AT25" i="5"/>
  <c r="Y26" i="5"/>
  <c r="AK26" i="5"/>
  <c r="AB27" i="5"/>
  <c r="AN27" i="5"/>
  <c r="S28" i="5"/>
  <c r="AE28" i="5"/>
  <c r="AQ28" i="5"/>
  <c r="V29" i="5"/>
  <c r="AH29" i="5"/>
  <c r="AT29" i="5"/>
  <c r="Y30" i="5"/>
  <c r="AK30" i="5"/>
  <c r="T20" i="5"/>
  <c r="AF20" i="5"/>
  <c r="AR20" i="5"/>
  <c r="W21" i="5"/>
  <c r="AI21" i="5"/>
  <c r="AU21" i="5"/>
  <c r="Z22" i="5"/>
  <c r="AL22" i="5"/>
  <c r="Q23" i="5"/>
  <c r="AC23" i="5"/>
  <c r="AO23" i="5"/>
  <c r="T24" i="5"/>
  <c r="AF24" i="5"/>
  <c r="AR24" i="5"/>
  <c r="W25" i="5"/>
  <c r="AI25" i="5"/>
  <c r="AU25" i="5"/>
  <c r="Z26" i="5"/>
  <c r="AL26" i="5"/>
  <c r="Q27" i="5"/>
  <c r="AC27" i="5"/>
  <c r="AO27" i="5"/>
  <c r="T28" i="5"/>
  <c r="AF28" i="5"/>
  <c r="AR28" i="5"/>
  <c r="W29" i="5"/>
  <c r="AI29" i="5"/>
  <c r="AU29" i="5"/>
  <c r="Z30" i="5"/>
  <c r="AL30" i="5"/>
  <c r="X20" i="5"/>
  <c r="AJ20" i="5"/>
  <c r="AV20" i="5"/>
  <c r="AA21" i="5"/>
  <c r="AM21" i="5"/>
  <c r="R22" i="5"/>
  <c r="AP22" i="5"/>
  <c r="U23" i="5"/>
  <c r="AG23" i="5"/>
  <c r="AS23" i="5"/>
  <c r="X24" i="5"/>
  <c r="AJ24" i="5"/>
  <c r="AV24" i="5"/>
  <c r="AA25" i="5"/>
  <c r="AM25" i="5"/>
  <c r="R26" i="5"/>
  <c r="AD26" i="5"/>
  <c r="AP26" i="5"/>
  <c r="AG27" i="5"/>
  <c r="AS27" i="5"/>
  <c r="X28" i="5"/>
  <c r="AJ28" i="5"/>
  <c r="AV28" i="5"/>
  <c r="AA29" i="5"/>
  <c r="AM29" i="5"/>
  <c r="R30" i="5"/>
  <c r="AD30" i="5"/>
  <c r="AP30" i="5"/>
  <c r="U20" i="5"/>
  <c r="AG20" i="5"/>
  <c r="AS20" i="5"/>
  <c r="X21" i="5"/>
  <c r="AJ21" i="5"/>
  <c r="AV21" i="5"/>
  <c r="AA22" i="5"/>
  <c r="AM22" i="5"/>
  <c r="R23" i="5"/>
  <c r="AD23" i="5"/>
  <c r="AP23" i="5"/>
  <c r="U24" i="5"/>
  <c r="AG24" i="5"/>
  <c r="AS24" i="5"/>
  <c r="X25" i="5"/>
  <c r="AJ25" i="5"/>
  <c r="AV25" i="5"/>
  <c r="AA26" i="5"/>
  <c r="AM26" i="5"/>
  <c r="R27" i="5"/>
  <c r="AD27" i="5"/>
  <c r="AP27" i="5"/>
  <c r="U28" i="5"/>
  <c r="AG28" i="5"/>
  <c r="AS28" i="5"/>
  <c r="X29" i="5"/>
  <c r="AJ29" i="5"/>
  <c r="AV29" i="5"/>
  <c r="AA30" i="5"/>
  <c r="AM30" i="5"/>
  <c r="W20" i="5"/>
  <c r="AI20" i="5"/>
  <c r="Z21" i="5"/>
  <c r="AL21" i="5"/>
  <c r="Q22" i="5"/>
  <c r="AC22" i="5"/>
  <c r="AO22" i="5"/>
  <c r="T23" i="5"/>
  <c r="AF23" i="5"/>
  <c r="AR23" i="5"/>
  <c r="W24" i="5"/>
  <c r="AI24" i="5"/>
  <c r="AU24" i="5"/>
  <c r="AL25" i="5"/>
  <c r="Q26" i="5"/>
  <c r="AC26" i="5"/>
  <c r="AO26" i="5"/>
  <c r="T27" i="5"/>
  <c r="AF27" i="5"/>
  <c r="AR27" i="5"/>
  <c r="W28" i="5"/>
  <c r="AI28" i="5"/>
  <c r="AU28" i="5"/>
  <c r="Z29" i="5"/>
  <c r="AL29" i="5"/>
  <c r="Q30" i="5"/>
  <c r="AC30" i="5"/>
  <c r="AO30" i="5"/>
  <c r="V20" i="5"/>
  <c r="AH20" i="5"/>
  <c r="AT20" i="5"/>
  <c r="Y21" i="5"/>
  <c r="AK21" i="5"/>
  <c r="AB22" i="5"/>
  <c r="AN22" i="5"/>
  <c r="S23" i="5"/>
  <c r="AE23" i="5"/>
  <c r="AQ23" i="5"/>
  <c r="V24" i="5"/>
  <c r="AH24" i="5"/>
  <c r="AT24" i="5"/>
  <c r="Y25" i="5"/>
  <c r="AK25" i="5"/>
  <c r="AB26" i="5"/>
  <c r="AN26" i="5"/>
  <c r="S27" i="5"/>
  <c r="AE27" i="5"/>
  <c r="AQ27" i="5"/>
  <c r="V28" i="5"/>
  <c r="AH28" i="5"/>
  <c r="AT28" i="5"/>
  <c r="Y29" i="5"/>
  <c r="AK29" i="5"/>
  <c r="AB30" i="5"/>
  <c r="AA21" i="6"/>
  <c r="Z20" i="6"/>
  <c r="AL20" i="6"/>
  <c r="Q21" i="6"/>
  <c r="AC21" i="6"/>
  <c r="AO21" i="6"/>
  <c r="T22" i="6"/>
  <c r="AF22" i="6"/>
  <c r="AR22" i="6"/>
  <c r="W23" i="6"/>
  <c r="AI23" i="6"/>
  <c r="AU23" i="6"/>
  <c r="Z24" i="6"/>
  <c r="AL24" i="6"/>
  <c r="Q25" i="6"/>
  <c r="AC25" i="6"/>
  <c r="AO25" i="6"/>
  <c r="T26" i="6"/>
  <c r="AF26" i="6"/>
  <c r="AR26" i="6"/>
  <c r="W27" i="6"/>
  <c r="AI27" i="6"/>
  <c r="AU27" i="6"/>
  <c r="Z28" i="6"/>
  <c r="AL28" i="6"/>
  <c r="Q29" i="6"/>
  <c r="AC29" i="6"/>
  <c r="AO29" i="6"/>
  <c r="T30" i="6"/>
  <c r="AF30" i="6"/>
  <c r="AR30" i="6"/>
  <c r="AA20" i="6"/>
  <c r="AM20" i="6"/>
  <c r="R21" i="6"/>
  <c r="AD21" i="6"/>
  <c r="AP21" i="6"/>
  <c r="U22" i="6"/>
  <c r="AG22" i="6"/>
  <c r="AS22" i="6"/>
  <c r="X23" i="6"/>
  <c r="AJ23" i="6"/>
  <c r="AV23" i="6"/>
  <c r="AA24" i="6"/>
  <c r="AM24" i="6"/>
  <c r="R25" i="6"/>
  <c r="AD25" i="6"/>
  <c r="AP25" i="6"/>
  <c r="U26" i="6"/>
  <c r="AG26" i="6"/>
  <c r="AS26" i="6"/>
  <c r="X27" i="6"/>
  <c r="AJ27" i="6"/>
  <c r="AV27" i="6"/>
  <c r="AA28" i="6"/>
  <c r="AM28" i="6"/>
  <c r="R29" i="6"/>
  <c r="AD29" i="6"/>
  <c r="AP29" i="6"/>
  <c r="U30" i="6"/>
  <c r="AG30" i="6"/>
  <c r="AS30" i="6"/>
  <c r="AJ24" i="6"/>
  <c r="AV24" i="6"/>
  <c r="AM25" i="6"/>
  <c r="R26" i="6"/>
  <c r="AP26" i="6"/>
  <c r="U27" i="6"/>
  <c r="AG27" i="6"/>
  <c r="AS27" i="6"/>
  <c r="X28" i="6"/>
  <c r="AJ28" i="6"/>
  <c r="AV28" i="6"/>
  <c r="AA29" i="6"/>
  <c r="AM29" i="6"/>
  <c r="R30" i="6"/>
  <c r="AD30" i="6"/>
  <c r="AP30" i="6"/>
  <c r="Y20" i="6"/>
  <c r="AK20" i="6"/>
  <c r="AB21" i="6"/>
  <c r="AN21" i="6"/>
  <c r="S22" i="6"/>
  <c r="AE22" i="6"/>
  <c r="AQ22" i="6"/>
  <c r="V23" i="6"/>
  <c r="AH23" i="6"/>
  <c r="AT23" i="6"/>
  <c r="Y24" i="6"/>
  <c r="AK24" i="6"/>
  <c r="AB25" i="6"/>
  <c r="AN25" i="6"/>
  <c r="S26" i="6"/>
  <c r="AE26" i="6"/>
  <c r="AQ26" i="6"/>
  <c r="V27" i="6"/>
  <c r="AH27" i="6"/>
  <c r="AT27" i="6"/>
  <c r="Y28" i="6"/>
  <c r="AK28" i="6"/>
  <c r="AB29" i="6"/>
  <c r="AN29" i="6"/>
  <c r="S30" i="6"/>
  <c r="AE30" i="6"/>
  <c r="AQ30" i="6"/>
  <c r="AB20" i="6"/>
  <c r="AN20" i="6"/>
  <c r="S21" i="6"/>
  <c r="AE21" i="6"/>
  <c r="AQ21" i="6"/>
  <c r="V22" i="6"/>
  <c r="AH22" i="6"/>
  <c r="AT22" i="6"/>
  <c r="Y23" i="6"/>
  <c r="AK23" i="6"/>
  <c r="AB24" i="6"/>
  <c r="AN24" i="6"/>
  <c r="S25" i="6"/>
  <c r="AE25" i="6"/>
  <c r="AQ25" i="6"/>
  <c r="V26" i="6"/>
  <c r="AH26" i="6"/>
  <c r="AT26" i="6"/>
  <c r="Y27" i="6"/>
  <c r="AK27" i="6"/>
  <c r="AB28" i="6"/>
  <c r="AN28" i="6"/>
  <c r="S29" i="6"/>
  <c r="AE29" i="6"/>
  <c r="AQ29" i="6"/>
  <c r="V30" i="6"/>
  <c r="AH30" i="6"/>
  <c r="AT30" i="6"/>
  <c r="W20" i="6"/>
  <c r="AI20" i="6"/>
  <c r="AU20" i="6"/>
  <c r="Z21" i="6"/>
  <c r="AL21" i="6"/>
  <c r="Q22" i="6"/>
  <c r="AC22" i="6"/>
  <c r="AO22" i="6"/>
  <c r="T23" i="6"/>
  <c r="AF23" i="6"/>
  <c r="AR23" i="6"/>
  <c r="W24" i="6"/>
  <c r="AI24" i="6"/>
  <c r="AU24" i="6"/>
  <c r="Z25" i="6"/>
  <c r="AL25" i="6"/>
  <c r="Q26" i="6"/>
  <c r="AC26" i="6"/>
  <c r="AO26" i="6"/>
  <c r="T27" i="6"/>
  <c r="AF27" i="6"/>
  <c r="AR27" i="6"/>
  <c r="W28" i="6"/>
  <c r="AI28" i="6"/>
  <c r="AU28" i="6"/>
  <c r="Z29" i="6"/>
  <c r="AL29" i="6"/>
  <c r="Q30" i="6"/>
  <c r="AC30" i="6"/>
  <c r="AO30" i="6"/>
  <c r="X20" i="6"/>
  <c r="AV20" i="6"/>
  <c r="AM21" i="6"/>
  <c r="AP22" i="6"/>
  <c r="U23" i="6"/>
  <c r="AS23" i="6"/>
  <c r="AD26" i="6"/>
  <c r="Q20" i="6"/>
  <c r="AC20" i="6"/>
  <c r="AO20" i="6"/>
  <c r="T21" i="6"/>
  <c r="AF21" i="6"/>
  <c r="AR21" i="6"/>
  <c r="W22" i="6"/>
  <c r="AI22" i="6"/>
  <c r="AU22" i="6"/>
  <c r="Z23" i="6"/>
  <c r="AL23" i="6"/>
  <c r="Q24" i="6"/>
  <c r="AC24" i="6"/>
  <c r="AO24" i="6"/>
  <c r="T25" i="6"/>
  <c r="AF25" i="6"/>
  <c r="AR25" i="6"/>
  <c r="W26" i="6"/>
  <c r="AI26" i="6"/>
  <c r="AU26" i="6"/>
  <c r="Z27" i="6"/>
  <c r="AL27" i="6"/>
  <c r="Q28" i="6"/>
  <c r="AC28" i="6"/>
  <c r="AO28" i="6"/>
  <c r="T29" i="6"/>
  <c r="AF29" i="6"/>
  <c r="AR29" i="6"/>
  <c r="W30" i="6"/>
  <c r="AI30" i="6"/>
  <c r="AU30" i="6"/>
  <c r="R20" i="6"/>
  <c r="AD20" i="6"/>
  <c r="AP20" i="6"/>
  <c r="U21" i="6"/>
  <c r="AG21" i="6"/>
  <c r="AS21" i="6"/>
  <c r="X22" i="6"/>
  <c r="AJ22" i="6"/>
  <c r="AV22" i="6"/>
  <c r="AA23" i="6"/>
  <c r="AM23" i="6"/>
  <c r="R24" i="6"/>
  <c r="AD24" i="6"/>
  <c r="AP24" i="6"/>
  <c r="U25" i="6"/>
  <c r="AG25" i="6"/>
  <c r="AS25" i="6"/>
  <c r="X26" i="6"/>
  <c r="AJ26" i="6"/>
  <c r="AV26" i="6"/>
  <c r="AA27" i="6"/>
  <c r="AM27" i="6"/>
  <c r="R28" i="6"/>
  <c r="AD28" i="6"/>
  <c r="AP28" i="6"/>
  <c r="U29" i="6"/>
  <c r="AG29" i="6"/>
  <c r="AS29" i="6"/>
  <c r="X30" i="6"/>
  <c r="AJ30" i="6"/>
  <c r="AV30" i="6"/>
  <c r="AD22" i="6"/>
  <c r="P19" i="6"/>
  <c r="S20" i="6"/>
  <c r="AE20" i="6"/>
  <c r="AQ20" i="6"/>
  <c r="V21" i="6"/>
  <c r="AH21" i="6"/>
  <c r="AT21" i="6"/>
  <c r="Y22" i="6"/>
  <c r="AK22" i="6"/>
  <c r="AB23" i="6"/>
  <c r="AN23" i="6"/>
  <c r="S24" i="6"/>
  <c r="AE24" i="6"/>
  <c r="AQ24" i="6"/>
  <c r="V25" i="6"/>
  <c r="AH25" i="6"/>
  <c r="AT25" i="6"/>
  <c r="Y26" i="6"/>
  <c r="AK26" i="6"/>
  <c r="AB27" i="6"/>
  <c r="AN27" i="6"/>
  <c r="S28" i="6"/>
  <c r="AE28" i="6"/>
  <c r="AQ28" i="6"/>
  <c r="V29" i="6"/>
  <c r="AH29" i="6"/>
  <c r="AT29" i="6"/>
  <c r="Y30" i="6"/>
  <c r="AK30" i="6"/>
  <c r="T20" i="6"/>
  <c r="AF20" i="6"/>
  <c r="AR20" i="6"/>
  <c r="W21" i="6"/>
  <c r="AI21" i="6"/>
  <c r="AU21" i="6"/>
  <c r="Z22" i="6"/>
  <c r="AL22" i="6"/>
  <c r="Q23" i="6"/>
  <c r="AC23" i="6"/>
  <c r="AO23" i="6"/>
  <c r="T24" i="6"/>
  <c r="AF24" i="6"/>
  <c r="AR24" i="6"/>
  <c r="W25" i="6"/>
  <c r="AI25" i="6"/>
  <c r="AU25" i="6"/>
  <c r="Z26" i="6"/>
  <c r="AL26" i="6"/>
  <c r="Q27" i="6"/>
  <c r="AC27" i="6"/>
  <c r="AO27" i="6"/>
  <c r="T28" i="6"/>
  <c r="AF28" i="6"/>
  <c r="AR28" i="6"/>
  <c r="W29" i="6"/>
  <c r="AI29" i="6"/>
  <c r="AU29" i="6"/>
  <c r="Z30" i="6"/>
  <c r="AL30" i="6"/>
  <c r="U20" i="6"/>
  <c r="AG20" i="6"/>
  <c r="AS20" i="6"/>
  <c r="X21" i="6"/>
  <c r="AJ21" i="6"/>
  <c r="AV21" i="6"/>
  <c r="AA22" i="6"/>
  <c r="AM22" i="6"/>
  <c r="R23" i="6"/>
  <c r="AD23" i="6"/>
  <c r="AP23" i="6"/>
  <c r="U24" i="6"/>
  <c r="AG24" i="6"/>
  <c r="AS24" i="6"/>
  <c r="X25" i="6"/>
  <c r="AJ25" i="6"/>
  <c r="AV25" i="6"/>
  <c r="AA26" i="6"/>
  <c r="AM26" i="6"/>
  <c r="R27" i="6"/>
  <c r="AD27" i="6"/>
  <c r="AP27" i="6"/>
  <c r="U28" i="6"/>
  <c r="AG28" i="6"/>
  <c r="AS28" i="6"/>
  <c r="X29" i="6"/>
  <c r="AJ29" i="6"/>
  <c r="AV29" i="6"/>
  <c r="AA30" i="6"/>
  <c r="AM30" i="6"/>
  <c r="AJ20" i="6"/>
  <c r="R22" i="6"/>
  <c r="AG23" i="6"/>
  <c r="AA25" i="6"/>
  <c r="V20" i="6"/>
  <c r="AH20" i="6"/>
  <c r="AT20" i="6"/>
  <c r="Y21" i="6"/>
  <c r="AK21" i="6"/>
  <c r="AB22" i="6"/>
  <c r="AN22" i="6"/>
  <c r="S23" i="6"/>
  <c r="AE23" i="6"/>
  <c r="AQ23" i="6"/>
  <c r="V24" i="6"/>
  <c r="AH24" i="6"/>
  <c r="AT24" i="6"/>
  <c r="Y25" i="6"/>
  <c r="AK25" i="6"/>
  <c r="AB26" i="6"/>
  <c r="AN26" i="6"/>
  <c r="S27" i="6"/>
  <c r="AE27" i="6"/>
  <c r="AQ27" i="6"/>
  <c r="V28" i="6"/>
  <c r="AH28" i="6"/>
  <c r="AT28" i="6"/>
  <c r="Y29" i="6"/>
  <c r="AK29" i="6"/>
  <c r="AB30" i="6"/>
  <c r="X20" i="7"/>
  <c r="AJ20" i="7"/>
  <c r="AV20" i="7"/>
  <c r="AA21" i="7"/>
  <c r="AM21" i="7"/>
  <c r="R22" i="7"/>
  <c r="AD22" i="7"/>
  <c r="AP22" i="7"/>
  <c r="U23" i="7"/>
  <c r="AG23" i="7"/>
  <c r="AS23" i="7"/>
  <c r="X24" i="7"/>
  <c r="AJ24" i="7"/>
  <c r="AV24" i="7"/>
  <c r="AA25" i="7"/>
  <c r="AM25" i="7"/>
  <c r="R26" i="7"/>
  <c r="AD26" i="7"/>
  <c r="AP26" i="7"/>
  <c r="U27" i="7"/>
  <c r="AG27" i="7"/>
  <c r="AS27" i="7"/>
  <c r="X28" i="7"/>
  <c r="AJ28" i="7"/>
  <c r="AV28" i="7"/>
  <c r="AA29" i="7"/>
  <c r="AM29" i="7"/>
  <c r="R30" i="7"/>
  <c r="AD30" i="7"/>
  <c r="Y20" i="7"/>
  <c r="AK20" i="7"/>
  <c r="AB21" i="7"/>
  <c r="AN21" i="7"/>
  <c r="S22" i="7"/>
  <c r="AE22" i="7"/>
  <c r="AQ22" i="7"/>
  <c r="V23" i="7"/>
  <c r="AH23" i="7"/>
  <c r="AT23" i="7"/>
  <c r="Y24" i="7"/>
  <c r="AK24" i="7"/>
  <c r="AB25" i="7"/>
  <c r="AN25" i="7"/>
  <c r="S26" i="7"/>
  <c r="AE26" i="7"/>
  <c r="AQ26" i="7"/>
  <c r="V27" i="7"/>
  <c r="AH27" i="7"/>
  <c r="AT27" i="7"/>
  <c r="Y28" i="7"/>
  <c r="AK28" i="7"/>
  <c r="AB29" i="7"/>
  <c r="AN29" i="7"/>
  <c r="S30" i="7"/>
  <c r="AE30" i="7"/>
  <c r="AQ30" i="7"/>
  <c r="Z20" i="7"/>
  <c r="AL20" i="7"/>
  <c r="Q21" i="7"/>
  <c r="AC21" i="7"/>
  <c r="AO21" i="7"/>
  <c r="T22" i="7"/>
  <c r="AF22" i="7"/>
  <c r="AR22" i="7"/>
  <c r="W23" i="7"/>
  <c r="AI23" i="7"/>
  <c r="AU23" i="7"/>
  <c r="Z24" i="7"/>
  <c r="AL24" i="7"/>
  <c r="Q25" i="7"/>
  <c r="AC25" i="7"/>
  <c r="AO25" i="7"/>
  <c r="T26" i="7"/>
  <c r="AF26" i="7"/>
  <c r="AR26" i="7"/>
  <c r="W27" i="7"/>
  <c r="AI27" i="7"/>
  <c r="AU27" i="7"/>
  <c r="Z28" i="7"/>
  <c r="AL28" i="7"/>
  <c r="Q29" i="7"/>
  <c r="AC29" i="7"/>
  <c r="AO29" i="7"/>
  <c r="T30" i="7"/>
  <c r="AF30" i="7"/>
  <c r="AR30" i="7"/>
  <c r="W20" i="7"/>
  <c r="AU20" i="7"/>
  <c r="AL21" i="7"/>
  <c r="AC22" i="7"/>
  <c r="T23" i="7"/>
  <c r="AR23" i="7"/>
  <c r="AI24" i="7"/>
  <c r="Z25" i="7"/>
  <c r="Q26" i="7"/>
  <c r="AO26" i="7"/>
  <c r="AF27" i="7"/>
  <c r="W28" i="7"/>
  <c r="AU28" i="7"/>
  <c r="AL29" i="7"/>
  <c r="AO30" i="7"/>
  <c r="AA20" i="7"/>
  <c r="AM20" i="7"/>
  <c r="R21" i="7"/>
  <c r="AD21" i="7"/>
  <c r="AP21" i="7"/>
  <c r="U22" i="7"/>
  <c r="AG22" i="7"/>
  <c r="AS22" i="7"/>
  <c r="X23" i="7"/>
  <c r="AJ23" i="7"/>
  <c r="AV23" i="7"/>
  <c r="AA24" i="7"/>
  <c r="AM24" i="7"/>
  <c r="R25" i="7"/>
  <c r="AD25" i="7"/>
  <c r="AP25" i="7"/>
  <c r="U26" i="7"/>
  <c r="AG26" i="7"/>
  <c r="AS26" i="7"/>
  <c r="X27" i="7"/>
  <c r="AJ27" i="7"/>
  <c r="AV27" i="7"/>
  <c r="AA28" i="7"/>
  <c r="AM28" i="7"/>
  <c r="R29" i="7"/>
  <c r="AD29" i="7"/>
  <c r="AP29" i="7"/>
  <c r="U30" i="7"/>
  <c r="AG30" i="7"/>
  <c r="AS30" i="7"/>
  <c r="AI20" i="7"/>
  <c r="Z21" i="7"/>
  <c r="Q22" i="7"/>
  <c r="AO22" i="7"/>
  <c r="AF23" i="7"/>
  <c r="W24" i="7"/>
  <c r="AU24" i="7"/>
  <c r="AL25" i="7"/>
  <c r="AC26" i="7"/>
  <c r="T27" i="7"/>
  <c r="AR27" i="7"/>
  <c r="AI28" i="7"/>
  <c r="Z29" i="7"/>
  <c r="Q30" i="7"/>
  <c r="AC30" i="7"/>
  <c r="AB20" i="7"/>
  <c r="AN20" i="7"/>
  <c r="S21" i="7"/>
  <c r="AE21" i="7"/>
  <c r="AQ21" i="7"/>
  <c r="V22" i="7"/>
  <c r="AH22" i="7"/>
  <c r="AT22" i="7"/>
  <c r="Y23" i="7"/>
  <c r="AK23" i="7"/>
  <c r="AB24" i="7"/>
  <c r="AN24" i="7"/>
  <c r="S25" i="7"/>
  <c r="AE25" i="7"/>
  <c r="AQ25" i="7"/>
  <c r="V26" i="7"/>
  <c r="AH26" i="7"/>
  <c r="AT26" i="7"/>
  <c r="Y27" i="7"/>
  <c r="AK27" i="7"/>
  <c r="AB28" i="7"/>
  <c r="AN28" i="7"/>
  <c r="S29" i="7"/>
  <c r="AE29" i="7"/>
  <c r="AQ29" i="7"/>
  <c r="V30" i="7"/>
  <c r="AH30" i="7"/>
  <c r="AT30" i="7"/>
  <c r="Q20" i="7"/>
  <c r="AC20" i="7"/>
  <c r="AO20" i="7"/>
  <c r="T21" i="7"/>
  <c r="AF21" i="7"/>
  <c r="AR21" i="7"/>
  <c r="W22" i="7"/>
  <c r="AI22" i="7"/>
  <c r="AU22" i="7"/>
  <c r="Z23" i="7"/>
  <c r="AL23" i="7"/>
  <c r="Q24" i="7"/>
  <c r="AC24" i="7"/>
  <c r="AO24" i="7"/>
  <c r="T25" i="7"/>
  <c r="AF25" i="7"/>
  <c r="AR25" i="7"/>
  <c r="W26" i="7"/>
  <c r="AI26" i="7"/>
  <c r="AU26" i="7"/>
  <c r="Z27" i="7"/>
  <c r="AL27" i="7"/>
  <c r="Q28" i="7"/>
  <c r="AC28" i="7"/>
  <c r="AO28" i="7"/>
  <c r="T29" i="7"/>
  <c r="AF29" i="7"/>
  <c r="AR29" i="7"/>
  <c r="W30" i="7"/>
  <c r="AI30" i="7"/>
  <c r="AU30" i="7"/>
  <c r="R20" i="7"/>
  <c r="AD20" i="7"/>
  <c r="AP20" i="7"/>
  <c r="U21" i="7"/>
  <c r="AG21" i="7"/>
  <c r="AS21" i="7"/>
  <c r="X22" i="7"/>
  <c r="AJ22" i="7"/>
  <c r="AV22" i="7"/>
  <c r="AA23" i="7"/>
  <c r="AM23" i="7"/>
  <c r="R24" i="7"/>
  <c r="AD24" i="7"/>
  <c r="AP24" i="7"/>
  <c r="U25" i="7"/>
  <c r="AG25" i="7"/>
  <c r="AS25" i="7"/>
  <c r="X26" i="7"/>
  <c r="AJ26" i="7"/>
  <c r="AV26" i="7"/>
  <c r="AA27" i="7"/>
  <c r="AM27" i="7"/>
  <c r="R28" i="7"/>
  <c r="AD28" i="7"/>
  <c r="AP28" i="7"/>
  <c r="U29" i="7"/>
  <c r="AG29" i="7"/>
  <c r="AS29" i="7"/>
  <c r="X30" i="7"/>
  <c r="AJ30" i="7"/>
  <c r="AV30" i="7"/>
  <c r="P19" i="7"/>
  <c r="S20" i="7"/>
  <c r="AE20" i="7"/>
  <c r="AQ20" i="7"/>
  <c r="V21" i="7"/>
  <c r="AH21" i="7"/>
  <c r="AT21" i="7"/>
  <c r="Y22" i="7"/>
  <c r="AK22" i="7"/>
  <c r="AB23" i="7"/>
  <c r="AN23" i="7"/>
  <c r="S24" i="7"/>
  <c r="AE24" i="7"/>
  <c r="AQ24" i="7"/>
  <c r="V25" i="7"/>
  <c r="AH25" i="7"/>
  <c r="AT25" i="7"/>
  <c r="Y26" i="7"/>
  <c r="AK26" i="7"/>
  <c r="AB27" i="7"/>
  <c r="AN27" i="7"/>
  <c r="S28" i="7"/>
  <c r="AE28" i="7"/>
  <c r="AQ28" i="7"/>
  <c r="V29" i="7"/>
  <c r="AH29" i="7"/>
  <c r="AT29" i="7"/>
  <c r="Y30" i="7"/>
  <c r="AK30" i="7"/>
  <c r="AP30" i="7"/>
  <c r="T20" i="7"/>
  <c r="AF20" i="7"/>
  <c r="AR20" i="7"/>
  <c r="W21" i="7"/>
  <c r="AI21" i="7"/>
  <c r="AU21" i="7"/>
  <c r="Z22" i="7"/>
  <c r="AL22" i="7"/>
  <c r="Q23" i="7"/>
  <c r="AC23" i="7"/>
  <c r="AO23" i="7"/>
  <c r="T24" i="7"/>
  <c r="AF24" i="7"/>
  <c r="AR24" i="7"/>
  <c r="W25" i="7"/>
  <c r="AI25" i="7"/>
  <c r="AU25" i="7"/>
  <c r="Z26" i="7"/>
  <c r="AL26" i="7"/>
  <c r="AC27" i="7"/>
  <c r="AO27" i="7"/>
  <c r="T28" i="7"/>
  <c r="AF28" i="7"/>
  <c r="AR28" i="7"/>
  <c r="W29" i="7"/>
  <c r="AI29" i="7"/>
  <c r="AU29" i="7"/>
  <c r="Z30" i="7"/>
  <c r="AL30" i="7"/>
  <c r="U20" i="7"/>
  <c r="AG20" i="7"/>
  <c r="AS20" i="7"/>
  <c r="X21" i="7"/>
  <c r="AJ21" i="7"/>
  <c r="AV21" i="7"/>
  <c r="AA22" i="7"/>
  <c r="AM22" i="7"/>
  <c r="R23" i="7"/>
  <c r="AD23" i="7"/>
  <c r="AP23" i="7"/>
  <c r="U24" i="7"/>
  <c r="AG24" i="7"/>
  <c r="AS24" i="7"/>
  <c r="X25" i="7"/>
  <c r="AJ25" i="7"/>
  <c r="AV25" i="7"/>
  <c r="AA26" i="7"/>
  <c r="AM26" i="7"/>
  <c r="R27" i="7"/>
  <c r="AD27" i="7"/>
  <c r="AP27" i="7"/>
  <c r="U28" i="7"/>
  <c r="AG28" i="7"/>
  <c r="AS28" i="7"/>
  <c r="X29" i="7"/>
  <c r="AJ29" i="7"/>
  <c r="AV29" i="7"/>
  <c r="AA30" i="7"/>
  <c r="AM30" i="7"/>
  <c r="V20" i="7"/>
  <c r="AH20" i="7"/>
  <c r="AT20" i="7"/>
  <c r="Y21" i="7"/>
  <c r="AK21" i="7"/>
  <c r="AB22" i="7"/>
  <c r="AN22" i="7"/>
  <c r="S23" i="7"/>
  <c r="AE23" i="7"/>
  <c r="AQ23" i="7"/>
  <c r="V24" i="7"/>
  <c r="AH24" i="7"/>
  <c r="AT24" i="7"/>
  <c r="Y25" i="7"/>
  <c r="AK25" i="7"/>
  <c r="AB26" i="7"/>
  <c r="AN26" i="7"/>
  <c r="S27" i="7"/>
  <c r="AE27" i="7"/>
  <c r="AQ27" i="7"/>
  <c r="V28" i="7"/>
  <c r="AH28" i="7"/>
  <c r="AT28" i="7"/>
  <c r="Y29" i="7"/>
  <c r="AK29" i="7"/>
  <c r="AB30" i="7"/>
  <c r="W20" i="8"/>
  <c r="AI20" i="8"/>
  <c r="AU20" i="8"/>
  <c r="Z21" i="8"/>
  <c r="AL21" i="8"/>
  <c r="Q22" i="8"/>
  <c r="AC22" i="8"/>
  <c r="AO22" i="8"/>
  <c r="T23" i="8"/>
  <c r="AF23" i="8"/>
  <c r="AR23" i="8"/>
  <c r="W24" i="8"/>
  <c r="AI24" i="8"/>
  <c r="AU24" i="8"/>
  <c r="Z25" i="8"/>
  <c r="AL25" i="8"/>
  <c r="Q26" i="8"/>
  <c r="AC26" i="8"/>
  <c r="AO26" i="8"/>
  <c r="T27" i="8"/>
  <c r="AF27" i="8"/>
  <c r="AR27" i="8"/>
  <c r="W28" i="8"/>
  <c r="AI28" i="8"/>
  <c r="AU28" i="8"/>
  <c r="Z29" i="8"/>
  <c r="AL29" i="8"/>
  <c r="Q30" i="8"/>
  <c r="AC30" i="8"/>
  <c r="AO30" i="8"/>
  <c r="AE24" i="8"/>
  <c r="X20" i="8"/>
  <c r="AJ20" i="8"/>
  <c r="AV20" i="8"/>
  <c r="AA21" i="8"/>
  <c r="AM21" i="8"/>
  <c r="R22" i="8"/>
  <c r="AD22" i="8"/>
  <c r="AP22" i="8"/>
  <c r="U23" i="8"/>
  <c r="AG23" i="8"/>
  <c r="AS23" i="8"/>
  <c r="X24" i="8"/>
  <c r="AJ24" i="8"/>
  <c r="AV24" i="8"/>
  <c r="AA25" i="8"/>
  <c r="AM25" i="8"/>
  <c r="R26" i="8"/>
  <c r="AD26" i="8"/>
  <c r="AP26" i="8"/>
  <c r="U27" i="8"/>
  <c r="AG27" i="8"/>
  <c r="AS27" i="8"/>
  <c r="X28" i="8"/>
  <c r="AJ28" i="8"/>
  <c r="AV28" i="8"/>
  <c r="AA29" i="8"/>
  <c r="AM29" i="8"/>
  <c r="R30" i="8"/>
  <c r="AD30" i="8"/>
  <c r="AP30" i="8"/>
  <c r="Y20" i="8"/>
  <c r="AK20" i="8"/>
  <c r="AB21" i="8"/>
  <c r="AN21" i="8"/>
  <c r="S22" i="8"/>
  <c r="AE22" i="8"/>
  <c r="AQ22" i="8"/>
  <c r="V23" i="8"/>
  <c r="AH23" i="8"/>
  <c r="AT23" i="8"/>
  <c r="Y24" i="8"/>
  <c r="AK24" i="8"/>
  <c r="AB25" i="8"/>
  <c r="AN25" i="8"/>
  <c r="S26" i="8"/>
  <c r="AE26" i="8"/>
  <c r="AQ26" i="8"/>
  <c r="V27" i="8"/>
  <c r="AH27" i="8"/>
  <c r="AT27" i="8"/>
  <c r="Y28" i="8"/>
  <c r="AK28" i="8"/>
  <c r="AB29" i="8"/>
  <c r="AN29" i="8"/>
  <c r="S30" i="8"/>
  <c r="AE30" i="8"/>
  <c r="AQ30" i="8"/>
  <c r="Z20" i="8"/>
  <c r="AL20" i="8"/>
  <c r="Q21" i="8"/>
  <c r="AC21" i="8"/>
  <c r="AO21" i="8"/>
  <c r="T22" i="8"/>
  <c r="AF22" i="8"/>
  <c r="AR22" i="8"/>
  <c r="W23" i="8"/>
  <c r="AI23" i="8"/>
  <c r="AU23" i="8"/>
  <c r="Z24" i="8"/>
  <c r="AL24" i="8"/>
  <c r="Q25" i="8"/>
  <c r="AC25" i="8"/>
  <c r="AO25" i="8"/>
  <c r="T26" i="8"/>
  <c r="AF26" i="8"/>
  <c r="AR26" i="8"/>
  <c r="W27" i="8"/>
  <c r="AI27" i="8"/>
  <c r="AU27" i="8"/>
  <c r="Z28" i="8"/>
  <c r="AL28" i="8"/>
  <c r="Q29" i="8"/>
  <c r="AC29" i="8"/>
  <c r="AO29" i="8"/>
  <c r="T30" i="8"/>
  <c r="AF30" i="8"/>
  <c r="AR30" i="8"/>
  <c r="AQ24" i="8"/>
  <c r="AA20" i="8"/>
  <c r="AM20" i="8"/>
  <c r="R21" i="8"/>
  <c r="AD21" i="8"/>
  <c r="AP21" i="8"/>
  <c r="U22" i="8"/>
  <c r="AG22" i="8"/>
  <c r="AS22" i="8"/>
  <c r="X23" i="8"/>
  <c r="AJ23" i="8"/>
  <c r="AV23" i="8"/>
  <c r="AA24" i="8"/>
  <c r="AM24" i="8"/>
  <c r="R25" i="8"/>
  <c r="AD25" i="8"/>
  <c r="AP25" i="8"/>
  <c r="U26" i="8"/>
  <c r="AG26" i="8"/>
  <c r="AS26" i="8"/>
  <c r="X27" i="8"/>
  <c r="AJ27" i="8"/>
  <c r="AV27" i="8"/>
  <c r="AA28" i="8"/>
  <c r="AM28" i="8"/>
  <c r="R29" i="8"/>
  <c r="AD29" i="8"/>
  <c r="AP29" i="8"/>
  <c r="U30" i="8"/>
  <c r="AG30" i="8"/>
  <c r="AS30" i="8"/>
  <c r="AH25" i="8"/>
  <c r="AB20" i="8"/>
  <c r="AN20" i="8"/>
  <c r="S21" i="8"/>
  <c r="AE21" i="8"/>
  <c r="AQ21" i="8"/>
  <c r="V22" i="8"/>
  <c r="AH22" i="8"/>
  <c r="AT22" i="8"/>
  <c r="Y23" i="8"/>
  <c r="AK23" i="8"/>
  <c r="AB24" i="8"/>
  <c r="AN24" i="8"/>
  <c r="S25" i="8"/>
  <c r="AE25" i="8"/>
  <c r="AQ25" i="8"/>
  <c r="V26" i="8"/>
  <c r="AH26" i="8"/>
  <c r="AT26" i="8"/>
  <c r="Y27" i="8"/>
  <c r="AK27" i="8"/>
  <c r="AB28" i="8"/>
  <c r="AN28" i="8"/>
  <c r="S29" i="8"/>
  <c r="AE29" i="8"/>
  <c r="AQ29" i="8"/>
  <c r="V30" i="8"/>
  <c r="AH30" i="8"/>
  <c r="AT30" i="8"/>
  <c r="Q20" i="8"/>
  <c r="AC20" i="8"/>
  <c r="AO20" i="8"/>
  <c r="T21" i="8"/>
  <c r="AF21" i="8"/>
  <c r="AR21" i="8"/>
  <c r="W22" i="8"/>
  <c r="AI22" i="8"/>
  <c r="AU22" i="8"/>
  <c r="Z23" i="8"/>
  <c r="AL23" i="8"/>
  <c r="Q24" i="8"/>
  <c r="AC24" i="8"/>
  <c r="AO24" i="8"/>
  <c r="T25" i="8"/>
  <c r="AF25" i="8"/>
  <c r="AR25" i="8"/>
  <c r="W26" i="8"/>
  <c r="AI26" i="8"/>
  <c r="AU26" i="8"/>
  <c r="Z27" i="8"/>
  <c r="AL27" i="8"/>
  <c r="Q28" i="8"/>
  <c r="AC28" i="8"/>
  <c r="AO28" i="8"/>
  <c r="T29" i="8"/>
  <c r="AF29" i="8"/>
  <c r="AR29" i="8"/>
  <c r="W30" i="8"/>
  <c r="AI30" i="8"/>
  <c r="AU30" i="8"/>
  <c r="R20" i="8"/>
  <c r="AD20" i="8"/>
  <c r="AP20" i="8"/>
  <c r="U21" i="8"/>
  <c r="AG21" i="8"/>
  <c r="AS21" i="8"/>
  <c r="X22" i="8"/>
  <c r="AJ22" i="8"/>
  <c r="AV22" i="8"/>
  <c r="AA23" i="8"/>
  <c r="AM23" i="8"/>
  <c r="R24" i="8"/>
  <c r="AD24" i="8"/>
  <c r="AP24" i="8"/>
  <c r="U25" i="8"/>
  <c r="AG25" i="8"/>
  <c r="AS25" i="8"/>
  <c r="X26" i="8"/>
  <c r="AJ26" i="8"/>
  <c r="AV26" i="8"/>
  <c r="AA27" i="8"/>
  <c r="AM27" i="8"/>
  <c r="R28" i="8"/>
  <c r="AD28" i="8"/>
  <c r="AP28" i="8"/>
  <c r="U29" i="8"/>
  <c r="AG29" i="8"/>
  <c r="AS29" i="8"/>
  <c r="X30" i="8"/>
  <c r="AJ30" i="8"/>
  <c r="AV30" i="8"/>
  <c r="T20" i="8"/>
  <c r="AF20" i="8"/>
  <c r="AR20" i="8"/>
  <c r="W21" i="8"/>
  <c r="AI21" i="8"/>
  <c r="AU21" i="8"/>
  <c r="Z22" i="8"/>
  <c r="AL22" i="8"/>
  <c r="Q23" i="8"/>
  <c r="AC23" i="8"/>
  <c r="AO23" i="8"/>
  <c r="T24" i="8"/>
  <c r="AF24" i="8"/>
  <c r="AR24" i="8"/>
  <c r="W25" i="8"/>
  <c r="AI25" i="8"/>
  <c r="AU25" i="8"/>
  <c r="Z26" i="8"/>
  <c r="AL26" i="8"/>
  <c r="AC27" i="8"/>
  <c r="AO27" i="8"/>
  <c r="T28" i="8"/>
  <c r="AF28" i="8"/>
  <c r="AR28" i="8"/>
  <c r="W29" i="8"/>
  <c r="AI29" i="8"/>
  <c r="AU29" i="8"/>
  <c r="Z30" i="8"/>
  <c r="AL30" i="8"/>
  <c r="P19" i="8"/>
  <c r="S20" i="8"/>
  <c r="AE20" i="8"/>
  <c r="AQ20" i="8"/>
  <c r="V21" i="8"/>
  <c r="AH21" i="8"/>
  <c r="AT21" i="8"/>
  <c r="Y22" i="8"/>
  <c r="AK22" i="8"/>
  <c r="AB23" i="8"/>
  <c r="AN23" i="8"/>
  <c r="S24" i="8"/>
  <c r="V25" i="8"/>
  <c r="AT25" i="8"/>
  <c r="Y26" i="8"/>
  <c r="AK26" i="8"/>
  <c r="AB27" i="8"/>
  <c r="AN27" i="8"/>
  <c r="S28" i="8"/>
  <c r="AE28" i="8"/>
  <c r="AQ28" i="8"/>
  <c r="V29" i="8"/>
  <c r="AH29" i="8"/>
  <c r="AT29" i="8"/>
  <c r="Y30" i="8"/>
  <c r="AK30" i="8"/>
  <c r="U20" i="8"/>
  <c r="AG20" i="8"/>
  <c r="AS20" i="8"/>
  <c r="X21" i="8"/>
  <c r="AJ21" i="8"/>
  <c r="AV21" i="8"/>
  <c r="AA22" i="8"/>
  <c r="AM22" i="8"/>
  <c r="R23" i="8"/>
  <c r="AD23" i="8"/>
  <c r="AP23" i="8"/>
  <c r="U24" i="8"/>
  <c r="AG24" i="8"/>
  <c r="AS24" i="8"/>
  <c r="X25" i="8"/>
  <c r="AJ25" i="8"/>
  <c r="AV25" i="8"/>
  <c r="AA26" i="8"/>
  <c r="AM26" i="8"/>
  <c r="R27" i="8"/>
  <c r="AD27" i="8"/>
  <c r="AP27" i="8"/>
  <c r="U28" i="8"/>
  <c r="AG28" i="8"/>
  <c r="AS28" i="8"/>
  <c r="X29" i="8"/>
  <c r="AJ29" i="8"/>
  <c r="AV29" i="8"/>
  <c r="AA30" i="8"/>
  <c r="AM30" i="8"/>
  <c r="V20" i="8"/>
  <c r="AH20" i="8"/>
  <c r="AT20" i="8"/>
  <c r="Y21" i="8"/>
  <c r="AK21" i="8"/>
  <c r="AB22" i="8"/>
  <c r="AN22" i="8"/>
  <c r="S23" i="8"/>
  <c r="AE23" i="8"/>
  <c r="AQ23" i="8"/>
  <c r="V24" i="8"/>
  <c r="AH24" i="8"/>
  <c r="AT24" i="8"/>
  <c r="Y25" i="8"/>
  <c r="AK25" i="8"/>
  <c r="AB26" i="8"/>
  <c r="AN26" i="8"/>
  <c r="S27" i="8"/>
  <c r="AE27" i="8"/>
  <c r="AQ27" i="8"/>
  <c r="V28" i="8"/>
  <c r="AH28" i="8"/>
  <c r="AT28" i="8"/>
  <c r="Y29" i="8"/>
  <c r="AK29" i="8"/>
  <c r="AB30" i="8"/>
  <c r="AO30" i="9"/>
  <c r="X20" i="9"/>
  <c r="AJ20" i="9"/>
  <c r="AV20" i="9"/>
  <c r="AA21" i="9"/>
  <c r="AM21" i="9"/>
  <c r="R22" i="9"/>
  <c r="AD22" i="9"/>
  <c r="AP22" i="9"/>
  <c r="U23" i="9"/>
  <c r="AG23" i="9"/>
  <c r="AS23" i="9"/>
  <c r="X24" i="9"/>
  <c r="AJ24" i="9"/>
  <c r="AV24" i="9"/>
  <c r="AA25" i="9"/>
  <c r="AM25" i="9"/>
  <c r="R26" i="9"/>
  <c r="AD26" i="9"/>
  <c r="AP26" i="9"/>
  <c r="U27" i="9"/>
  <c r="AG27" i="9"/>
  <c r="AS27" i="9"/>
  <c r="X28" i="9"/>
  <c r="AJ28" i="9"/>
  <c r="AV28" i="9"/>
  <c r="AA29" i="9"/>
  <c r="AM29" i="9"/>
  <c r="R30" i="9"/>
  <c r="AD30" i="9"/>
  <c r="AP30" i="9"/>
  <c r="Y20" i="9"/>
  <c r="AK20" i="9"/>
  <c r="AB21" i="9"/>
  <c r="AN21" i="9"/>
  <c r="S22" i="9"/>
  <c r="AE22" i="9"/>
  <c r="AQ22" i="9"/>
  <c r="V23" i="9"/>
  <c r="AH23" i="9"/>
  <c r="AT23" i="9"/>
  <c r="Y24" i="9"/>
  <c r="AK24" i="9"/>
  <c r="AB25" i="9"/>
  <c r="AN25" i="9"/>
  <c r="S26" i="9"/>
  <c r="AE26" i="9"/>
  <c r="AQ26" i="9"/>
  <c r="V27" i="9"/>
  <c r="AH27" i="9"/>
  <c r="AT27" i="9"/>
  <c r="Y28" i="9"/>
  <c r="AK28" i="9"/>
  <c r="AB29" i="9"/>
  <c r="AN29" i="9"/>
  <c r="S30" i="9"/>
  <c r="AE30" i="9"/>
  <c r="AQ30" i="9"/>
  <c r="AF23" i="9"/>
  <c r="Q30" i="9"/>
  <c r="Z20" i="9"/>
  <c r="AL20" i="9"/>
  <c r="Q21" i="9"/>
  <c r="AC21" i="9"/>
  <c r="AO21" i="9"/>
  <c r="T22" i="9"/>
  <c r="AF22" i="9"/>
  <c r="AR22" i="9"/>
  <c r="W23" i="9"/>
  <c r="AI23" i="9"/>
  <c r="AU23" i="9"/>
  <c r="Z24" i="9"/>
  <c r="AL24" i="9"/>
  <c r="Q25" i="9"/>
  <c r="AC25" i="9"/>
  <c r="AO25" i="9"/>
  <c r="T26" i="9"/>
  <c r="AF26" i="9"/>
  <c r="AR26" i="9"/>
  <c r="W27" i="9"/>
  <c r="AI27" i="9"/>
  <c r="AU27" i="9"/>
  <c r="Z28" i="9"/>
  <c r="AL28" i="9"/>
  <c r="Q29" i="9"/>
  <c r="AC29" i="9"/>
  <c r="AO29" i="9"/>
  <c r="T30" i="9"/>
  <c r="AF30" i="9"/>
  <c r="AR30" i="9"/>
  <c r="AA20" i="9"/>
  <c r="AM20" i="9"/>
  <c r="R21" i="9"/>
  <c r="AD21" i="9"/>
  <c r="AP21" i="9"/>
  <c r="U22" i="9"/>
  <c r="AG22" i="9"/>
  <c r="AS22" i="9"/>
  <c r="X23" i="9"/>
  <c r="AJ23" i="9"/>
  <c r="AV23" i="9"/>
  <c r="AA24" i="9"/>
  <c r="AM24" i="9"/>
  <c r="R25" i="9"/>
  <c r="AD25" i="9"/>
  <c r="AP25" i="9"/>
  <c r="U26" i="9"/>
  <c r="AG26" i="9"/>
  <c r="AS26" i="9"/>
  <c r="X27" i="9"/>
  <c r="AJ27" i="9"/>
  <c r="AV27" i="9"/>
  <c r="AA28" i="9"/>
  <c r="AM28" i="9"/>
  <c r="R29" i="9"/>
  <c r="AD29" i="9"/>
  <c r="AP29" i="9"/>
  <c r="U30" i="9"/>
  <c r="AG30" i="9"/>
  <c r="AS30" i="9"/>
  <c r="W20" i="9"/>
  <c r="AR23" i="9"/>
  <c r="AL29" i="9"/>
  <c r="AB20" i="9"/>
  <c r="AN20" i="9"/>
  <c r="S21" i="9"/>
  <c r="AE21" i="9"/>
  <c r="AQ21" i="9"/>
  <c r="V22" i="9"/>
  <c r="AH22" i="9"/>
  <c r="AT22" i="9"/>
  <c r="Y23" i="9"/>
  <c r="AK23" i="9"/>
  <c r="AB24" i="9"/>
  <c r="AN24" i="9"/>
  <c r="S25" i="9"/>
  <c r="AE25" i="9"/>
  <c r="AQ25" i="9"/>
  <c r="V26" i="9"/>
  <c r="AH26" i="9"/>
  <c r="AT26" i="9"/>
  <c r="Y27" i="9"/>
  <c r="AK27" i="9"/>
  <c r="AB28" i="9"/>
  <c r="AN28" i="9"/>
  <c r="S29" i="9"/>
  <c r="AE29" i="9"/>
  <c r="AQ29" i="9"/>
  <c r="V30" i="9"/>
  <c r="AH30" i="9"/>
  <c r="AT30" i="9"/>
  <c r="AI20" i="9"/>
  <c r="AU20" i="9"/>
  <c r="Z21" i="9"/>
  <c r="AL21" i="9"/>
  <c r="Q22" i="9"/>
  <c r="AC22" i="9"/>
  <c r="AO22" i="9"/>
  <c r="T23" i="9"/>
  <c r="W24" i="9"/>
  <c r="AI24" i="9"/>
  <c r="AU24" i="9"/>
  <c r="Z25" i="9"/>
  <c r="AL25" i="9"/>
  <c r="Q26" i="9"/>
  <c r="AC26" i="9"/>
  <c r="AO26" i="9"/>
  <c r="T27" i="9"/>
  <c r="AF27" i="9"/>
  <c r="AR27" i="9"/>
  <c r="W28" i="9"/>
  <c r="AI28" i="9"/>
  <c r="AU28" i="9"/>
  <c r="Z29" i="9"/>
  <c r="AC30" i="9"/>
  <c r="Q20" i="9"/>
  <c r="AC20" i="9"/>
  <c r="AO20" i="9"/>
  <c r="T21" i="9"/>
  <c r="AF21" i="9"/>
  <c r="AR21" i="9"/>
  <c r="W22" i="9"/>
  <c r="AI22" i="9"/>
  <c r="AU22" i="9"/>
  <c r="Z23" i="9"/>
  <c r="AL23" i="9"/>
  <c r="Q24" i="9"/>
  <c r="AC24" i="9"/>
  <c r="AO24" i="9"/>
  <c r="T25" i="9"/>
  <c r="AF25" i="9"/>
  <c r="AR25" i="9"/>
  <c r="W26" i="9"/>
  <c r="AI26" i="9"/>
  <c r="AU26" i="9"/>
  <c r="Z27" i="9"/>
  <c r="AL27" i="9"/>
  <c r="Q28" i="9"/>
  <c r="AC28" i="9"/>
  <c r="AO28" i="9"/>
  <c r="T29" i="9"/>
  <c r="AF29" i="9"/>
  <c r="AR29" i="9"/>
  <c r="W30" i="9"/>
  <c r="AI30" i="9"/>
  <c r="AU30" i="9"/>
  <c r="R20" i="9"/>
  <c r="AD20" i="9"/>
  <c r="AP20" i="9"/>
  <c r="U21" i="9"/>
  <c r="AG21" i="9"/>
  <c r="AS21" i="9"/>
  <c r="X22" i="9"/>
  <c r="AJ22" i="9"/>
  <c r="AV22" i="9"/>
  <c r="AA23" i="9"/>
  <c r="AM23" i="9"/>
  <c r="R24" i="9"/>
  <c r="AD24" i="9"/>
  <c r="AP24" i="9"/>
  <c r="U25" i="9"/>
  <c r="AG25" i="9"/>
  <c r="AS25" i="9"/>
  <c r="X26" i="9"/>
  <c r="AJ26" i="9"/>
  <c r="AV26" i="9"/>
  <c r="AA27" i="9"/>
  <c r="AM27" i="9"/>
  <c r="R28" i="9"/>
  <c r="AD28" i="9"/>
  <c r="AP28" i="9"/>
  <c r="U29" i="9"/>
  <c r="AG29" i="9"/>
  <c r="AS29" i="9"/>
  <c r="X30" i="9"/>
  <c r="AJ30" i="9"/>
  <c r="AV30" i="9"/>
  <c r="P19" i="9"/>
  <c r="S20" i="9"/>
  <c r="AE20" i="9"/>
  <c r="AQ20" i="9"/>
  <c r="V21" i="9"/>
  <c r="AH21" i="9"/>
  <c r="AT21" i="9"/>
  <c r="Y22" i="9"/>
  <c r="AK22" i="9"/>
  <c r="AB23" i="9"/>
  <c r="AN23" i="9"/>
  <c r="S24" i="9"/>
  <c r="AE24" i="9"/>
  <c r="AQ24" i="9"/>
  <c r="V25" i="9"/>
  <c r="AH25" i="9"/>
  <c r="AT25" i="9"/>
  <c r="Y26" i="9"/>
  <c r="AK26" i="9"/>
  <c r="AB27" i="9"/>
  <c r="AN27" i="9"/>
  <c r="S28" i="9"/>
  <c r="AE28" i="9"/>
  <c r="AQ28" i="9"/>
  <c r="V29" i="9"/>
  <c r="AH29" i="9"/>
  <c r="AT29" i="9"/>
  <c r="Y30" i="9"/>
  <c r="AK30" i="9"/>
  <c r="AL30" i="9"/>
  <c r="T20" i="9"/>
  <c r="AF20" i="9"/>
  <c r="AR20" i="9"/>
  <c r="W21" i="9"/>
  <c r="AI21" i="9"/>
  <c r="AU21" i="9"/>
  <c r="Z22" i="9"/>
  <c r="AL22" i="9"/>
  <c r="Q23" i="9"/>
  <c r="AC23" i="9"/>
  <c r="AO23" i="9"/>
  <c r="T24" i="9"/>
  <c r="AF24" i="9"/>
  <c r="AR24" i="9"/>
  <c r="W25" i="9"/>
  <c r="AI25" i="9"/>
  <c r="AU25" i="9"/>
  <c r="Z26" i="9"/>
  <c r="AL26" i="9"/>
  <c r="AC27" i="9"/>
  <c r="AO27" i="9"/>
  <c r="T28" i="9"/>
  <c r="AF28" i="9"/>
  <c r="AR28" i="9"/>
  <c r="W29" i="9"/>
  <c r="AI29" i="9"/>
  <c r="Z30" i="9"/>
  <c r="U20" i="9"/>
  <c r="AG20" i="9"/>
  <c r="AS20" i="9"/>
  <c r="X21" i="9"/>
  <c r="AJ21" i="9"/>
  <c r="AV21" i="9"/>
  <c r="AA22" i="9"/>
  <c r="AM22" i="9"/>
  <c r="R23" i="9"/>
  <c r="AD23" i="9"/>
  <c r="AP23" i="9"/>
  <c r="U24" i="9"/>
  <c r="AG24" i="9"/>
  <c r="AS24" i="9"/>
  <c r="X25" i="9"/>
  <c r="AJ25" i="9"/>
  <c r="AV25" i="9"/>
  <c r="AA26" i="9"/>
  <c r="AM26" i="9"/>
  <c r="R27" i="9"/>
  <c r="AD27" i="9"/>
  <c r="AP27" i="9"/>
  <c r="U28" i="9"/>
  <c r="AG28" i="9"/>
  <c r="AS28" i="9"/>
  <c r="X29" i="9"/>
  <c r="AJ29" i="9"/>
  <c r="AV29" i="9"/>
  <c r="AA30" i="9"/>
  <c r="AM30" i="9"/>
  <c r="AU29" i="9"/>
  <c r="V20" i="9"/>
  <c r="AH20" i="9"/>
  <c r="AT20" i="9"/>
  <c r="Y21" i="9"/>
  <c r="AK21" i="9"/>
  <c r="AB22" i="9"/>
  <c r="AN22" i="9"/>
  <c r="S23" i="9"/>
  <c r="AE23" i="9"/>
  <c r="AQ23" i="9"/>
  <c r="V24" i="9"/>
  <c r="AH24" i="9"/>
  <c r="AT24" i="9"/>
  <c r="Y25" i="9"/>
  <c r="AK25" i="9"/>
  <c r="AB26" i="9"/>
  <c r="AN26" i="9"/>
  <c r="S27" i="9"/>
  <c r="AE27" i="9"/>
  <c r="AQ27" i="9"/>
  <c r="V28" i="9"/>
  <c r="AH28" i="9"/>
  <c r="AT28" i="9"/>
  <c r="Y29" i="9"/>
  <c r="AK29" i="9"/>
  <c r="AB30" i="9"/>
  <c r="P19" i="10"/>
  <c r="AV37" i="10"/>
  <c r="AJ37" i="10"/>
  <c r="X37" i="10"/>
  <c r="AQ36" i="10"/>
  <c r="AE36" i="10"/>
  <c r="S36" i="10"/>
  <c r="AL35" i="10"/>
  <c r="Z35" i="10"/>
  <c r="AS34" i="10"/>
  <c r="AG34" i="10"/>
  <c r="U34" i="10"/>
  <c r="AN33" i="10"/>
  <c r="AB33" i="10"/>
  <c r="AU32" i="10"/>
  <c r="AI32" i="10"/>
  <c r="W32" i="10"/>
  <c r="AP31" i="10"/>
  <c r="AD31" i="10"/>
  <c r="R31" i="10"/>
  <c r="AK30" i="10"/>
  <c r="Y30" i="10"/>
  <c r="AR29" i="10"/>
  <c r="AF29" i="10"/>
  <c r="T29" i="10"/>
  <c r="AM28" i="10"/>
  <c r="AA28" i="10"/>
  <c r="AT27" i="10"/>
  <c r="AH27" i="10"/>
  <c r="V27" i="10"/>
  <c r="AO26" i="10"/>
  <c r="AC26" i="10"/>
  <c r="AV25" i="10"/>
  <c r="AJ25" i="10"/>
  <c r="X25" i="10"/>
  <c r="AQ24" i="10"/>
  <c r="AE24" i="10"/>
  <c r="S24" i="10"/>
  <c r="AL23" i="10"/>
  <c r="Z23" i="10"/>
  <c r="AS22" i="10"/>
  <c r="AG22" i="10"/>
  <c r="U22" i="10"/>
  <c r="AN21" i="10"/>
  <c r="AB21" i="10"/>
  <c r="AU20" i="10"/>
  <c r="AI20" i="10"/>
  <c r="W20" i="10"/>
  <c r="Q29" i="10"/>
  <c r="AA23" i="10"/>
  <c r="AL30" i="10"/>
  <c r="AK37" i="10"/>
  <c r="Q31" i="10"/>
  <c r="Y20" i="10"/>
  <c r="AK20" i="10"/>
  <c r="R21" i="10"/>
  <c r="AD21" i="10"/>
  <c r="AP21" i="10"/>
  <c r="W22" i="10"/>
  <c r="AI22" i="10"/>
  <c r="AU22" i="10"/>
  <c r="AB23" i="10"/>
  <c r="AN23" i="10"/>
  <c r="U24" i="10"/>
  <c r="AG24" i="10"/>
  <c r="AS24" i="10"/>
  <c r="Z25" i="10"/>
  <c r="AL25" i="10"/>
  <c r="S26" i="10"/>
  <c r="AE26" i="10"/>
  <c r="AQ26" i="10"/>
  <c r="X27" i="10"/>
  <c r="AJ27" i="10"/>
  <c r="AV27" i="10"/>
  <c r="AC28" i="10"/>
  <c r="AO28" i="10"/>
  <c r="V29" i="10"/>
  <c r="AH29" i="10"/>
  <c r="AT29" i="10"/>
  <c r="AA30" i="10"/>
  <c r="AM30" i="10"/>
  <c r="T31" i="10"/>
  <c r="AF31" i="10"/>
  <c r="AR31" i="10"/>
  <c r="Y32" i="10"/>
  <c r="AK32" i="10"/>
  <c r="R33" i="10"/>
  <c r="AD33" i="10"/>
  <c r="AP33" i="10"/>
  <c r="W34" i="10"/>
  <c r="AI34" i="10"/>
  <c r="AU34" i="10"/>
  <c r="AB35" i="10"/>
  <c r="AN35" i="10"/>
  <c r="U36" i="10"/>
  <c r="AG36" i="10"/>
  <c r="AS36" i="10"/>
  <c r="Z37" i="10"/>
  <c r="AL37" i="10"/>
  <c r="AH22" i="10"/>
  <c r="W27" i="10"/>
  <c r="AE31" i="10"/>
  <c r="T36" i="10"/>
  <c r="Q20" i="10"/>
  <c r="Q32" i="10"/>
  <c r="Z20" i="10"/>
  <c r="AL20" i="10"/>
  <c r="S21" i="10"/>
  <c r="AE21" i="10"/>
  <c r="AQ21" i="10"/>
  <c r="X22" i="10"/>
  <c r="AJ22" i="10"/>
  <c r="AV22" i="10"/>
  <c r="AC23" i="10"/>
  <c r="AO23" i="10"/>
  <c r="V24" i="10"/>
  <c r="AH24" i="10"/>
  <c r="AT24" i="10"/>
  <c r="AA25" i="10"/>
  <c r="AM25" i="10"/>
  <c r="T26" i="10"/>
  <c r="AF26" i="10"/>
  <c r="AR26" i="10"/>
  <c r="Y27" i="10"/>
  <c r="AK27" i="10"/>
  <c r="R28" i="10"/>
  <c r="AD28" i="10"/>
  <c r="AP28" i="10"/>
  <c r="W29" i="10"/>
  <c r="AI29" i="10"/>
  <c r="AU29" i="10"/>
  <c r="AB30" i="10"/>
  <c r="AN30" i="10"/>
  <c r="U31" i="10"/>
  <c r="AG31" i="10"/>
  <c r="AS31" i="10"/>
  <c r="Z32" i="10"/>
  <c r="AL32" i="10"/>
  <c r="S33" i="10"/>
  <c r="AE33" i="10"/>
  <c r="AQ33" i="10"/>
  <c r="X34" i="10"/>
  <c r="AJ34" i="10"/>
  <c r="AV34" i="10"/>
  <c r="AC35" i="10"/>
  <c r="AO35" i="10"/>
  <c r="V36" i="10"/>
  <c r="AH36" i="10"/>
  <c r="AT36" i="10"/>
  <c r="AA37" i="10"/>
  <c r="AM37" i="10"/>
  <c r="Q30" i="10"/>
  <c r="T24" i="10"/>
  <c r="AN28" i="10"/>
  <c r="AJ32" i="10"/>
  <c r="AM35" i="10"/>
  <c r="Q21" i="10"/>
  <c r="Q33" i="10"/>
  <c r="AA20" i="10"/>
  <c r="AM20" i="10"/>
  <c r="T21" i="10"/>
  <c r="AF21" i="10"/>
  <c r="AR21" i="10"/>
  <c r="Y22" i="10"/>
  <c r="AK22" i="10"/>
  <c r="R23" i="10"/>
  <c r="AD23" i="10"/>
  <c r="AP23" i="10"/>
  <c r="W24" i="10"/>
  <c r="AI24" i="10"/>
  <c r="AU24" i="10"/>
  <c r="AB25" i="10"/>
  <c r="AN25" i="10"/>
  <c r="U26" i="10"/>
  <c r="AG26" i="10"/>
  <c r="AS26" i="10"/>
  <c r="Z27" i="10"/>
  <c r="AL27" i="10"/>
  <c r="S28" i="10"/>
  <c r="AE28" i="10"/>
  <c r="AQ28" i="10"/>
  <c r="X29" i="10"/>
  <c r="AJ29" i="10"/>
  <c r="AV29" i="10"/>
  <c r="AC30" i="10"/>
  <c r="AO30" i="10"/>
  <c r="V31" i="10"/>
  <c r="AH31" i="10"/>
  <c r="AT31" i="10"/>
  <c r="AA32" i="10"/>
  <c r="AM32" i="10"/>
  <c r="T33" i="10"/>
  <c r="AF33" i="10"/>
  <c r="AR33" i="10"/>
  <c r="Y34" i="10"/>
  <c r="AK34" i="10"/>
  <c r="R35" i="10"/>
  <c r="AD35" i="10"/>
  <c r="AP35" i="10"/>
  <c r="W36" i="10"/>
  <c r="AI36" i="10"/>
  <c r="AU36" i="10"/>
  <c r="AB37" i="10"/>
  <c r="AN37" i="10"/>
  <c r="AM23" i="10"/>
  <c r="Z30" i="10"/>
  <c r="AA35" i="10"/>
  <c r="Q22" i="10"/>
  <c r="Q34" i="10"/>
  <c r="AB20" i="10"/>
  <c r="AN20" i="10"/>
  <c r="U21" i="10"/>
  <c r="AG21" i="10"/>
  <c r="AS21" i="10"/>
  <c r="Z22" i="10"/>
  <c r="AL22" i="10"/>
  <c r="S23" i="10"/>
  <c r="AE23" i="10"/>
  <c r="AQ23" i="10"/>
  <c r="X24" i="10"/>
  <c r="AJ24" i="10"/>
  <c r="AV24" i="10"/>
  <c r="AC25" i="10"/>
  <c r="AO25" i="10"/>
  <c r="V26" i="10"/>
  <c r="AH26" i="10"/>
  <c r="AT26" i="10"/>
  <c r="AA27" i="10"/>
  <c r="AM27" i="10"/>
  <c r="T28" i="10"/>
  <c r="AF28" i="10"/>
  <c r="AR28" i="10"/>
  <c r="Y29" i="10"/>
  <c r="AK29" i="10"/>
  <c r="R30" i="10"/>
  <c r="AD30" i="10"/>
  <c r="AP30" i="10"/>
  <c r="W31" i="10"/>
  <c r="AI31" i="10"/>
  <c r="AU31" i="10"/>
  <c r="AB32" i="10"/>
  <c r="AN32" i="10"/>
  <c r="U33" i="10"/>
  <c r="AG33" i="10"/>
  <c r="AS33" i="10"/>
  <c r="Z34" i="10"/>
  <c r="AL34" i="10"/>
  <c r="S35" i="10"/>
  <c r="AE35" i="10"/>
  <c r="AQ35" i="10"/>
  <c r="X36" i="10"/>
  <c r="AJ36" i="10"/>
  <c r="AV36" i="10"/>
  <c r="AC37" i="10"/>
  <c r="AO37" i="10"/>
  <c r="AJ20" i="10"/>
  <c r="R26" i="10"/>
  <c r="AS29" i="10"/>
  <c r="AO33" i="10"/>
  <c r="AF36" i="10"/>
  <c r="Q23" i="10"/>
  <c r="Q35" i="10"/>
  <c r="AC20" i="10"/>
  <c r="AO20" i="10"/>
  <c r="V21" i="10"/>
  <c r="AH21" i="10"/>
  <c r="AT21" i="10"/>
  <c r="AA22" i="10"/>
  <c r="AM22" i="10"/>
  <c r="T23" i="10"/>
  <c r="AF23" i="10"/>
  <c r="AR23" i="10"/>
  <c r="Y24" i="10"/>
  <c r="AK24" i="10"/>
  <c r="R25" i="10"/>
  <c r="AD25" i="10"/>
  <c r="AP25" i="10"/>
  <c r="W26" i="10"/>
  <c r="AI26" i="10"/>
  <c r="AU26" i="10"/>
  <c r="AB27" i="10"/>
  <c r="AN27" i="10"/>
  <c r="U28" i="10"/>
  <c r="AG28" i="10"/>
  <c r="AS28" i="10"/>
  <c r="Z29" i="10"/>
  <c r="AL29" i="10"/>
  <c r="S30" i="10"/>
  <c r="AE30" i="10"/>
  <c r="AQ30" i="10"/>
  <c r="X31" i="10"/>
  <c r="AJ31" i="10"/>
  <c r="AV31" i="10"/>
  <c r="AC32" i="10"/>
  <c r="AO32" i="10"/>
  <c r="V33" i="10"/>
  <c r="AH33" i="10"/>
  <c r="AT33" i="10"/>
  <c r="AA34" i="10"/>
  <c r="AM34" i="10"/>
  <c r="T35" i="10"/>
  <c r="AF35" i="10"/>
  <c r="AR35" i="10"/>
  <c r="Y36" i="10"/>
  <c r="AK36" i="10"/>
  <c r="R37" i="10"/>
  <c r="AD37" i="10"/>
  <c r="AP37" i="10"/>
  <c r="AC21" i="10"/>
  <c r="AK25" i="10"/>
  <c r="AB28" i="10"/>
  <c r="AV32" i="10"/>
  <c r="Y37" i="10"/>
  <c r="Q24" i="10"/>
  <c r="Q36" i="10"/>
  <c r="R20" i="10"/>
  <c r="AD20" i="10"/>
  <c r="AP20" i="10"/>
  <c r="W21" i="10"/>
  <c r="AI21" i="10"/>
  <c r="AU21" i="10"/>
  <c r="AB22" i="10"/>
  <c r="AN22" i="10"/>
  <c r="U23" i="10"/>
  <c r="AG23" i="10"/>
  <c r="AS23" i="10"/>
  <c r="Z24" i="10"/>
  <c r="AL24" i="10"/>
  <c r="S25" i="10"/>
  <c r="AE25" i="10"/>
  <c r="AQ25" i="10"/>
  <c r="X26" i="10"/>
  <c r="AJ26" i="10"/>
  <c r="AV26" i="10"/>
  <c r="AC27" i="10"/>
  <c r="AO27" i="10"/>
  <c r="V28" i="10"/>
  <c r="AH28" i="10"/>
  <c r="AT28" i="10"/>
  <c r="AA29" i="10"/>
  <c r="AM29" i="10"/>
  <c r="T30" i="10"/>
  <c r="AF30" i="10"/>
  <c r="AR30" i="10"/>
  <c r="Y31" i="10"/>
  <c r="AK31" i="10"/>
  <c r="R32" i="10"/>
  <c r="AD32" i="10"/>
  <c r="AP32" i="10"/>
  <c r="W33" i="10"/>
  <c r="AI33" i="10"/>
  <c r="AU33" i="10"/>
  <c r="AB34" i="10"/>
  <c r="AN34" i="10"/>
  <c r="U35" i="10"/>
  <c r="AG35" i="10"/>
  <c r="AS35" i="10"/>
  <c r="Z36" i="10"/>
  <c r="AL36" i="10"/>
  <c r="S37" i="10"/>
  <c r="AE37" i="10"/>
  <c r="AQ37" i="10"/>
  <c r="AV20" i="10"/>
  <c r="Y25" i="10"/>
  <c r="AU27" i="10"/>
  <c r="AC33" i="10"/>
  <c r="AR36" i="10"/>
  <c r="Q25" i="10"/>
  <c r="Q37" i="10"/>
  <c r="S20" i="10"/>
  <c r="AE20" i="10"/>
  <c r="AQ20" i="10"/>
  <c r="X21" i="10"/>
  <c r="AJ21" i="10"/>
  <c r="AV21" i="10"/>
  <c r="AC22" i="10"/>
  <c r="AO22" i="10"/>
  <c r="V23" i="10"/>
  <c r="AH23" i="10"/>
  <c r="AT23" i="10"/>
  <c r="AA24" i="10"/>
  <c r="AM24" i="10"/>
  <c r="T25" i="10"/>
  <c r="AF25" i="10"/>
  <c r="AR25" i="10"/>
  <c r="Y26" i="10"/>
  <c r="AK26" i="10"/>
  <c r="R27" i="10"/>
  <c r="AD27" i="10"/>
  <c r="AP27" i="10"/>
  <c r="W28" i="10"/>
  <c r="AI28" i="10"/>
  <c r="AU28" i="10"/>
  <c r="AB29" i="10"/>
  <c r="AN29" i="10"/>
  <c r="U30" i="10"/>
  <c r="AG30" i="10"/>
  <c r="AS30" i="10"/>
  <c r="Z31" i="10"/>
  <c r="AL31" i="10"/>
  <c r="S32" i="10"/>
  <c r="AE32" i="10"/>
  <c r="AQ32" i="10"/>
  <c r="X33" i="10"/>
  <c r="AJ33" i="10"/>
  <c r="AV33" i="10"/>
  <c r="AC34" i="10"/>
  <c r="AO34" i="10"/>
  <c r="V35" i="10"/>
  <c r="AH35" i="10"/>
  <c r="AT35" i="10"/>
  <c r="AA36" i="10"/>
  <c r="AM36" i="10"/>
  <c r="T37" i="10"/>
  <c r="AF37" i="10"/>
  <c r="AR37" i="10"/>
  <c r="AO21" i="10"/>
  <c r="AR24" i="10"/>
  <c r="AD26" i="10"/>
  <c r="U29" i="10"/>
  <c r="AQ31" i="10"/>
  <c r="V34" i="10"/>
  <c r="Q26" i="10"/>
  <c r="T20" i="10"/>
  <c r="AF20" i="10"/>
  <c r="AR20" i="10"/>
  <c r="Y21" i="10"/>
  <c r="AK21" i="10"/>
  <c r="R22" i="10"/>
  <c r="AD22" i="10"/>
  <c r="AP22" i="10"/>
  <c r="W23" i="10"/>
  <c r="AI23" i="10"/>
  <c r="AU23" i="10"/>
  <c r="AB24" i="10"/>
  <c r="AN24" i="10"/>
  <c r="U25" i="10"/>
  <c r="AG25" i="10"/>
  <c r="AS25" i="10"/>
  <c r="Z26" i="10"/>
  <c r="AL26" i="10"/>
  <c r="S27" i="10"/>
  <c r="AE27" i="10"/>
  <c r="AQ27" i="10"/>
  <c r="X28" i="10"/>
  <c r="AJ28" i="10"/>
  <c r="AV28" i="10"/>
  <c r="AC29" i="10"/>
  <c r="AO29" i="10"/>
  <c r="V30" i="10"/>
  <c r="AH30" i="10"/>
  <c r="AT30" i="10"/>
  <c r="AA31" i="10"/>
  <c r="AM31" i="10"/>
  <c r="T32" i="10"/>
  <c r="AF32" i="10"/>
  <c r="AR32" i="10"/>
  <c r="Y33" i="10"/>
  <c r="AK33" i="10"/>
  <c r="R34" i="10"/>
  <c r="AD34" i="10"/>
  <c r="AP34" i="10"/>
  <c r="W35" i="10"/>
  <c r="AI35" i="10"/>
  <c r="AU35" i="10"/>
  <c r="AB36" i="10"/>
  <c r="AN36" i="10"/>
  <c r="U37" i="10"/>
  <c r="AG37" i="10"/>
  <c r="AS37" i="10"/>
  <c r="X20" i="10"/>
  <c r="V22" i="10"/>
  <c r="AF24" i="10"/>
  <c r="AP26" i="10"/>
  <c r="AG29" i="10"/>
  <c r="S31" i="10"/>
  <c r="AH34" i="10"/>
  <c r="Q27" i="10"/>
  <c r="U20" i="10"/>
  <c r="AG20" i="10"/>
  <c r="AS20" i="10"/>
  <c r="Z21" i="10"/>
  <c r="AL21" i="10"/>
  <c r="S22" i="10"/>
  <c r="AE22" i="10"/>
  <c r="AQ22" i="10"/>
  <c r="X23" i="10"/>
  <c r="AJ23" i="10"/>
  <c r="AV23" i="10"/>
  <c r="AC24" i="10"/>
  <c r="AO24" i="10"/>
  <c r="V25" i="10"/>
  <c r="AH25" i="10"/>
  <c r="AT25" i="10"/>
  <c r="AA26" i="10"/>
  <c r="AM26" i="10"/>
  <c r="T27" i="10"/>
  <c r="AF27" i="10"/>
  <c r="AR27" i="10"/>
  <c r="Y28" i="10"/>
  <c r="AK28" i="10"/>
  <c r="R29" i="10"/>
  <c r="AD29" i="10"/>
  <c r="AP29" i="10"/>
  <c r="W30" i="10"/>
  <c r="AI30" i="10"/>
  <c r="AU30" i="10"/>
  <c r="AB31" i="10"/>
  <c r="AN31" i="10"/>
  <c r="U32" i="10"/>
  <c r="AG32" i="10"/>
  <c r="AS32" i="10"/>
  <c r="Z33" i="10"/>
  <c r="AL33" i="10"/>
  <c r="S34" i="10"/>
  <c r="AE34" i="10"/>
  <c r="AQ34" i="10"/>
  <c r="X35" i="10"/>
  <c r="AJ35" i="10"/>
  <c r="AV35" i="10"/>
  <c r="AC36" i="10"/>
  <c r="AO36" i="10"/>
  <c r="V37" i="10"/>
  <c r="AH37" i="10"/>
  <c r="AT37" i="10"/>
  <c r="AT22" i="10"/>
  <c r="AI27" i="10"/>
  <c r="X32" i="10"/>
  <c r="AT34" i="10"/>
  <c r="V20" i="10"/>
  <c r="AH20" i="10"/>
  <c r="AT20" i="10"/>
  <c r="AA21" i="10"/>
  <c r="AM21" i="10"/>
  <c r="T22" i="10"/>
  <c r="AF22" i="10"/>
  <c r="AR22" i="10"/>
  <c r="Y23" i="10"/>
  <c r="AK23" i="10"/>
  <c r="R24" i="10"/>
  <c r="AD24" i="10"/>
  <c r="AP24" i="10"/>
  <c r="W25" i="10"/>
  <c r="AI25" i="10"/>
  <c r="AU25" i="10"/>
  <c r="AB26" i="10"/>
  <c r="AN26" i="10"/>
  <c r="U27" i="10"/>
  <c r="AG27" i="10"/>
  <c r="AS27" i="10"/>
  <c r="Z28" i="10"/>
  <c r="AL28" i="10"/>
  <c r="S29" i="10"/>
  <c r="AE29" i="10"/>
  <c r="AQ29" i="10"/>
  <c r="X30" i="10"/>
  <c r="AJ30" i="10"/>
  <c r="AV30" i="10"/>
  <c r="AC31" i="10"/>
  <c r="AO31" i="10"/>
  <c r="V32" i="10"/>
  <c r="AH32" i="10"/>
  <c r="AT32" i="10"/>
  <c r="AA33" i="10"/>
  <c r="AM33" i="10"/>
  <c r="T34" i="10"/>
  <c r="AF34" i="10"/>
  <c r="AR34" i="10"/>
  <c r="Y35" i="10"/>
  <c r="AK35" i="10"/>
  <c r="R36" i="10"/>
  <c r="AD36" i="10"/>
  <c r="AP36" i="10"/>
  <c r="W37" i="10"/>
  <c r="AI37" i="10"/>
  <c r="AU37" i="10"/>
  <c r="D2" i="12"/>
  <c r="D2" i="6"/>
  <c r="D2" i="5"/>
  <c r="D2" i="7"/>
  <c r="D2" i="2"/>
  <c r="D2" i="8"/>
  <c r="D2" i="11"/>
  <c r="D2" i="10"/>
  <c r="D2" i="3"/>
  <c r="D2" i="4"/>
  <c r="D2" i="9"/>
  <c r="AW31" i="4" l="1"/>
  <c r="AW32" i="12"/>
  <c r="AW35" i="12"/>
  <c r="AW33" i="12"/>
  <c r="AW37" i="12"/>
  <c r="AW36" i="12"/>
  <c r="AW34" i="12"/>
  <c r="AW31" i="12"/>
  <c r="AW31" i="9"/>
  <c r="AW33" i="9"/>
  <c r="AW34" i="9"/>
  <c r="AW37" i="9"/>
  <c r="AW35" i="9"/>
  <c r="AW36" i="9"/>
  <c r="AW32" i="9"/>
  <c r="AW31" i="6"/>
  <c r="AW31" i="5"/>
  <c r="AW30" i="5"/>
  <c r="AW23" i="12"/>
  <c r="AW29" i="12"/>
  <c r="AW27" i="12"/>
  <c r="AQ19" i="12"/>
  <c r="AE19" i="12"/>
  <c r="S19" i="12"/>
  <c r="AP19" i="12"/>
  <c r="AD19" i="12"/>
  <c r="R19" i="12"/>
  <c r="AO19" i="12"/>
  <c r="AC19" i="12"/>
  <c r="Q19" i="12"/>
  <c r="AN19" i="12"/>
  <c r="AB19" i="12"/>
  <c r="AM19" i="12"/>
  <c r="AA19" i="12"/>
  <c r="AL19" i="12"/>
  <c r="Z19" i="12"/>
  <c r="AK19" i="12"/>
  <c r="Y19" i="12"/>
  <c r="AR19" i="12"/>
  <c r="AV19" i="12"/>
  <c r="AJ19" i="12"/>
  <c r="X19" i="12"/>
  <c r="T19" i="12"/>
  <c r="AU19" i="12"/>
  <c r="AI19" i="12"/>
  <c r="W19" i="12"/>
  <c r="AT19" i="12"/>
  <c r="AH19" i="12"/>
  <c r="V19" i="12"/>
  <c r="AF19" i="12"/>
  <c r="AS19" i="12"/>
  <c r="AG19" i="12"/>
  <c r="U19" i="12"/>
  <c r="AW25" i="12"/>
  <c r="AW26" i="12"/>
  <c r="AW20" i="12"/>
  <c r="AW24" i="12"/>
  <c r="AW30" i="12"/>
  <c r="AW28" i="12"/>
  <c r="AW22" i="12"/>
  <c r="AW21" i="12"/>
  <c r="AW24" i="11"/>
  <c r="AW23" i="11"/>
  <c r="AW21" i="11"/>
  <c r="AW27" i="11"/>
  <c r="AW28" i="11"/>
  <c r="AW25" i="11"/>
  <c r="AQ19" i="11"/>
  <c r="AE19" i="11"/>
  <c r="S19" i="11"/>
  <c r="AP19" i="11"/>
  <c r="AD19" i="11"/>
  <c r="R19" i="11"/>
  <c r="AO19" i="11"/>
  <c r="AC19" i="11"/>
  <c r="Q19" i="11"/>
  <c r="AN19" i="11"/>
  <c r="AB19" i="11"/>
  <c r="AM19" i="11"/>
  <c r="AA19" i="11"/>
  <c r="AL19" i="11"/>
  <c r="Z19" i="11"/>
  <c r="AK19" i="11"/>
  <c r="Y19" i="11"/>
  <c r="AV19" i="11"/>
  <c r="AJ19" i="11"/>
  <c r="X19" i="11"/>
  <c r="AU19" i="11"/>
  <c r="AI19" i="11"/>
  <c r="W19" i="11"/>
  <c r="AT19" i="11"/>
  <c r="AH19" i="11"/>
  <c r="V19" i="11"/>
  <c r="AS19" i="11"/>
  <c r="AG19" i="11"/>
  <c r="U19" i="11"/>
  <c r="AR19" i="11"/>
  <c r="AF19" i="11"/>
  <c r="T19" i="11"/>
  <c r="AW29" i="11"/>
  <c r="AW22" i="11"/>
  <c r="AW26" i="11"/>
  <c r="AW30" i="11"/>
  <c r="AW20" i="11"/>
  <c r="AW23" i="1"/>
  <c r="AW25" i="1"/>
  <c r="AW27" i="1"/>
  <c r="AQ19" i="1"/>
  <c r="AE19" i="1"/>
  <c r="S19" i="1"/>
  <c r="AP19" i="1"/>
  <c r="AD19" i="1"/>
  <c r="R19" i="1"/>
  <c r="AO19" i="1"/>
  <c r="AC19" i="1"/>
  <c r="Q19" i="1"/>
  <c r="AN19" i="1"/>
  <c r="AB19" i="1"/>
  <c r="AM19" i="1"/>
  <c r="AA19" i="1"/>
  <c r="AL19" i="1"/>
  <c r="Z19" i="1"/>
  <c r="AK19" i="1"/>
  <c r="Y19" i="1"/>
  <c r="AR19" i="1"/>
  <c r="AF19" i="1"/>
  <c r="T19" i="1"/>
  <c r="AV19" i="1"/>
  <c r="AJ19" i="1"/>
  <c r="X19" i="1"/>
  <c r="AU19" i="1"/>
  <c r="AI19" i="1"/>
  <c r="W19" i="1"/>
  <c r="AT19" i="1"/>
  <c r="AH19" i="1"/>
  <c r="V19" i="1"/>
  <c r="AS19" i="1"/>
  <c r="AG19" i="1"/>
  <c r="U19" i="1"/>
  <c r="AW29" i="1"/>
  <c r="AW20" i="1"/>
  <c r="AW21" i="1"/>
  <c r="AW28" i="1"/>
  <c r="AW22" i="1"/>
  <c r="AW26" i="1"/>
  <c r="AW30" i="1"/>
  <c r="AW23" i="3"/>
  <c r="AW27" i="3"/>
  <c r="AQ19" i="3"/>
  <c r="AE19" i="3"/>
  <c r="S19" i="3"/>
  <c r="AP19" i="3"/>
  <c r="AD19" i="3"/>
  <c r="R19" i="3"/>
  <c r="AF19" i="3"/>
  <c r="AO19" i="3"/>
  <c r="AC19" i="3"/>
  <c r="Q19" i="3"/>
  <c r="AN19" i="3"/>
  <c r="AB19" i="3"/>
  <c r="AM19" i="3"/>
  <c r="AA19" i="3"/>
  <c r="AL19" i="3"/>
  <c r="Z19" i="3"/>
  <c r="AK19" i="3"/>
  <c r="Y19" i="3"/>
  <c r="AV19" i="3"/>
  <c r="AJ19" i="3"/>
  <c r="X19" i="3"/>
  <c r="AU19" i="3"/>
  <c r="AI19" i="3"/>
  <c r="W19" i="3"/>
  <c r="AT19" i="3"/>
  <c r="AH19" i="3"/>
  <c r="V19" i="3"/>
  <c r="AS19" i="3"/>
  <c r="AG19" i="3"/>
  <c r="U19" i="3"/>
  <c r="AR19" i="3"/>
  <c r="T19" i="3"/>
  <c r="AW20" i="3"/>
  <c r="AW24" i="3"/>
  <c r="AW28" i="3"/>
  <c r="AW21" i="3"/>
  <c r="AW22" i="3"/>
  <c r="AW26" i="3"/>
  <c r="AW25" i="3"/>
  <c r="AW30" i="3"/>
  <c r="AW29" i="3"/>
  <c r="AW23" i="4"/>
  <c r="AW27" i="4"/>
  <c r="AQ19" i="4"/>
  <c r="AE19" i="4"/>
  <c r="S19" i="4"/>
  <c r="AP19" i="4"/>
  <c r="AD19" i="4"/>
  <c r="R19" i="4"/>
  <c r="AO19" i="4"/>
  <c r="AC19" i="4"/>
  <c r="Q19" i="4"/>
  <c r="AN19" i="4"/>
  <c r="AB19" i="4"/>
  <c r="AM19" i="4"/>
  <c r="AA19" i="4"/>
  <c r="AL19" i="4"/>
  <c r="Z19" i="4"/>
  <c r="AK19" i="4"/>
  <c r="Y19" i="4"/>
  <c r="AV19" i="4"/>
  <c r="AJ19" i="4"/>
  <c r="X19" i="4"/>
  <c r="AG19" i="4"/>
  <c r="AU19" i="4"/>
  <c r="AI19" i="4"/>
  <c r="W19" i="4"/>
  <c r="AT19" i="4"/>
  <c r="AH19" i="4"/>
  <c r="V19" i="4"/>
  <c r="AS19" i="4"/>
  <c r="U19" i="4"/>
  <c r="AR19" i="4"/>
  <c r="AF19" i="4"/>
  <c r="T19" i="4"/>
  <c r="AW20" i="4"/>
  <c r="AW24" i="4"/>
  <c r="AW21" i="4"/>
  <c r="AW28" i="4"/>
  <c r="AW25" i="4"/>
  <c r="AW22" i="4"/>
  <c r="AW29" i="4"/>
  <c r="AW26" i="4"/>
  <c r="AW30" i="4"/>
  <c r="AW20" i="5"/>
  <c r="AW28" i="5"/>
  <c r="AW24" i="5"/>
  <c r="AW22" i="5"/>
  <c r="AW23" i="5"/>
  <c r="AW21" i="5"/>
  <c r="AW27" i="5"/>
  <c r="AQ19" i="5"/>
  <c r="AE19" i="5"/>
  <c r="S19" i="5"/>
  <c r="AR19" i="5"/>
  <c r="AF19" i="5"/>
  <c r="AP19" i="5"/>
  <c r="AD19" i="5"/>
  <c r="R19" i="5"/>
  <c r="AG19" i="5"/>
  <c r="U19" i="5"/>
  <c r="AO19" i="5"/>
  <c r="AC19" i="5"/>
  <c r="Q19" i="5"/>
  <c r="AN19" i="5"/>
  <c r="AB19" i="5"/>
  <c r="AM19" i="5"/>
  <c r="AA19" i="5"/>
  <c r="AL19" i="5"/>
  <c r="Z19" i="5"/>
  <c r="AK19" i="5"/>
  <c r="Y19" i="5"/>
  <c r="AT19" i="5"/>
  <c r="AH19" i="5"/>
  <c r="V19" i="5"/>
  <c r="AV19" i="5"/>
  <c r="AJ19" i="5"/>
  <c r="X19" i="5"/>
  <c r="AS19" i="5"/>
  <c r="T19" i="5"/>
  <c r="AU19" i="5"/>
  <c r="AI19" i="5"/>
  <c r="W19" i="5"/>
  <c r="AW26" i="5"/>
  <c r="AW29" i="5"/>
  <c r="AW28" i="6"/>
  <c r="AW23" i="6"/>
  <c r="AW22" i="6"/>
  <c r="AW27" i="6"/>
  <c r="AQ19" i="6"/>
  <c r="AE19" i="6"/>
  <c r="S19" i="6"/>
  <c r="AG19" i="6"/>
  <c r="AP19" i="6"/>
  <c r="AD19" i="6"/>
  <c r="R19" i="6"/>
  <c r="AO19" i="6"/>
  <c r="AC19" i="6"/>
  <c r="Q19" i="6"/>
  <c r="AN19" i="6"/>
  <c r="AB19" i="6"/>
  <c r="AM19" i="6"/>
  <c r="AA19" i="6"/>
  <c r="AL19" i="6"/>
  <c r="Z19" i="6"/>
  <c r="AS19" i="6"/>
  <c r="U19" i="6"/>
  <c r="AR19" i="6"/>
  <c r="AF19" i="6"/>
  <c r="T19" i="6"/>
  <c r="AK19" i="6"/>
  <c r="Y19" i="6"/>
  <c r="AT19" i="6"/>
  <c r="AH19" i="6"/>
  <c r="V19" i="6"/>
  <c r="AV19" i="6"/>
  <c r="AJ19" i="6"/>
  <c r="X19" i="6"/>
  <c r="AU19" i="6"/>
  <c r="AI19" i="6"/>
  <c r="W19" i="6"/>
  <c r="AW26" i="6"/>
  <c r="AW30" i="6"/>
  <c r="AW21" i="6"/>
  <c r="AW25" i="6"/>
  <c r="AW20" i="6"/>
  <c r="AW29" i="6"/>
  <c r="AW24" i="6"/>
  <c r="AW23" i="7"/>
  <c r="AW26" i="7"/>
  <c r="AW21" i="7"/>
  <c r="AW25" i="7"/>
  <c r="AQ19" i="7"/>
  <c r="AE19" i="7"/>
  <c r="S19" i="7"/>
  <c r="AP19" i="7"/>
  <c r="AD19" i="7"/>
  <c r="R19" i="7"/>
  <c r="AO19" i="7"/>
  <c r="AC19" i="7"/>
  <c r="Q19" i="7"/>
  <c r="AN19" i="7"/>
  <c r="AB19" i="7"/>
  <c r="AM19" i="7"/>
  <c r="AA19" i="7"/>
  <c r="AL19" i="7"/>
  <c r="Z19" i="7"/>
  <c r="AK19" i="7"/>
  <c r="Y19" i="7"/>
  <c r="AR19" i="7"/>
  <c r="AV19" i="7"/>
  <c r="AJ19" i="7"/>
  <c r="X19" i="7"/>
  <c r="AF19" i="7"/>
  <c r="T19" i="7"/>
  <c r="AU19" i="7"/>
  <c r="AI19" i="7"/>
  <c r="W19" i="7"/>
  <c r="AT19" i="7"/>
  <c r="AH19" i="7"/>
  <c r="V19" i="7"/>
  <c r="AS19" i="7"/>
  <c r="AG19" i="7"/>
  <c r="U19" i="7"/>
  <c r="AW29" i="7"/>
  <c r="AW20" i="7"/>
  <c r="AW24" i="7"/>
  <c r="AW28" i="7"/>
  <c r="AW22" i="7"/>
  <c r="AW30" i="7"/>
  <c r="AW20" i="8"/>
  <c r="AW24" i="8"/>
  <c r="AW23" i="8"/>
  <c r="AW28" i="8"/>
  <c r="AQ19" i="8"/>
  <c r="AE19" i="8"/>
  <c r="S19" i="8"/>
  <c r="AP19" i="8"/>
  <c r="AD19" i="8"/>
  <c r="R19" i="8"/>
  <c r="AN19" i="8"/>
  <c r="AB19" i="8"/>
  <c r="AO19" i="8"/>
  <c r="AC19" i="8"/>
  <c r="Q19" i="8"/>
  <c r="AM19" i="8"/>
  <c r="AA19" i="8"/>
  <c r="AL19" i="8"/>
  <c r="Z19" i="8"/>
  <c r="AK19" i="8"/>
  <c r="Y19" i="8"/>
  <c r="AV19" i="8"/>
  <c r="AJ19" i="8"/>
  <c r="X19" i="8"/>
  <c r="AU19" i="8"/>
  <c r="AI19" i="8"/>
  <c r="W19" i="8"/>
  <c r="AT19" i="8"/>
  <c r="AH19" i="8"/>
  <c r="V19" i="8"/>
  <c r="AS19" i="8"/>
  <c r="AG19" i="8"/>
  <c r="U19" i="8"/>
  <c r="AR19" i="8"/>
  <c r="AF19" i="8"/>
  <c r="T19" i="8"/>
  <c r="AW21" i="8"/>
  <c r="AW25" i="8"/>
  <c r="AW22" i="8"/>
  <c r="AW29" i="8"/>
  <c r="AW26" i="8"/>
  <c r="AW30" i="8"/>
  <c r="AW23" i="9"/>
  <c r="AW22" i="9"/>
  <c r="AW30" i="9"/>
  <c r="AQ19" i="9"/>
  <c r="AE19" i="9"/>
  <c r="S19" i="9"/>
  <c r="AP19" i="9"/>
  <c r="AD19" i="9"/>
  <c r="R19" i="9"/>
  <c r="AO19" i="9"/>
  <c r="AC19" i="9"/>
  <c r="Q19" i="9"/>
  <c r="AN19" i="9"/>
  <c r="AB19" i="9"/>
  <c r="AM19" i="9"/>
  <c r="AA19" i="9"/>
  <c r="AL19" i="9"/>
  <c r="Z19" i="9"/>
  <c r="AR19" i="9"/>
  <c r="T19" i="9"/>
  <c r="AK19" i="9"/>
  <c r="Y19" i="9"/>
  <c r="AV19" i="9"/>
  <c r="AJ19" i="9"/>
  <c r="X19" i="9"/>
  <c r="AU19" i="9"/>
  <c r="AI19" i="9"/>
  <c r="W19" i="9"/>
  <c r="AF19" i="9"/>
  <c r="AT19" i="9"/>
  <c r="AH19" i="9"/>
  <c r="V19" i="9"/>
  <c r="AS19" i="9"/>
  <c r="AG19" i="9"/>
  <c r="U19" i="9"/>
  <c r="AW26" i="9"/>
  <c r="AW20" i="9"/>
  <c r="AW24" i="9"/>
  <c r="AW28" i="9"/>
  <c r="AW21" i="9"/>
  <c r="AW25" i="9"/>
  <c r="AW29" i="9"/>
  <c r="AW34" i="10"/>
  <c r="AW20" i="10"/>
  <c r="AW29" i="10"/>
  <c r="AW36" i="10"/>
  <c r="AW25" i="10"/>
  <c r="AW32" i="10"/>
  <c r="AW33" i="10"/>
  <c r="AW37" i="10"/>
  <c r="AW27" i="10"/>
  <c r="AW21" i="10"/>
  <c r="AW31" i="10"/>
  <c r="AW22" i="10"/>
  <c r="AW26" i="10"/>
  <c r="AW35" i="10"/>
  <c r="AW24" i="10"/>
  <c r="AW30" i="10"/>
  <c r="AW23" i="10"/>
  <c r="AP19" i="10"/>
  <c r="AD19" i="10"/>
  <c r="R19" i="10"/>
  <c r="AO19" i="10"/>
  <c r="AC19" i="10"/>
  <c r="S19" i="10"/>
  <c r="AN19" i="10"/>
  <c r="AB19" i="10"/>
  <c r="AM19" i="10"/>
  <c r="AA19" i="10"/>
  <c r="AQ19" i="10"/>
  <c r="AL19" i="10"/>
  <c r="Z19" i="10"/>
  <c r="AK19" i="10"/>
  <c r="Y19" i="10"/>
  <c r="AE19" i="10"/>
  <c r="AV19" i="10"/>
  <c r="AJ19" i="10"/>
  <c r="X19" i="10"/>
  <c r="AU19" i="10"/>
  <c r="AI19" i="10"/>
  <c r="W19" i="10"/>
  <c r="AT19" i="10"/>
  <c r="AH19" i="10"/>
  <c r="V19" i="10"/>
  <c r="AS19" i="10"/>
  <c r="AG19" i="10"/>
  <c r="U19" i="10"/>
  <c r="AR19" i="10"/>
  <c r="AF19" i="10"/>
  <c r="T19" i="10"/>
  <c r="Q19" i="10"/>
  <c r="AW19" i="12" l="1"/>
  <c r="AW19" i="11"/>
  <c r="AW19" i="1"/>
  <c r="AW19" i="3"/>
  <c r="AW19" i="4"/>
  <c r="AW19" i="5"/>
  <c r="AW19" i="6"/>
  <c r="AW19" i="7"/>
  <c r="AW19" i="8"/>
  <c r="AW19" i="9"/>
  <c r="AW19" i="10"/>
  <c r="L32" i="27" l="1"/>
  <c r="K32" i="27"/>
  <c r="L30" i="27"/>
  <c r="K30" i="27"/>
  <c r="L29" i="27"/>
  <c r="K29" i="27"/>
  <c r="L28" i="27"/>
  <c r="K28" i="27"/>
  <c r="L27" i="27"/>
  <c r="K27" i="27"/>
  <c r="L26" i="27"/>
  <c r="K26" i="27"/>
  <c r="L25" i="27"/>
  <c r="K25" i="27"/>
  <c r="L24" i="27"/>
  <c r="K24" i="27"/>
  <c r="L23" i="27"/>
  <c r="K23" i="27"/>
  <c r="L22" i="27"/>
  <c r="K22" i="27"/>
  <c r="L21" i="27"/>
  <c r="K21" i="27"/>
  <c r="L20" i="27"/>
  <c r="K20" i="27"/>
  <c r="L19" i="27"/>
  <c r="K19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V14" i="27"/>
  <c r="U14" i="27"/>
  <c r="S14" i="27"/>
  <c r="R14" i="27"/>
  <c r="Q14" i="27"/>
  <c r="P14" i="27"/>
  <c r="O14" i="27"/>
  <c r="N14" i="27"/>
  <c r="M14" i="27"/>
  <c r="L14" i="27"/>
  <c r="K14" i="27"/>
  <c r="J14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Q28" i="10"/>
  <c r="AW28" i="10" s="1"/>
  <c r="B69" i="7"/>
  <c r="D79" i="9"/>
  <c r="D77" i="9"/>
  <c r="D78" i="9" s="1"/>
  <c r="B43" i="10"/>
  <c r="B43" i="11"/>
  <c r="B43" i="12"/>
  <c r="Q13" i="10" l="1"/>
  <c r="AS37" i="2"/>
  <c r="AG37" i="2"/>
  <c r="U37" i="2"/>
  <c r="AO36" i="2"/>
  <c r="AC36" i="2"/>
  <c r="Q36" i="2"/>
  <c r="AK35" i="2"/>
  <c r="Y35" i="2"/>
  <c r="AS34" i="2"/>
  <c r="AG34" i="2"/>
  <c r="U34" i="2"/>
  <c r="AO33" i="2"/>
  <c r="AC33" i="2"/>
  <c r="Q33" i="2"/>
  <c r="AK32" i="2"/>
  <c r="Y32" i="2"/>
  <c r="AS31" i="2"/>
  <c r="AG31" i="2"/>
  <c r="U31" i="2"/>
  <c r="AP33" i="2"/>
  <c r="AR37" i="2"/>
  <c r="AF37" i="2"/>
  <c r="T37" i="2"/>
  <c r="AN36" i="2"/>
  <c r="AB36" i="2"/>
  <c r="AV35" i="2"/>
  <c r="AJ35" i="2"/>
  <c r="X35" i="2"/>
  <c r="AR34" i="2"/>
  <c r="AF34" i="2"/>
  <c r="T34" i="2"/>
  <c r="AN33" i="2"/>
  <c r="AB33" i="2"/>
  <c r="AV32" i="2"/>
  <c r="AJ32" i="2"/>
  <c r="X32" i="2"/>
  <c r="AR31" i="2"/>
  <c r="AF31" i="2"/>
  <c r="T31" i="2"/>
  <c r="V34" i="2"/>
  <c r="AQ37" i="2"/>
  <c r="AE37" i="2"/>
  <c r="S37" i="2"/>
  <c r="AM36" i="2"/>
  <c r="AA36" i="2"/>
  <c r="AU35" i="2"/>
  <c r="AI35" i="2"/>
  <c r="W35" i="2"/>
  <c r="AQ34" i="2"/>
  <c r="AE34" i="2"/>
  <c r="S34" i="2"/>
  <c r="AM33" i="2"/>
  <c r="AA33" i="2"/>
  <c r="AU32" i="2"/>
  <c r="AI32" i="2"/>
  <c r="W32" i="2"/>
  <c r="AQ31" i="2"/>
  <c r="AE31" i="2"/>
  <c r="S31" i="2"/>
  <c r="R36" i="2"/>
  <c r="AL32" i="2"/>
  <c r="AP37" i="2"/>
  <c r="AD37" i="2"/>
  <c r="R37" i="2"/>
  <c r="AL36" i="2"/>
  <c r="Z36" i="2"/>
  <c r="AT35" i="2"/>
  <c r="AH35" i="2"/>
  <c r="V35" i="2"/>
  <c r="AP34" i="2"/>
  <c r="AD34" i="2"/>
  <c r="R34" i="2"/>
  <c r="AL33" i="2"/>
  <c r="Z33" i="2"/>
  <c r="AT32" i="2"/>
  <c r="AH32" i="2"/>
  <c r="V32" i="2"/>
  <c r="AP31" i="2"/>
  <c r="AD31" i="2"/>
  <c r="R31" i="2"/>
  <c r="AD36" i="2"/>
  <c r="R33" i="2"/>
  <c r="AO37" i="2"/>
  <c r="AC37" i="2"/>
  <c r="Q37" i="2"/>
  <c r="AK36" i="2"/>
  <c r="Y36" i="2"/>
  <c r="AS35" i="2"/>
  <c r="AG35" i="2"/>
  <c r="U35" i="2"/>
  <c r="AO34" i="2"/>
  <c r="AC34" i="2"/>
  <c r="Q34" i="2"/>
  <c r="AK33" i="2"/>
  <c r="Y33" i="2"/>
  <c r="AS32" i="2"/>
  <c r="AG32" i="2"/>
  <c r="U32" i="2"/>
  <c r="AO31" i="2"/>
  <c r="AC31" i="2"/>
  <c r="Q31" i="2"/>
  <c r="AD33" i="2"/>
  <c r="AN37" i="2"/>
  <c r="AB37" i="2"/>
  <c r="AV36" i="2"/>
  <c r="AJ36" i="2"/>
  <c r="X36" i="2"/>
  <c r="AR35" i="2"/>
  <c r="AF35" i="2"/>
  <c r="T35" i="2"/>
  <c r="AN34" i="2"/>
  <c r="AB34" i="2"/>
  <c r="AV33" i="2"/>
  <c r="AJ33" i="2"/>
  <c r="X33" i="2"/>
  <c r="AR32" i="2"/>
  <c r="AF32" i="2"/>
  <c r="T32" i="2"/>
  <c r="AN31" i="2"/>
  <c r="AB31" i="2"/>
  <c r="AM37" i="2"/>
  <c r="AA37" i="2"/>
  <c r="AU36" i="2"/>
  <c r="AI36" i="2"/>
  <c r="W36" i="2"/>
  <c r="AQ35" i="2"/>
  <c r="AE35" i="2"/>
  <c r="S35" i="2"/>
  <c r="AM34" i="2"/>
  <c r="AA34" i="2"/>
  <c r="AU33" i="2"/>
  <c r="AI33" i="2"/>
  <c r="W33" i="2"/>
  <c r="AQ32" i="2"/>
  <c r="AE32" i="2"/>
  <c r="S32" i="2"/>
  <c r="AM31" i="2"/>
  <c r="AA31" i="2"/>
  <c r="AU37" i="2"/>
  <c r="AE36" i="2"/>
  <c r="W34" i="2"/>
  <c r="S33" i="2"/>
  <c r="AI31" i="2"/>
  <c r="AP36" i="2"/>
  <c r="AH34" i="2"/>
  <c r="V31" i="2"/>
  <c r="AL37" i="2"/>
  <c r="Z37" i="2"/>
  <c r="AT36" i="2"/>
  <c r="AH36" i="2"/>
  <c r="V36" i="2"/>
  <c r="AP35" i="2"/>
  <c r="AD35" i="2"/>
  <c r="R35" i="2"/>
  <c r="AL34" i="2"/>
  <c r="Z34" i="2"/>
  <c r="AT33" i="2"/>
  <c r="AH33" i="2"/>
  <c r="V33" i="2"/>
  <c r="AP32" i="2"/>
  <c r="AD32" i="2"/>
  <c r="R32" i="2"/>
  <c r="AL31" i="2"/>
  <c r="Z31" i="2"/>
  <c r="W37" i="2"/>
  <c r="AM35" i="2"/>
  <c r="AQ33" i="2"/>
  <c r="AA32" i="2"/>
  <c r="AT37" i="2"/>
  <c r="Z35" i="2"/>
  <c r="AH31" i="2"/>
  <c r="AK37" i="2"/>
  <c r="Y37" i="2"/>
  <c r="AS36" i="2"/>
  <c r="AG36" i="2"/>
  <c r="U36" i="2"/>
  <c r="AO35" i="2"/>
  <c r="AC35" i="2"/>
  <c r="Q35" i="2"/>
  <c r="AK34" i="2"/>
  <c r="Y34" i="2"/>
  <c r="AS33" i="2"/>
  <c r="AG33" i="2"/>
  <c r="U33" i="2"/>
  <c r="AO32" i="2"/>
  <c r="AC32" i="2"/>
  <c r="Q32" i="2"/>
  <c r="AK31" i="2"/>
  <c r="Y31" i="2"/>
  <c r="AQ36" i="2"/>
  <c r="AA35" i="2"/>
  <c r="AU34" i="2"/>
  <c r="AE33" i="2"/>
  <c r="AU31" i="2"/>
  <c r="V37" i="2"/>
  <c r="AT34" i="2"/>
  <c r="AT31" i="2"/>
  <c r="AV37" i="2"/>
  <c r="AJ37" i="2"/>
  <c r="X37" i="2"/>
  <c r="AR36" i="2"/>
  <c r="AF36" i="2"/>
  <c r="T36" i="2"/>
  <c r="AN35" i="2"/>
  <c r="AB35" i="2"/>
  <c r="AV34" i="2"/>
  <c r="AJ34" i="2"/>
  <c r="X34" i="2"/>
  <c r="AR33" i="2"/>
  <c r="AF33" i="2"/>
  <c r="T33" i="2"/>
  <c r="AN32" i="2"/>
  <c r="AB32" i="2"/>
  <c r="AV31" i="2"/>
  <c r="AJ31" i="2"/>
  <c r="X31" i="2"/>
  <c r="AI37" i="2"/>
  <c r="S36" i="2"/>
  <c r="AI34" i="2"/>
  <c r="AM32" i="2"/>
  <c r="W31" i="2"/>
  <c r="AH37" i="2"/>
  <c r="AL35" i="2"/>
  <c r="Z32" i="2"/>
  <c r="AN30" i="2"/>
  <c r="AN21" i="2"/>
  <c r="AE26" i="2"/>
  <c r="AL21" i="2"/>
  <c r="AD22" i="2"/>
  <c r="AP26" i="2"/>
  <c r="Z20" i="2"/>
  <c r="AL24" i="2"/>
  <c r="Q29" i="2"/>
  <c r="AM20" i="2"/>
  <c r="R25" i="2"/>
  <c r="AD29" i="2"/>
  <c r="AT22" i="2"/>
  <c r="AK27" i="2"/>
  <c r="AU24" i="2"/>
  <c r="AU22" i="2"/>
  <c r="Z27" i="2"/>
  <c r="AD20" i="2"/>
  <c r="AP24" i="2"/>
  <c r="U29" i="2"/>
  <c r="AT21" i="2"/>
  <c r="AK26" i="2"/>
  <c r="AC22" i="2"/>
  <c r="Z22" i="2"/>
  <c r="AL26" i="2"/>
  <c r="U20" i="2"/>
  <c r="AG24" i="2"/>
  <c r="AS28" i="2"/>
  <c r="AN22" i="2"/>
  <c r="AE27" i="2"/>
  <c r="S22" i="2"/>
  <c r="AQ26" i="2"/>
  <c r="AO22" i="2"/>
  <c r="AP22" i="2"/>
  <c r="U27" i="2"/>
  <c r="AL20" i="2"/>
  <c r="Q25" i="2"/>
  <c r="AC29" i="2"/>
  <c r="R21" i="2"/>
  <c r="AD25" i="2"/>
  <c r="AP29" i="2"/>
  <c r="Y23" i="2"/>
  <c r="AB28" i="2"/>
  <c r="AC26" i="2"/>
  <c r="Z23" i="2"/>
  <c r="AL27" i="2"/>
  <c r="AP20" i="2"/>
  <c r="U25" i="2"/>
  <c r="AG29" i="2"/>
  <c r="Y22" i="2"/>
  <c r="AB27" i="2"/>
  <c r="W24" i="2"/>
  <c r="AL22" i="2"/>
  <c r="Q27" i="2"/>
  <c r="AG20" i="2"/>
  <c r="AS24" i="2"/>
  <c r="X29" i="2"/>
  <c r="S23" i="2"/>
  <c r="AQ27" i="2"/>
  <c r="AB21" i="2"/>
  <c r="AM24" i="2"/>
  <c r="AP28" i="2"/>
  <c r="AG28" i="2"/>
  <c r="AE22" i="2"/>
  <c r="V27" i="2"/>
  <c r="AI24" i="2"/>
  <c r="U23" i="2"/>
  <c r="AG27" i="2"/>
  <c r="Q21" i="2"/>
  <c r="AC25" i="2"/>
  <c r="AO29" i="2"/>
  <c r="AD21" i="2"/>
  <c r="AP25" i="2"/>
  <c r="U30" i="2"/>
  <c r="AK23" i="2"/>
  <c r="AN28" i="2"/>
  <c r="W28" i="2"/>
  <c r="AL23" i="2"/>
  <c r="Q28" i="2"/>
  <c r="U21" i="2"/>
  <c r="AG25" i="2"/>
  <c r="AS29" i="2"/>
  <c r="AK22" i="2"/>
  <c r="AN27" i="2"/>
  <c r="Z25" i="2"/>
  <c r="Q23" i="2"/>
  <c r="AC27" i="2"/>
  <c r="AS20" i="2"/>
  <c r="X25" i="2"/>
  <c r="AJ29" i="2"/>
  <c r="AE23" i="2"/>
  <c r="V28" i="2"/>
  <c r="AP30" i="2"/>
  <c r="R29" i="2"/>
  <c r="AH21" i="2"/>
  <c r="AQ22" i="2"/>
  <c r="AH27" i="2"/>
  <c r="AO26" i="2"/>
  <c r="AG23" i="2"/>
  <c r="AS27" i="2"/>
  <c r="AC21" i="2"/>
  <c r="AO25" i="2"/>
  <c r="T30" i="2"/>
  <c r="AP21" i="2"/>
  <c r="U26" i="2"/>
  <c r="AG30" i="2"/>
  <c r="AB24" i="2"/>
  <c r="S29" i="2"/>
  <c r="AO30" i="2"/>
  <c r="Q24" i="2"/>
  <c r="AC28" i="2"/>
  <c r="AG21" i="2"/>
  <c r="AS25" i="2"/>
  <c r="X30" i="2"/>
  <c r="AB23" i="2"/>
  <c r="S28" i="2"/>
  <c r="T27" i="2"/>
  <c r="AC23" i="2"/>
  <c r="AO27" i="2"/>
  <c r="X21" i="2"/>
  <c r="AJ25" i="2"/>
  <c r="AV29" i="2"/>
  <c r="AQ23" i="2"/>
  <c r="AH28" i="2"/>
  <c r="AU20" i="2"/>
  <c r="V23" i="2"/>
  <c r="AT27" i="2"/>
  <c r="AI28" i="2"/>
  <c r="AS23" i="2"/>
  <c r="X28" i="2"/>
  <c r="AO21" i="2"/>
  <c r="T26" i="2"/>
  <c r="AF30" i="2"/>
  <c r="U22" i="2"/>
  <c r="AG26" i="2"/>
  <c r="AS30" i="2"/>
  <c r="AN24" i="2"/>
  <c r="AE29" i="2"/>
  <c r="Q20" i="2"/>
  <c r="AC24" i="2"/>
  <c r="AO28" i="2"/>
  <c r="AS21" i="2"/>
  <c r="X26" i="2"/>
  <c r="AJ30" i="2"/>
  <c r="AN23" i="2"/>
  <c r="AE28" i="2"/>
  <c r="AU28" i="2"/>
  <c r="AO23" i="2"/>
  <c r="T28" i="2"/>
  <c r="AJ21" i="2"/>
  <c r="AV25" i="2"/>
  <c r="AA30" i="2"/>
  <c r="V24" i="2"/>
  <c r="AT28" i="2"/>
  <c r="AL28" i="2"/>
  <c r="R20" i="2"/>
  <c r="Z26" i="2"/>
  <c r="T23" i="2"/>
  <c r="AH23" i="2"/>
  <c r="Y28" i="2"/>
  <c r="Z29" i="2"/>
  <c r="X24" i="2"/>
  <c r="AJ28" i="2"/>
  <c r="T22" i="2"/>
  <c r="AF26" i="2"/>
  <c r="AR30" i="2"/>
  <c r="AG22" i="2"/>
  <c r="AS26" i="2"/>
  <c r="AB20" i="2"/>
  <c r="S25" i="2"/>
  <c r="AQ29" i="2"/>
  <c r="AC20" i="2"/>
  <c r="AO24" i="2"/>
  <c r="T29" i="2"/>
  <c r="X22" i="2"/>
  <c r="AJ26" i="2"/>
  <c r="AV30" i="2"/>
  <c r="S24" i="2"/>
  <c r="AQ28" i="2"/>
  <c r="AL29" i="2"/>
  <c r="T24" i="2"/>
  <c r="AF28" i="2"/>
  <c r="AV21" i="2"/>
  <c r="AA26" i="2"/>
  <c r="AM30" i="2"/>
  <c r="AH24" i="2"/>
  <c r="Y29" i="2"/>
  <c r="AD26" i="2"/>
  <c r="AR23" i="2"/>
  <c r="Y26" i="2"/>
  <c r="S27" i="2"/>
  <c r="AL25" i="2"/>
  <c r="AT23" i="2"/>
  <c r="AK28" i="2"/>
  <c r="X20" i="2"/>
  <c r="AJ24" i="2"/>
  <c r="AV28" i="2"/>
  <c r="AF22" i="2"/>
  <c r="AR26" i="2"/>
  <c r="Z21" i="2"/>
  <c r="AS22" i="2"/>
  <c r="X27" i="2"/>
  <c r="AN20" i="2"/>
  <c r="AE25" i="2"/>
  <c r="V30" i="2"/>
  <c r="AO20" i="2"/>
  <c r="T25" i="2"/>
  <c r="AF29" i="2"/>
  <c r="AJ22" i="2"/>
  <c r="AV26" i="2"/>
  <c r="AE24" i="2"/>
  <c r="V29" i="2"/>
  <c r="T20" i="2"/>
  <c r="AF24" i="2"/>
  <c r="AR28" i="2"/>
  <c r="AA22" i="2"/>
  <c r="AM26" i="2"/>
  <c r="V20" i="2"/>
  <c r="AT24" i="2"/>
  <c r="AK29" i="2"/>
  <c r="AA20" i="2"/>
  <c r="Y27" i="2"/>
  <c r="AL30" i="2"/>
  <c r="AF27" i="2"/>
  <c r="Y24" i="2"/>
  <c r="AB29" i="2"/>
  <c r="AJ20" i="2"/>
  <c r="AV24" i="2"/>
  <c r="AA29" i="2"/>
  <c r="AR22" i="2"/>
  <c r="W27" i="2"/>
  <c r="AF23" i="2"/>
  <c r="X23" i="2"/>
  <c r="AJ27" i="2"/>
  <c r="S21" i="2"/>
  <c r="AQ25" i="2"/>
  <c r="AH30" i="2"/>
  <c r="T21" i="2"/>
  <c r="AF25" i="2"/>
  <c r="AR29" i="2"/>
  <c r="AV22" i="2"/>
  <c r="AA27" i="2"/>
  <c r="S20" i="2"/>
  <c r="AQ24" i="2"/>
  <c r="AH29" i="2"/>
  <c r="AF20" i="2"/>
  <c r="AR24" i="2"/>
  <c r="W29" i="2"/>
  <c r="AM22" i="2"/>
  <c r="R27" i="2"/>
  <c r="AH20" i="2"/>
  <c r="Y25" i="2"/>
  <c r="AB30" i="2"/>
  <c r="R22" i="2"/>
  <c r="AH22" i="2"/>
  <c r="AD24" i="2"/>
  <c r="AB22" i="2"/>
  <c r="AC30" i="2"/>
  <c r="AK24" i="2"/>
  <c r="AN29" i="2"/>
  <c r="AV20" i="2"/>
  <c r="AA25" i="2"/>
  <c r="AM29" i="2"/>
  <c r="W23" i="2"/>
  <c r="AI27" i="2"/>
  <c r="Q26" i="2"/>
  <c r="AJ23" i="2"/>
  <c r="AV27" i="2"/>
  <c r="AE21" i="2"/>
  <c r="V26" i="2"/>
  <c r="AT30" i="2"/>
  <c r="AF21" i="2"/>
  <c r="AR25" i="2"/>
  <c r="W30" i="2"/>
  <c r="AA23" i="2"/>
  <c r="AM27" i="2"/>
  <c r="AE20" i="2"/>
  <c r="V25" i="2"/>
  <c r="AT29" i="2"/>
  <c r="AR20" i="2"/>
  <c r="W25" i="2"/>
  <c r="AI29" i="2"/>
  <c r="R23" i="2"/>
  <c r="AD27" i="2"/>
  <c r="AT20" i="2"/>
  <c r="AK25" i="2"/>
  <c r="AQ30" i="2"/>
  <c r="AI22" i="2"/>
  <c r="AU21" i="2"/>
  <c r="Y20" i="2"/>
  <c r="AB25" i="2"/>
  <c r="S30" i="2"/>
  <c r="AA21" i="2"/>
  <c r="AM25" i="2"/>
  <c r="R30" i="2"/>
  <c r="AI23" i="2"/>
  <c r="AU27" i="2"/>
  <c r="AR27" i="2"/>
  <c r="AV23" i="2"/>
  <c r="AA28" i="2"/>
  <c r="AQ21" i="2"/>
  <c r="AH26" i="2"/>
  <c r="W20" i="2"/>
  <c r="AR21" i="2"/>
  <c r="W26" i="2"/>
  <c r="AI30" i="2"/>
  <c r="AM23" i="2"/>
  <c r="R28" i="2"/>
  <c r="AQ20" i="2"/>
  <c r="AH25" i="2"/>
  <c r="Y30" i="2"/>
  <c r="W21" i="2"/>
  <c r="AI25" i="2"/>
  <c r="AU29" i="2"/>
  <c r="AD23" i="2"/>
  <c r="AP27" i="2"/>
  <c r="Y21" i="2"/>
  <c r="AB26" i="2"/>
  <c r="S26" i="2"/>
  <c r="AU26" i="2"/>
  <c r="AI20" i="2"/>
  <c r="AK20" i="2"/>
  <c r="AN25" i="2"/>
  <c r="AE30" i="2"/>
  <c r="AM21" i="2"/>
  <c r="R26" i="2"/>
  <c r="AD30" i="2"/>
  <c r="AU23" i="2"/>
  <c r="Z28" i="2"/>
  <c r="Q30" i="2"/>
  <c r="AA24" i="2"/>
  <c r="AM28" i="2"/>
  <c r="V22" i="2"/>
  <c r="AT26" i="2"/>
  <c r="Q22" i="2"/>
  <c r="W22" i="2"/>
  <c r="AI26" i="2"/>
  <c r="AU30" i="2"/>
  <c r="R24" i="2"/>
  <c r="AD28" i="2"/>
  <c r="V21" i="2"/>
  <c r="AT25" i="2"/>
  <c r="AK30" i="2"/>
  <c r="AI21" i="2"/>
  <c r="AU25" i="2"/>
  <c r="Z30" i="2"/>
  <c r="AP23" i="2"/>
  <c r="U28" i="2"/>
  <c r="AK21" i="2"/>
  <c r="AN26" i="2"/>
  <c r="Z24" i="2"/>
  <c r="U24" i="2"/>
  <c r="AP19" i="2"/>
  <c r="T19" i="2"/>
  <c r="U19" i="2"/>
  <c r="AD19" i="2"/>
  <c r="AK19" i="2"/>
  <c r="AR19" i="2"/>
  <c r="R19" i="2"/>
  <c r="Y19" i="2"/>
  <c r="AT19" i="2"/>
  <c r="AO19" i="2"/>
  <c r="AV19" i="2"/>
  <c r="AH19" i="2"/>
  <c r="AC19" i="2"/>
  <c r="AJ19" i="2"/>
  <c r="V19" i="2"/>
  <c r="Q19" i="2"/>
  <c r="X19" i="2"/>
  <c r="AN19" i="2"/>
  <c r="AF19" i="2"/>
  <c r="AB19" i="2"/>
  <c r="AU19" i="2"/>
  <c r="AM19" i="2"/>
  <c r="AI19" i="2"/>
  <c r="AQ19" i="2"/>
  <c r="AA19" i="2"/>
  <c r="W19" i="2"/>
  <c r="AE19" i="2"/>
  <c r="AL19" i="2"/>
  <c r="AS19" i="2"/>
  <c r="S19" i="2"/>
  <c r="Z19" i="2"/>
  <c r="AG19" i="2"/>
  <c r="B69" i="8"/>
  <c r="B68" i="4"/>
  <c r="B67" i="2"/>
  <c r="B70" i="7"/>
  <c r="B70" i="8"/>
  <c r="B68" i="2"/>
  <c r="B69" i="4"/>
  <c r="B65" i="7"/>
  <c r="B71" i="8"/>
  <c r="B69" i="2"/>
  <c r="B66" i="8"/>
  <c r="B70" i="2"/>
  <c r="B65" i="4"/>
  <c r="B66" i="6"/>
  <c r="B67" i="7"/>
  <c r="Q7" i="10"/>
  <c r="B65" i="2"/>
  <c r="B66" i="4"/>
  <c r="Q8" i="10"/>
  <c r="B68" i="8"/>
  <c r="B69" i="9"/>
  <c r="Q9" i="10"/>
  <c r="B66" i="2"/>
  <c r="B67" i="4"/>
  <c r="Q10" i="10"/>
  <c r="Q11" i="10"/>
  <c r="B67" i="9"/>
  <c r="Q6" i="10"/>
  <c r="R6" i="10"/>
  <c r="AS13" i="1"/>
  <c r="AG13" i="1"/>
  <c r="U13" i="1"/>
  <c r="AO12" i="1"/>
  <c r="AC12" i="1"/>
  <c r="AV11" i="1"/>
  <c r="AJ11" i="1"/>
  <c r="X11" i="1"/>
  <c r="AR10" i="1"/>
  <c r="AF10" i="1"/>
  <c r="T10" i="1"/>
  <c r="AN9" i="1"/>
  <c r="AB9" i="1"/>
  <c r="AV8" i="1"/>
  <c r="AJ8" i="1"/>
  <c r="X8" i="1"/>
  <c r="AR7" i="1"/>
  <c r="AF7" i="1"/>
  <c r="T7" i="1"/>
  <c r="AN6" i="1"/>
  <c r="AB6" i="1"/>
  <c r="AR13" i="1"/>
  <c r="AF13" i="1"/>
  <c r="T13" i="1"/>
  <c r="AN12" i="1"/>
  <c r="AB12" i="1"/>
  <c r="AU11" i="1"/>
  <c r="AI11" i="1"/>
  <c r="W11" i="1"/>
  <c r="AQ10" i="1"/>
  <c r="AE10" i="1"/>
  <c r="S10" i="1"/>
  <c r="AM9" i="1"/>
  <c r="AA9" i="1"/>
  <c r="AU8" i="1"/>
  <c r="AI8" i="1"/>
  <c r="W8" i="1"/>
  <c r="AQ7" i="1"/>
  <c r="AE7" i="1"/>
  <c r="S7" i="1"/>
  <c r="AM6" i="1"/>
  <c r="AA6" i="1"/>
  <c r="AQ13" i="1"/>
  <c r="AE13" i="1"/>
  <c r="S13" i="1"/>
  <c r="AM12" i="1"/>
  <c r="AA12" i="1"/>
  <c r="AT11" i="1"/>
  <c r="AH11" i="1"/>
  <c r="V11" i="1"/>
  <c r="AP10" i="1"/>
  <c r="AD10" i="1"/>
  <c r="R10" i="1"/>
  <c r="AL9" i="1"/>
  <c r="Z9" i="1"/>
  <c r="AT8" i="1"/>
  <c r="AH8" i="1"/>
  <c r="V8" i="1"/>
  <c r="AP7" i="1"/>
  <c r="AD7" i="1"/>
  <c r="R7" i="1"/>
  <c r="AL6" i="1"/>
  <c r="Z6" i="1"/>
  <c r="AP13" i="1"/>
  <c r="AD13" i="1"/>
  <c r="R13" i="1"/>
  <c r="AL12" i="1"/>
  <c r="Z12" i="1"/>
  <c r="AS11" i="1"/>
  <c r="AG11" i="1"/>
  <c r="U11" i="1"/>
  <c r="AO10" i="1"/>
  <c r="AC10" i="1"/>
  <c r="Q10" i="1"/>
  <c r="AK9" i="1"/>
  <c r="Y9" i="1"/>
  <c r="AS8" i="1"/>
  <c r="AG8" i="1"/>
  <c r="U8" i="1"/>
  <c r="AO7" i="1"/>
  <c r="AC7" i="1"/>
  <c r="Q7" i="1"/>
  <c r="AK6" i="1"/>
  <c r="Y6" i="1"/>
  <c r="AO13" i="1"/>
  <c r="AC13" i="1"/>
  <c r="AK12" i="1"/>
  <c r="Y12" i="1"/>
  <c r="AR11" i="1"/>
  <c r="AF11" i="1"/>
  <c r="T11" i="1"/>
  <c r="AN10" i="1"/>
  <c r="AB10" i="1"/>
  <c r="AV9" i="1"/>
  <c r="AJ9" i="1"/>
  <c r="X9" i="1"/>
  <c r="AR8" i="1"/>
  <c r="AF8" i="1"/>
  <c r="T8" i="1"/>
  <c r="AN7" i="1"/>
  <c r="AB7" i="1"/>
  <c r="AV6" i="1"/>
  <c r="AJ6" i="1"/>
  <c r="X6" i="1"/>
  <c r="AN13" i="1"/>
  <c r="AB13" i="1"/>
  <c r="AV12" i="1"/>
  <c r="AJ12" i="1"/>
  <c r="X12" i="1"/>
  <c r="AQ11" i="1"/>
  <c r="AE11" i="1"/>
  <c r="S11" i="1"/>
  <c r="AM10" i="1"/>
  <c r="AA10" i="1"/>
  <c r="AU9" i="1"/>
  <c r="AI9" i="1"/>
  <c r="W9" i="1"/>
  <c r="AQ8" i="1"/>
  <c r="AE8" i="1"/>
  <c r="S8" i="1"/>
  <c r="AM7" i="1"/>
  <c r="AA7" i="1"/>
  <c r="AU6" i="1"/>
  <c r="AI6" i="1"/>
  <c r="W6" i="1"/>
  <c r="AM13" i="1"/>
  <c r="AA13" i="1"/>
  <c r="AU12" i="1"/>
  <c r="AI12" i="1"/>
  <c r="W12" i="1"/>
  <c r="AP11" i="1"/>
  <c r="AD11" i="1"/>
  <c r="R11" i="1"/>
  <c r="AL10" i="1"/>
  <c r="Z10" i="1"/>
  <c r="AT9" i="1"/>
  <c r="AH9" i="1"/>
  <c r="V9" i="1"/>
  <c r="AP8" i="1"/>
  <c r="AD8" i="1"/>
  <c r="R8" i="1"/>
  <c r="AL7" i="1"/>
  <c r="Z7" i="1"/>
  <c r="AT6" i="1"/>
  <c r="AH6" i="1"/>
  <c r="V6" i="1"/>
  <c r="AL13" i="1"/>
  <c r="Z13" i="1"/>
  <c r="AT12" i="1"/>
  <c r="AH12" i="1"/>
  <c r="V12" i="1"/>
  <c r="AO11" i="1"/>
  <c r="AC11" i="1"/>
  <c r="Q11" i="1"/>
  <c r="AK10" i="1"/>
  <c r="Y10" i="1"/>
  <c r="AS9" i="1"/>
  <c r="AG9" i="1"/>
  <c r="U9" i="1"/>
  <c r="AO8" i="1"/>
  <c r="AC8" i="1"/>
  <c r="Q8" i="1"/>
  <c r="AK7" i="1"/>
  <c r="Y7" i="1"/>
  <c r="AS6" i="1"/>
  <c r="AG6" i="1"/>
  <c r="U6" i="1"/>
  <c r="AV13" i="1"/>
  <c r="AJ13" i="1"/>
  <c r="X13" i="1"/>
  <c r="AR12" i="1"/>
  <c r="AF12" i="1"/>
  <c r="T12" i="1"/>
  <c r="AM11" i="1"/>
  <c r="AA11" i="1"/>
  <c r="AU10" i="1"/>
  <c r="AI10" i="1"/>
  <c r="W10" i="1"/>
  <c r="AQ9" i="1"/>
  <c r="AE9" i="1"/>
  <c r="S9" i="1"/>
  <c r="AM8" i="1"/>
  <c r="AA8" i="1"/>
  <c r="AI7" i="1"/>
  <c r="W7" i="1"/>
  <c r="AQ6" i="1"/>
  <c r="AE6" i="1"/>
  <c r="S6" i="1"/>
  <c r="AU13" i="1"/>
  <c r="AI13" i="1"/>
  <c r="W13" i="1"/>
  <c r="AQ12" i="1"/>
  <c r="AE12" i="1"/>
  <c r="S12" i="1"/>
  <c r="AL11" i="1"/>
  <c r="Z11" i="1"/>
  <c r="AT10" i="1"/>
  <c r="AH10" i="1"/>
  <c r="V10" i="1"/>
  <c r="AP9" i="1"/>
  <c r="R9" i="1"/>
  <c r="AL8" i="1"/>
  <c r="Z8" i="1"/>
  <c r="AT7" i="1"/>
  <c r="AH7" i="1"/>
  <c r="V7" i="1"/>
  <c r="AP6" i="1"/>
  <c r="AD6" i="1"/>
  <c r="R6" i="1"/>
  <c r="AT13" i="1"/>
  <c r="AH13" i="1"/>
  <c r="V13" i="1"/>
  <c r="AP12" i="1"/>
  <c r="AD12" i="1"/>
  <c r="R12" i="1"/>
  <c r="AK11" i="1"/>
  <c r="Y11" i="1"/>
  <c r="AS10" i="1"/>
  <c r="AG10" i="1"/>
  <c r="U10" i="1"/>
  <c r="AO9" i="1"/>
  <c r="AC9" i="1"/>
  <c r="Q9" i="1"/>
  <c r="AK8" i="1"/>
  <c r="Y8" i="1"/>
  <c r="AS7" i="1"/>
  <c r="AG7" i="1"/>
  <c r="U7" i="1"/>
  <c r="AO6" i="1"/>
  <c r="AC6" i="1"/>
  <c r="Q6" i="1"/>
  <c r="AG12" i="1"/>
  <c r="AV7" i="1"/>
  <c r="U12" i="1"/>
  <c r="AJ7" i="1"/>
  <c r="AB11" i="1"/>
  <c r="AR6" i="1"/>
  <c r="AV10" i="1"/>
  <c r="AF6" i="1"/>
  <c r="AJ10" i="1"/>
  <c r="T6" i="1"/>
  <c r="X10" i="1"/>
  <c r="AR9" i="1"/>
  <c r="AK13" i="1"/>
  <c r="T9" i="1"/>
  <c r="Y13" i="1"/>
  <c r="AS12" i="1"/>
  <c r="AN11" i="1"/>
  <c r="AF9" i="1"/>
  <c r="AN8" i="1"/>
  <c r="AB8" i="1"/>
  <c r="X7" i="1"/>
  <c r="AS13" i="2"/>
  <c r="AG13" i="2"/>
  <c r="U13" i="2"/>
  <c r="AO12" i="2"/>
  <c r="AC12" i="2"/>
  <c r="AV11" i="2"/>
  <c r="AJ11" i="2"/>
  <c r="X11" i="2"/>
  <c r="AR10" i="2"/>
  <c r="AF10" i="2"/>
  <c r="T10" i="2"/>
  <c r="AN9" i="2"/>
  <c r="AB9" i="2"/>
  <c r="AV8" i="2"/>
  <c r="AJ8" i="2"/>
  <c r="X8" i="2"/>
  <c r="AR7" i="2"/>
  <c r="AF7" i="2"/>
  <c r="T7" i="2"/>
  <c r="AN6" i="2"/>
  <c r="AB6" i="2"/>
  <c r="AR13" i="2"/>
  <c r="AF13" i="2"/>
  <c r="T13" i="2"/>
  <c r="AN12" i="2"/>
  <c r="AB12" i="2"/>
  <c r="AU11" i="2"/>
  <c r="AI11" i="2"/>
  <c r="W11" i="2"/>
  <c r="AQ10" i="2"/>
  <c r="AE10" i="2"/>
  <c r="S10" i="2"/>
  <c r="AM9" i="2"/>
  <c r="AA9" i="2"/>
  <c r="AU8" i="2"/>
  <c r="AI8" i="2"/>
  <c r="W8" i="2"/>
  <c r="AQ7" i="2"/>
  <c r="AE7" i="2"/>
  <c r="S7" i="2"/>
  <c r="AM6" i="2"/>
  <c r="AA6" i="2"/>
  <c r="AQ13" i="2"/>
  <c r="AE13" i="2"/>
  <c r="S13" i="2"/>
  <c r="AM12" i="2"/>
  <c r="AA12" i="2"/>
  <c r="AT11" i="2"/>
  <c r="AH11" i="2"/>
  <c r="V11" i="2"/>
  <c r="AP10" i="2"/>
  <c r="AD10" i="2"/>
  <c r="R10" i="2"/>
  <c r="AL9" i="2"/>
  <c r="Z9" i="2"/>
  <c r="AT8" i="2"/>
  <c r="AH8" i="2"/>
  <c r="V8" i="2"/>
  <c r="AP7" i="2"/>
  <c r="AD7" i="2"/>
  <c r="R7" i="2"/>
  <c r="AL6" i="2"/>
  <c r="Z6" i="2"/>
  <c r="AP13" i="2"/>
  <c r="AD13" i="2"/>
  <c r="R13" i="2"/>
  <c r="AL12" i="2"/>
  <c r="Z12" i="2"/>
  <c r="AS11" i="2"/>
  <c r="AG11" i="2"/>
  <c r="U11" i="2"/>
  <c r="AO10" i="2"/>
  <c r="AC10" i="2"/>
  <c r="Q10" i="2"/>
  <c r="AK9" i="2"/>
  <c r="Y9" i="2"/>
  <c r="AS8" i="2"/>
  <c r="AG8" i="2"/>
  <c r="U8" i="2"/>
  <c r="AO7" i="2"/>
  <c r="AC7" i="2"/>
  <c r="Q7" i="2"/>
  <c r="AK6" i="2"/>
  <c r="Y6" i="2"/>
  <c r="AO13" i="2"/>
  <c r="AC13" i="2"/>
  <c r="Q13" i="2"/>
  <c r="AK12" i="2"/>
  <c r="Y12" i="2"/>
  <c r="AR11" i="2"/>
  <c r="AF11" i="2"/>
  <c r="T11" i="2"/>
  <c r="AN10" i="2"/>
  <c r="AB10" i="2"/>
  <c r="AV9" i="2"/>
  <c r="AJ9" i="2"/>
  <c r="X9" i="2"/>
  <c r="AR8" i="2"/>
  <c r="AF8" i="2"/>
  <c r="T8" i="2"/>
  <c r="AN7" i="2"/>
  <c r="AB7" i="2"/>
  <c r="AV6" i="2"/>
  <c r="AJ6" i="2"/>
  <c r="X6" i="2"/>
  <c r="AN13" i="2"/>
  <c r="AB13" i="2"/>
  <c r="AV12" i="2"/>
  <c r="AJ12" i="2"/>
  <c r="X12" i="2"/>
  <c r="AQ11" i="2"/>
  <c r="AE11" i="2"/>
  <c r="S11" i="2"/>
  <c r="AM10" i="2"/>
  <c r="AA10" i="2"/>
  <c r="AU9" i="2"/>
  <c r="AI9" i="2"/>
  <c r="W9" i="2"/>
  <c r="AQ8" i="2"/>
  <c r="AE8" i="2"/>
  <c r="S8" i="2"/>
  <c r="AM7" i="2"/>
  <c r="AA7" i="2"/>
  <c r="AU6" i="2"/>
  <c r="AI6" i="2"/>
  <c r="W6" i="2"/>
  <c r="AM13" i="2"/>
  <c r="AA13" i="2"/>
  <c r="AU12" i="2"/>
  <c r="AI12" i="2"/>
  <c r="W12" i="2"/>
  <c r="AP11" i="2"/>
  <c r="AD11" i="2"/>
  <c r="R11" i="2"/>
  <c r="AL10" i="2"/>
  <c r="Z10" i="2"/>
  <c r="AT9" i="2"/>
  <c r="AH9" i="2"/>
  <c r="V9" i="2"/>
  <c r="AP8" i="2"/>
  <c r="AD8" i="2"/>
  <c r="R8" i="2"/>
  <c r="AL7" i="2"/>
  <c r="AL13" i="2"/>
  <c r="Z13" i="2"/>
  <c r="AT12" i="2"/>
  <c r="AH12" i="2"/>
  <c r="V12" i="2"/>
  <c r="AO11" i="2"/>
  <c r="AC11" i="2"/>
  <c r="Q11" i="2"/>
  <c r="AK10" i="2"/>
  <c r="Y10" i="2"/>
  <c r="AS9" i="2"/>
  <c r="AG9" i="2"/>
  <c r="U9" i="2"/>
  <c r="AO8" i="2"/>
  <c r="AC8" i="2"/>
  <c r="Q8" i="2"/>
  <c r="AK7" i="2"/>
  <c r="Y7" i="2"/>
  <c r="AS6" i="2"/>
  <c r="AG6" i="2"/>
  <c r="U6" i="2"/>
  <c r="AV13" i="2"/>
  <c r="AJ13" i="2"/>
  <c r="X13" i="2"/>
  <c r="AR12" i="2"/>
  <c r="AF12" i="2"/>
  <c r="T12" i="2"/>
  <c r="AM11" i="2"/>
  <c r="AA11" i="2"/>
  <c r="AU10" i="2"/>
  <c r="AI10" i="2"/>
  <c r="W10" i="2"/>
  <c r="AQ9" i="2"/>
  <c r="AE9" i="2"/>
  <c r="S9" i="2"/>
  <c r="AM8" i="2"/>
  <c r="AA8" i="2"/>
  <c r="AU7" i="2"/>
  <c r="AU13" i="2"/>
  <c r="AI13" i="2"/>
  <c r="W13" i="2"/>
  <c r="AQ12" i="2"/>
  <c r="AE12" i="2"/>
  <c r="S12" i="2"/>
  <c r="AL11" i="2"/>
  <c r="Z11" i="2"/>
  <c r="AT10" i="2"/>
  <c r="AH10" i="2"/>
  <c r="V10" i="2"/>
  <c r="AP9" i="2"/>
  <c r="AD9" i="2"/>
  <c r="R9" i="2"/>
  <c r="AL8" i="2"/>
  <c r="Z8" i="2"/>
  <c r="AT7" i="2"/>
  <c r="AH7" i="2"/>
  <c r="V7" i="2"/>
  <c r="AT13" i="2"/>
  <c r="AH13" i="2"/>
  <c r="AN11" i="2"/>
  <c r="AF9" i="2"/>
  <c r="AG7" i="2"/>
  <c r="AE6" i="2"/>
  <c r="AK11" i="2"/>
  <c r="AC9" i="2"/>
  <c r="Z7" i="2"/>
  <c r="AD6" i="2"/>
  <c r="AK13" i="2"/>
  <c r="Y11" i="2"/>
  <c r="Q9" i="2"/>
  <c r="W7" i="2"/>
  <c r="V6" i="2"/>
  <c r="Y13" i="2"/>
  <c r="AV10" i="2"/>
  <c r="AN8" i="2"/>
  <c r="U7" i="2"/>
  <c r="T6" i="2"/>
  <c r="V13" i="2"/>
  <c r="AS10" i="2"/>
  <c r="AK8" i="2"/>
  <c r="AT6" i="2"/>
  <c r="S6" i="2"/>
  <c r="AS12" i="2"/>
  <c r="AJ10" i="2"/>
  <c r="AB8" i="2"/>
  <c r="AR6" i="2"/>
  <c r="R6" i="2"/>
  <c r="AP12" i="2"/>
  <c r="AG10" i="2"/>
  <c r="Y8" i="2"/>
  <c r="AQ6" i="2"/>
  <c r="Q6" i="2"/>
  <c r="AD12" i="2"/>
  <c r="U10" i="2"/>
  <c r="AS7" i="2"/>
  <c r="AV7" i="2"/>
  <c r="AJ7" i="2"/>
  <c r="AI7" i="2"/>
  <c r="AG12" i="2"/>
  <c r="AP6" i="2"/>
  <c r="U12" i="2"/>
  <c r="AO6" i="2"/>
  <c r="R12" i="2"/>
  <c r="AH6" i="2"/>
  <c r="AB11" i="2"/>
  <c r="AF6" i="2"/>
  <c r="X10" i="2"/>
  <c r="AC6" i="2"/>
  <c r="AR9" i="2"/>
  <c r="AO9" i="2"/>
  <c r="T9" i="2"/>
  <c r="X7" i="2"/>
  <c r="B68" i="3"/>
  <c r="AS13" i="3"/>
  <c r="AR13" i="3"/>
  <c r="AP13" i="3"/>
  <c r="AO13" i="3"/>
  <c r="AL13" i="3"/>
  <c r="AJ13" i="3"/>
  <c r="X13" i="3"/>
  <c r="AR12" i="3"/>
  <c r="AF12" i="3"/>
  <c r="T12" i="3"/>
  <c r="AM11" i="3"/>
  <c r="AA11" i="3"/>
  <c r="AU10" i="3"/>
  <c r="AI10" i="3"/>
  <c r="W10" i="3"/>
  <c r="AQ9" i="3"/>
  <c r="AE9" i="3"/>
  <c r="S9" i="3"/>
  <c r="AM8" i="3"/>
  <c r="AA8" i="3"/>
  <c r="AU7" i="3"/>
  <c r="AI7" i="3"/>
  <c r="W7" i="3"/>
  <c r="AQ6" i="3"/>
  <c r="AE6" i="3"/>
  <c r="S6" i="3"/>
  <c r="AI13" i="3"/>
  <c r="W13" i="3"/>
  <c r="AQ12" i="3"/>
  <c r="AE12" i="3"/>
  <c r="S12" i="3"/>
  <c r="AL11" i="3"/>
  <c r="Z11" i="3"/>
  <c r="AT10" i="3"/>
  <c r="AH10" i="3"/>
  <c r="V10" i="3"/>
  <c r="AP9" i="3"/>
  <c r="AD9" i="3"/>
  <c r="R9" i="3"/>
  <c r="AL8" i="3"/>
  <c r="Z8" i="3"/>
  <c r="AT7" i="3"/>
  <c r="AH7" i="3"/>
  <c r="V7" i="3"/>
  <c r="AP6" i="3"/>
  <c r="AD6" i="3"/>
  <c r="R6" i="3"/>
  <c r="AG13" i="3"/>
  <c r="U13" i="3"/>
  <c r="AO12" i="3"/>
  <c r="AC12" i="3"/>
  <c r="AV11" i="3"/>
  <c r="AJ11" i="3"/>
  <c r="X11" i="3"/>
  <c r="AR10" i="3"/>
  <c r="AF10" i="3"/>
  <c r="T10" i="3"/>
  <c r="AN9" i="3"/>
  <c r="AB9" i="3"/>
  <c r="AV8" i="3"/>
  <c r="AJ8" i="3"/>
  <c r="X8" i="3"/>
  <c r="AR7" i="3"/>
  <c r="AF7" i="3"/>
  <c r="T7" i="3"/>
  <c r="AN6" i="3"/>
  <c r="AB6" i="3"/>
  <c r="AV13" i="3"/>
  <c r="AE13" i="3"/>
  <c r="S13" i="3"/>
  <c r="AM12" i="3"/>
  <c r="AA12" i="3"/>
  <c r="AT11" i="3"/>
  <c r="AH11" i="3"/>
  <c r="V11" i="3"/>
  <c r="AP10" i="3"/>
  <c r="AD10" i="3"/>
  <c r="R10" i="3"/>
  <c r="AL9" i="3"/>
  <c r="Z9" i="3"/>
  <c r="AT8" i="3"/>
  <c r="AH8" i="3"/>
  <c r="V8" i="3"/>
  <c r="AP7" i="3"/>
  <c r="AD7" i="3"/>
  <c r="R7" i="3"/>
  <c r="AL6" i="3"/>
  <c r="Z6" i="3"/>
  <c r="AU13" i="3"/>
  <c r="AD13" i="3"/>
  <c r="R13" i="3"/>
  <c r="AL12" i="3"/>
  <c r="Z12" i="3"/>
  <c r="AS11" i="3"/>
  <c r="AG11" i="3"/>
  <c r="U11" i="3"/>
  <c r="AO10" i="3"/>
  <c r="AC10" i="3"/>
  <c r="Q10" i="3"/>
  <c r="AK9" i="3"/>
  <c r="Y9" i="3"/>
  <c r="AS8" i="3"/>
  <c r="AG8" i="3"/>
  <c r="U8" i="3"/>
  <c r="AO7" i="3"/>
  <c r="AC7" i="3"/>
  <c r="Q7" i="3"/>
  <c r="AK6" i="3"/>
  <c r="Y6" i="3"/>
  <c r="AT13" i="3"/>
  <c r="AC13" i="3"/>
  <c r="Q13" i="3"/>
  <c r="AK12" i="3"/>
  <c r="Y12" i="3"/>
  <c r="AR11" i="3"/>
  <c r="AF11" i="3"/>
  <c r="T11" i="3"/>
  <c r="AN10" i="3"/>
  <c r="AB10" i="3"/>
  <c r="AV9" i="3"/>
  <c r="AJ9" i="3"/>
  <c r="X9" i="3"/>
  <c r="AR8" i="3"/>
  <c r="AF8" i="3"/>
  <c r="T8" i="3"/>
  <c r="AN7" i="3"/>
  <c r="AB7" i="3"/>
  <c r="AV6" i="3"/>
  <c r="AJ6" i="3"/>
  <c r="X6" i="3"/>
  <c r="AB13" i="3"/>
  <c r="AJ12" i="3"/>
  <c r="AQ11" i="3"/>
  <c r="S11" i="3"/>
  <c r="AA10" i="3"/>
  <c r="AI9" i="3"/>
  <c r="AQ8" i="3"/>
  <c r="S8" i="3"/>
  <c r="AA7" i="3"/>
  <c r="AI6" i="3"/>
  <c r="AA13" i="3"/>
  <c r="AI12" i="3"/>
  <c r="AP11" i="3"/>
  <c r="R11" i="3"/>
  <c r="Z10" i="3"/>
  <c r="AH9" i="3"/>
  <c r="AP8" i="3"/>
  <c r="R8" i="3"/>
  <c r="Z7" i="3"/>
  <c r="AH6" i="3"/>
  <c r="Z13" i="3"/>
  <c r="AH12" i="3"/>
  <c r="AO11" i="3"/>
  <c r="Q11" i="3"/>
  <c r="Y10" i="3"/>
  <c r="AG9" i="3"/>
  <c r="AO8" i="3"/>
  <c r="Q8" i="3"/>
  <c r="Y7" i="3"/>
  <c r="AG6" i="3"/>
  <c r="V13" i="3"/>
  <c r="AD12" i="3"/>
  <c r="AK11" i="3"/>
  <c r="AS10" i="3"/>
  <c r="U10" i="3"/>
  <c r="AC9" i="3"/>
  <c r="AK8" i="3"/>
  <c r="AS7" i="3"/>
  <c r="U7" i="3"/>
  <c r="AC6" i="3"/>
  <c r="T13" i="3"/>
  <c r="AB12" i="3"/>
  <c r="AI11" i="3"/>
  <c r="AQ10" i="3"/>
  <c r="S10" i="3"/>
  <c r="AA9" i="3"/>
  <c r="AI8" i="3"/>
  <c r="AQ7" i="3"/>
  <c r="S7" i="3"/>
  <c r="AA6" i="3"/>
  <c r="AQ13" i="3"/>
  <c r="AV12" i="3"/>
  <c r="X12" i="3"/>
  <c r="AE11" i="3"/>
  <c r="AM10" i="3"/>
  <c r="AU9" i="3"/>
  <c r="W9" i="3"/>
  <c r="AE8" i="3"/>
  <c r="AM7" i="3"/>
  <c r="AU6" i="3"/>
  <c r="W6" i="3"/>
  <c r="AN13" i="3"/>
  <c r="AU12" i="3"/>
  <c r="W12" i="3"/>
  <c r="AD11" i="3"/>
  <c r="AL10" i="3"/>
  <c r="AT9" i="3"/>
  <c r="V9" i="3"/>
  <c r="AD8" i="3"/>
  <c r="AL7" i="3"/>
  <c r="AT6" i="3"/>
  <c r="V6" i="3"/>
  <c r="AM13" i="3"/>
  <c r="AT12" i="3"/>
  <c r="V12" i="3"/>
  <c r="AC11" i="3"/>
  <c r="AK10" i="3"/>
  <c r="AS9" i="3"/>
  <c r="U9" i="3"/>
  <c r="AC8" i="3"/>
  <c r="AK7" i="3"/>
  <c r="AS6" i="3"/>
  <c r="U6" i="3"/>
  <c r="AK13" i="3"/>
  <c r="AS12" i="3"/>
  <c r="U12" i="3"/>
  <c r="AB11" i="3"/>
  <c r="AJ10" i="3"/>
  <c r="AR9" i="3"/>
  <c r="T9" i="3"/>
  <c r="AB8" i="3"/>
  <c r="AJ7" i="3"/>
  <c r="AR6" i="3"/>
  <c r="T6" i="3"/>
  <c r="AH13" i="3"/>
  <c r="AP12" i="3"/>
  <c r="R12" i="3"/>
  <c r="Y11" i="3"/>
  <c r="AG10" i="3"/>
  <c r="AO9" i="3"/>
  <c r="Q9" i="3"/>
  <c r="Y8" i="3"/>
  <c r="AG7" i="3"/>
  <c r="AO6" i="3"/>
  <c r="Q6" i="3"/>
  <c r="AF9" i="3"/>
  <c r="AF13" i="3"/>
  <c r="AU8" i="3"/>
  <c r="Y13" i="3"/>
  <c r="AN8" i="3"/>
  <c r="AG12" i="3"/>
  <c r="AV7" i="3"/>
  <c r="AU11" i="3"/>
  <c r="AE7" i="3"/>
  <c r="AN11" i="3"/>
  <c r="X7" i="3"/>
  <c r="W11" i="3"/>
  <c r="AM6" i="3"/>
  <c r="AV10" i="3"/>
  <c r="AF6" i="3"/>
  <c r="AE10" i="3"/>
  <c r="X10" i="3"/>
  <c r="AM9" i="3"/>
  <c r="AN12" i="3"/>
  <c r="W8" i="3"/>
  <c r="AV13" i="4"/>
  <c r="AJ13" i="4"/>
  <c r="X13" i="4"/>
  <c r="AR12" i="4"/>
  <c r="AF12" i="4"/>
  <c r="T12" i="4"/>
  <c r="AM11" i="4"/>
  <c r="AA11" i="4"/>
  <c r="AU10" i="4"/>
  <c r="AI10" i="4"/>
  <c r="W10" i="4"/>
  <c r="AQ9" i="4"/>
  <c r="AE9" i="4"/>
  <c r="S9" i="4"/>
  <c r="AM8" i="4"/>
  <c r="AA8" i="4"/>
  <c r="AU7" i="4"/>
  <c r="AI7" i="4"/>
  <c r="W7" i="4"/>
  <c r="AQ6" i="4"/>
  <c r="AE6" i="4"/>
  <c r="S6" i="4"/>
  <c r="AU13" i="4"/>
  <c r="AI13" i="4"/>
  <c r="W13" i="4"/>
  <c r="AQ12" i="4"/>
  <c r="AE12" i="4"/>
  <c r="S12" i="4"/>
  <c r="AL11" i="4"/>
  <c r="Z11" i="4"/>
  <c r="AT10" i="4"/>
  <c r="AH10" i="4"/>
  <c r="V10" i="4"/>
  <c r="AP9" i="4"/>
  <c r="AD9" i="4"/>
  <c r="R9" i="4"/>
  <c r="AL8" i="4"/>
  <c r="Z8" i="4"/>
  <c r="AT7" i="4"/>
  <c r="AH7" i="4"/>
  <c r="V7" i="4"/>
  <c r="AP6" i="4"/>
  <c r="AD6" i="4"/>
  <c r="R6" i="4"/>
  <c r="AS13" i="4"/>
  <c r="AG13" i="4"/>
  <c r="U13" i="4"/>
  <c r="AO12" i="4"/>
  <c r="AC12" i="4"/>
  <c r="AV11" i="4"/>
  <c r="AJ11" i="4"/>
  <c r="X11" i="4"/>
  <c r="AR10" i="4"/>
  <c r="AF10" i="4"/>
  <c r="T10" i="4"/>
  <c r="AN9" i="4"/>
  <c r="AB9" i="4"/>
  <c r="AV8" i="4"/>
  <c r="AJ8" i="4"/>
  <c r="X8" i="4"/>
  <c r="AR7" i="4"/>
  <c r="AF7" i="4"/>
  <c r="T7" i="4"/>
  <c r="AN6" i="4"/>
  <c r="AB6" i="4"/>
  <c r="AQ13" i="4"/>
  <c r="AE13" i="4"/>
  <c r="S13" i="4"/>
  <c r="AM12" i="4"/>
  <c r="AA12" i="4"/>
  <c r="AT11" i="4"/>
  <c r="AH11" i="4"/>
  <c r="V11" i="4"/>
  <c r="AP10" i="4"/>
  <c r="AD10" i="4"/>
  <c r="R10" i="4"/>
  <c r="AL9" i="4"/>
  <c r="Z9" i="4"/>
  <c r="AT8" i="4"/>
  <c r="AH8" i="4"/>
  <c r="V8" i="4"/>
  <c r="AP7" i="4"/>
  <c r="AD7" i="4"/>
  <c r="R7" i="4"/>
  <c r="AL6" i="4"/>
  <c r="Z6" i="4"/>
  <c r="AP13" i="4"/>
  <c r="AD13" i="4"/>
  <c r="R13" i="4"/>
  <c r="AL12" i="4"/>
  <c r="Z12" i="4"/>
  <c r="AS11" i="4"/>
  <c r="AG11" i="4"/>
  <c r="U11" i="4"/>
  <c r="AO10" i="4"/>
  <c r="AC10" i="4"/>
  <c r="Q10" i="4"/>
  <c r="AK9" i="4"/>
  <c r="Y9" i="4"/>
  <c r="AO13" i="4"/>
  <c r="AC13" i="4"/>
  <c r="Q13" i="4"/>
  <c r="AK12" i="4"/>
  <c r="Y12" i="4"/>
  <c r="AR11" i="4"/>
  <c r="AF11" i="4"/>
  <c r="T11" i="4"/>
  <c r="AN10" i="4"/>
  <c r="AB10" i="4"/>
  <c r="AV9" i="4"/>
  <c r="AJ9" i="4"/>
  <c r="X9" i="4"/>
  <c r="AR8" i="4"/>
  <c r="AF8" i="4"/>
  <c r="T8" i="4"/>
  <c r="AN7" i="4"/>
  <c r="AB7" i="4"/>
  <c r="AV6" i="4"/>
  <c r="AJ6" i="4"/>
  <c r="X6" i="4"/>
  <c r="AL13" i="4"/>
  <c r="AT12" i="4"/>
  <c r="V12" i="4"/>
  <c r="AC11" i="4"/>
  <c r="AK10" i="4"/>
  <c r="AS9" i="4"/>
  <c r="U9" i="4"/>
  <c r="AE8" i="4"/>
  <c r="AQ7" i="4"/>
  <c r="X7" i="4"/>
  <c r="AH6" i="4"/>
  <c r="AK13" i="4"/>
  <c r="AS12" i="4"/>
  <c r="U12" i="4"/>
  <c r="AB11" i="4"/>
  <c r="AJ10" i="4"/>
  <c r="AR9" i="4"/>
  <c r="T9" i="4"/>
  <c r="AD8" i="4"/>
  <c r="AO7" i="4"/>
  <c r="U7" i="4"/>
  <c r="AG6" i="4"/>
  <c r="AH13" i="4"/>
  <c r="AP12" i="4"/>
  <c r="R12" i="4"/>
  <c r="Y11" i="4"/>
  <c r="AG10" i="4"/>
  <c r="AO9" i="4"/>
  <c r="Q9" i="4"/>
  <c r="AC8" i="4"/>
  <c r="AM7" i="4"/>
  <c r="S7" i="4"/>
  <c r="AF6" i="4"/>
  <c r="AB13" i="4"/>
  <c r="AJ12" i="4"/>
  <c r="AQ11" i="4"/>
  <c r="S11" i="4"/>
  <c r="AA10" i="4"/>
  <c r="AI9" i="4"/>
  <c r="AS8" i="4"/>
  <c r="Y8" i="4"/>
  <c r="AK7" i="4"/>
  <c r="AU6" i="4"/>
  <c r="AA6" i="4"/>
  <c r="AA13" i="4"/>
  <c r="AI12" i="4"/>
  <c r="AP11" i="4"/>
  <c r="R11" i="4"/>
  <c r="Z10" i="4"/>
  <c r="AH9" i="4"/>
  <c r="AQ8" i="4"/>
  <c r="W8" i="4"/>
  <c r="AJ7" i="4"/>
  <c r="AT6" i="4"/>
  <c r="Y6" i="4"/>
  <c r="Z13" i="4"/>
  <c r="AH12" i="4"/>
  <c r="AO11" i="4"/>
  <c r="Y10" i="4"/>
  <c r="AG9" i="4"/>
  <c r="AP8" i="4"/>
  <c r="U8" i="4"/>
  <c r="AG7" i="4"/>
  <c r="AS6" i="4"/>
  <c r="W6" i="4"/>
  <c r="AT13" i="4"/>
  <c r="V13" i="4"/>
  <c r="AD12" i="4"/>
  <c r="AK11" i="4"/>
  <c r="AS10" i="4"/>
  <c r="U10" i="4"/>
  <c r="AC9" i="4"/>
  <c r="AN8" i="4"/>
  <c r="R8" i="4"/>
  <c r="AC7" i="4"/>
  <c r="AO6" i="4"/>
  <c r="U6" i="4"/>
  <c r="AR13" i="4"/>
  <c r="T13" i="4"/>
  <c r="AB12" i="4"/>
  <c r="AI11" i="4"/>
  <c r="AQ10" i="4"/>
  <c r="S10" i="4"/>
  <c r="AA9" i="4"/>
  <c r="AK8" i="4"/>
  <c r="Q8" i="4"/>
  <c r="AA7" i="4"/>
  <c r="AM6" i="4"/>
  <c r="T6" i="4"/>
  <c r="AN13" i="4"/>
  <c r="AV12" i="4"/>
  <c r="X12" i="4"/>
  <c r="AE11" i="4"/>
  <c r="AM10" i="4"/>
  <c r="AU9" i="4"/>
  <c r="W9" i="4"/>
  <c r="AI8" i="4"/>
  <c r="AV7" i="4"/>
  <c r="Z7" i="4"/>
  <c r="AK6" i="4"/>
  <c r="Q6" i="4"/>
  <c r="W12" i="4"/>
  <c r="V9" i="4"/>
  <c r="AI6" i="4"/>
  <c r="AU11" i="4"/>
  <c r="AU8" i="4"/>
  <c r="AC6" i="4"/>
  <c r="AN11" i="4"/>
  <c r="AO8" i="4"/>
  <c r="V6" i="4"/>
  <c r="W11" i="4"/>
  <c r="AB8" i="4"/>
  <c r="AV10" i="4"/>
  <c r="S8" i="4"/>
  <c r="AM13" i="4"/>
  <c r="AL10" i="4"/>
  <c r="AS7" i="4"/>
  <c r="AF13" i="4"/>
  <c r="AE10" i="4"/>
  <c r="AL7" i="4"/>
  <c r="Y13" i="4"/>
  <c r="X10" i="4"/>
  <c r="AE7" i="4"/>
  <c r="AU12" i="4"/>
  <c r="AT9" i="4"/>
  <c r="Y7" i="4"/>
  <c r="AN12" i="4"/>
  <c r="AM9" i="4"/>
  <c r="Q7" i="4"/>
  <c r="AG12" i="4"/>
  <c r="AF9" i="4"/>
  <c r="AR6" i="4"/>
  <c r="AD11" i="4"/>
  <c r="AG8" i="4"/>
  <c r="AV13" i="5"/>
  <c r="AJ13" i="5"/>
  <c r="X13" i="5"/>
  <c r="AR12" i="5"/>
  <c r="AF12" i="5"/>
  <c r="T12" i="5"/>
  <c r="AM11" i="5"/>
  <c r="AA11" i="5"/>
  <c r="AU10" i="5"/>
  <c r="AI10" i="5"/>
  <c r="W10" i="5"/>
  <c r="AQ9" i="5"/>
  <c r="AE9" i="5"/>
  <c r="S9" i="5"/>
  <c r="AM8" i="5"/>
  <c r="AA8" i="5"/>
  <c r="AU7" i="5"/>
  <c r="AU13" i="5"/>
  <c r="AI13" i="5"/>
  <c r="W13" i="5"/>
  <c r="AQ12" i="5"/>
  <c r="AE12" i="5"/>
  <c r="S12" i="5"/>
  <c r="AL11" i="5"/>
  <c r="Z11" i="5"/>
  <c r="AT10" i="5"/>
  <c r="AH10" i="5"/>
  <c r="V10" i="5"/>
  <c r="AP9" i="5"/>
  <c r="AD9" i="5"/>
  <c r="R9" i="5"/>
  <c r="AL8" i="5"/>
  <c r="Z8" i="5"/>
  <c r="AT7" i="5"/>
  <c r="AS13" i="5"/>
  <c r="AG13" i="5"/>
  <c r="U13" i="5"/>
  <c r="AO12" i="5"/>
  <c r="AC12" i="5"/>
  <c r="AV11" i="5"/>
  <c r="AJ11" i="5"/>
  <c r="X11" i="5"/>
  <c r="AR10" i="5"/>
  <c r="AF10" i="5"/>
  <c r="T10" i="5"/>
  <c r="AN9" i="5"/>
  <c r="AB9" i="5"/>
  <c r="AV8" i="5"/>
  <c r="AJ8" i="5"/>
  <c r="AQ13" i="5"/>
  <c r="AE13" i="5"/>
  <c r="S13" i="5"/>
  <c r="AM12" i="5"/>
  <c r="AA12" i="5"/>
  <c r="AT11" i="5"/>
  <c r="AH11" i="5"/>
  <c r="V11" i="5"/>
  <c r="AP10" i="5"/>
  <c r="AD10" i="5"/>
  <c r="R10" i="5"/>
  <c r="AL9" i="5"/>
  <c r="Z9" i="5"/>
  <c r="AT8" i="5"/>
  <c r="AH8" i="5"/>
  <c r="V8" i="5"/>
  <c r="AP7" i="5"/>
  <c r="AD7" i="5"/>
  <c r="R7" i="5"/>
  <c r="AL6" i="5"/>
  <c r="Z6" i="5"/>
  <c r="AO13" i="5"/>
  <c r="AC13" i="5"/>
  <c r="AK12" i="5"/>
  <c r="Y12" i="5"/>
  <c r="AR11" i="5"/>
  <c r="AF11" i="5"/>
  <c r="T11" i="5"/>
  <c r="AN10" i="5"/>
  <c r="AB10" i="5"/>
  <c r="AV9" i="5"/>
  <c r="AJ9" i="5"/>
  <c r="X9" i="5"/>
  <c r="AR8" i="5"/>
  <c r="AF8" i="5"/>
  <c r="T8" i="5"/>
  <c r="AN7" i="5"/>
  <c r="AL13" i="5"/>
  <c r="AV12" i="5"/>
  <c r="AB12" i="5"/>
  <c r="AN11" i="5"/>
  <c r="R11" i="5"/>
  <c r="AC10" i="5"/>
  <c r="AO9" i="5"/>
  <c r="U9" i="5"/>
  <c r="AE8" i="5"/>
  <c r="AS7" i="5"/>
  <c r="AE7" i="5"/>
  <c r="Q7" i="5"/>
  <c r="AJ6" i="5"/>
  <c r="W6" i="5"/>
  <c r="AK13" i="5"/>
  <c r="AU12" i="5"/>
  <c r="Z12" i="5"/>
  <c r="AK11" i="5"/>
  <c r="AA10" i="5"/>
  <c r="AM9" i="5"/>
  <c r="T9" i="5"/>
  <c r="AD8" i="5"/>
  <c r="AR7" i="5"/>
  <c r="AC7" i="5"/>
  <c r="AV6" i="5"/>
  <c r="AI6" i="5"/>
  <c r="V6" i="5"/>
  <c r="AH13" i="5"/>
  <c r="AT12" i="5"/>
  <c r="X12" i="5"/>
  <c r="AI11" i="5"/>
  <c r="AV10" i="5"/>
  <c r="Z10" i="5"/>
  <c r="AK9" i="5"/>
  <c r="AC8" i="5"/>
  <c r="AQ7" i="5"/>
  <c r="AB7" i="5"/>
  <c r="AU6" i="5"/>
  <c r="AH6" i="5"/>
  <c r="U6" i="5"/>
  <c r="AD13" i="5"/>
  <c r="AP12" i="5"/>
  <c r="V12" i="5"/>
  <c r="AE11" i="5"/>
  <c r="AQ10" i="5"/>
  <c r="X10" i="5"/>
  <c r="AH9" i="5"/>
  <c r="AS8" i="5"/>
  <c r="Y8" i="5"/>
  <c r="AM7" i="5"/>
  <c r="Z7" i="5"/>
  <c r="AS6" i="5"/>
  <c r="AF6" i="5"/>
  <c r="S6" i="5"/>
  <c r="AB13" i="5"/>
  <c r="AN12" i="5"/>
  <c r="U12" i="5"/>
  <c r="AD11" i="5"/>
  <c r="AO10" i="5"/>
  <c r="U10" i="5"/>
  <c r="AG9" i="5"/>
  <c r="AQ8" i="5"/>
  <c r="X8" i="5"/>
  <c r="AR13" i="5"/>
  <c r="Y13" i="5"/>
  <c r="AI12" i="5"/>
  <c r="AS11" i="5"/>
  <c r="Y11" i="5"/>
  <c r="AK10" i="5"/>
  <c r="AU9" i="5"/>
  <c r="AA9" i="5"/>
  <c r="AN8" i="5"/>
  <c r="S8" i="5"/>
  <c r="AI7" i="5"/>
  <c r="V7" i="5"/>
  <c r="AO6" i="5"/>
  <c r="AB6" i="5"/>
  <c r="AP13" i="5"/>
  <c r="V13" i="5"/>
  <c r="AH12" i="5"/>
  <c r="AQ11" i="5"/>
  <c r="W11" i="5"/>
  <c r="AJ10" i="5"/>
  <c r="AT9" i="5"/>
  <c r="Y9" i="5"/>
  <c r="AK8" i="5"/>
  <c r="R8" i="5"/>
  <c r="AH7" i="5"/>
  <c r="U7" i="5"/>
  <c r="AN6" i="5"/>
  <c r="AN13" i="5"/>
  <c r="T13" i="5"/>
  <c r="AG12" i="5"/>
  <c r="AP11" i="5"/>
  <c r="U11" i="5"/>
  <c r="AG10" i="5"/>
  <c r="AS9" i="5"/>
  <c r="W9" i="5"/>
  <c r="AI8" i="5"/>
  <c r="Q8" i="5"/>
  <c r="AG7" i="5"/>
  <c r="T7" i="5"/>
  <c r="AM6" i="5"/>
  <c r="Y6" i="5"/>
  <c r="AA13" i="5"/>
  <c r="AC11" i="5"/>
  <c r="AF9" i="5"/>
  <c r="AL7" i="5"/>
  <c r="AP6" i="5"/>
  <c r="Z13" i="5"/>
  <c r="AB11" i="5"/>
  <c r="AC9" i="5"/>
  <c r="AK7" i="5"/>
  <c r="AK6" i="5"/>
  <c r="R13" i="5"/>
  <c r="S11" i="5"/>
  <c r="V9" i="5"/>
  <c r="AJ7" i="5"/>
  <c r="AG6" i="5"/>
  <c r="AL12" i="5"/>
  <c r="AM10" i="5"/>
  <c r="AP8" i="5"/>
  <c r="AA7" i="5"/>
  <c r="AD6" i="5"/>
  <c r="AJ12" i="5"/>
  <c r="AL10" i="5"/>
  <c r="AO8" i="5"/>
  <c r="Y7" i="5"/>
  <c r="AC6" i="5"/>
  <c r="AD12" i="5"/>
  <c r="AE10" i="5"/>
  <c r="AG8" i="5"/>
  <c r="X7" i="5"/>
  <c r="AA6" i="5"/>
  <c r="W12" i="5"/>
  <c r="Y10" i="5"/>
  <c r="AB8" i="5"/>
  <c r="W7" i="5"/>
  <c r="X6" i="5"/>
  <c r="R12" i="5"/>
  <c r="S10" i="5"/>
  <c r="W8" i="5"/>
  <c r="S7" i="5"/>
  <c r="T6" i="5"/>
  <c r="AT13" i="5"/>
  <c r="AU11" i="5"/>
  <c r="Q10" i="5"/>
  <c r="U8" i="5"/>
  <c r="AT6" i="5"/>
  <c r="R6" i="5"/>
  <c r="AM13" i="5"/>
  <c r="AO11" i="5"/>
  <c r="AR9" i="5"/>
  <c r="AV7" i="5"/>
  <c r="AR6" i="5"/>
  <c r="Q6" i="5"/>
  <c r="AF13" i="5"/>
  <c r="AG11" i="5"/>
  <c r="AI9" i="5"/>
  <c r="AO7" i="5"/>
  <c r="AQ6" i="5"/>
  <c r="AS12" i="5"/>
  <c r="AS10" i="5"/>
  <c r="AU8" i="5"/>
  <c r="AF7" i="5"/>
  <c r="AE6" i="5"/>
  <c r="AQ13" i="6"/>
  <c r="AE13" i="6"/>
  <c r="S13" i="6"/>
  <c r="AM12" i="6"/>
  <c r="AA12" i="6"/>
  <c r="AV13" i="6"/>
  <c r="AI13" i="6"/>
  <c r="AU13" i="6"/>
  <c r="AH13" i="6"/>
  <c r="AN13" i="6"/>
  <c r="AA13" i="6"/>
  <c r="AT12" i="6"/>
  <c r="AG12" i="6"/>
  <c r="T12" i="6"/>
  <c r="AM11" i="6"/>
  <c r="AA11" i="6"/>
  <c r="AU10" i="6"/>
  <c r="AI10" i="6"/>
  <c r="W10" i="6"/>
  <c r="AQ9" i="6"/>
  <c r="AE9" i="6"/>
  <c r="S9" i="6"/>
  <c r="AM8" i="6"/>
  <c r="AA8" i="6"/>
  <c r="AU7" i="6"/>
  <c r="AI7" i="6"/>
  <c r="W7" i="6"/>
  <c r="AQ6" i="6"/>
  <c r="AE6" i="6"/>
  <c r="S6" i="6"/>
  <c r="AL13" i="6"/>
  <c r="Y13" i="6"/>
  <c r="AJ13" i="6"/>
  <c r="R13" i="6"/>
  <c r="AJ12" i="6"/>
  <c r="V12" i="6"/>
  <c r="AN11" i="6"/>
  <c r="Z11" i="6"/>
  <c r="AS10" i="6"/>
  <c r="AF10" i="6"/>
  <c r="S10" i="6"/>
  <c r="AL9" i="6"/>
  <c r="Y9" i="6"/>
  <c r="AR8" i="6"/>
  <c r="AE8" i="6"/>
  <c r="R8" i="6"/>
  <c r="AK7" i="6"/>
  <c r="X7" i="6"/>
  <c r="AP6" i="6"/>
  <c r="AC6" i="6"/>
  <c r="AG13" i="6"/>
  <c r="Q13" i="6"/>
  <c r="AI12" i="6"/>
  <c r="U12" i="6"/>
  <c r="AL11" i="6"/>
  <c r="Y11" i="6"/>
  <c r="AR10" i="6"/>
  <c r="AE10" i="6"/>
  <c r="R10" i="6"/>
  <c r="AK9" i="6"/>
  <c r="X9" i="6"/>
  <c r="AQ8" i="6"/>
  <c r="AD8" i="6"/>
  <c r="Q8" i="6"/>
  <c r="AJ7" i="6"/>
  <c r="V7" i="6"/>
  <c r="AO6" i="6"/>
  <c r="AB6" i="6"/>
  <c r="AF13" i="6"/>
  <c r="AV12" i="6"/>
  <c r="AH12" i="6"/>
  <c r="S12" i="6"/>
  <c r="AK11" i="6"/>
  <c r="X11" i="6"/>
  <c r="AQ10" i="6"/>
  <c r="AD10" i="6"/>
  <c r="Q10" i="6"/>
  <c r="AJ9" i="6"/>
  <c r="W9" i="6"/>
  <c r="AP8" i="6"/>
  <c r="AC8" i="6"/>
  <c r="AV7" i="6"/>
  <c r="AH7" i="6"/>
  <c r="U7" i="6"/>
  <c r="AN6" i="6"/>
  <c r="AA6" i="6"/>
  <c r="AC13" i="6"/>
  <c r="AS12" i="6"/>
  <c r="AE12" i="6"/>
  <c r="AV11" i="6"/>
  <c r="AI11" i="6"/>
  <c r="V11" i="6"/>
  <c r="AO10" i="6"/>
  <c r="AB10" i="6"/>
  <c r="AU9" i="6"/>
  <c r="AH9" i="6"/>
  <c r="U9" i="6"/>
  <c r="AN8" i="6"/>
  <c r="Z8" i="6"/>
  <c r="AS7" i="6"/>
  <c r="AF7" i="6"/>
  <c r="S7" i="6"/>
  <c r="AL6" i="6"/>
  <c r="Y6" i="6"/>
  <c r="AT13" i="6"/>
  <c r="AB13" i="6"/>
  <c r="AR12" i="6"/>
  <c r="AD12" i="6"/>
  <c r="AU11" i="6"/>
  <c r="AH11" i="6"/>
  <c r="U11" i="6"/>
  <c r="AN10" i="6"/>
  <c r="AA10" i="6"/>
  <c r="AT9" i="6"/>
  <c r="AG9" i="6"/>
  <c r="T9" i="6"/>
  <c r="AL8" i="6"/>
  <c r="Y8" i="6"/>
  <c r="AR7" i="6"/>
  <c r="AE7" i="6"/>
  <c r="R7" i="6"/>
  <c r="AK6" i="6"/>
  <c r="X6" i="6"/>
  <c r="AS13" i="6"/>
  <c r="Z13" i="6"/>
  <c r="AQ12" i="6"/>
  <c r="AC12" i="6"/>
  <c r="AT11" i="6"/>
  <c r="AG11" i="6"/>
  <c r="T11" i="6"/>
  <c r="AM10" i="6"/>
  <c r="Z10" i="6"/>
  <c r="AS9" i="6"/>
  <c r="AF9" i="6"/>
  <c r="R9" i="6"/>
  <c r="AK8" i="6"/>
  <c r="X8" i="6"/>
  <c r="AQ7" i="6"/>
  <c r="AD7" i="6"/>
  <c r="Q7" i="6"/>
  <c r="AJ6" i="6"/>
  <c r="W6" i="6"/>
  <c r="AR13" i="6"/>
  <c r="X13" i="6"/>
  <c r="AP12" i="6"/>
  <c r="AB12" i="6"/>
  <c r="AS11" i="6"/>
  <c r="AF11" i="6"/>
  <c r="S11" i="6"/>
  <c r="AL10" i="6"/>
  <c r="Y10" i="6"/>
  <c r="AR9" i="6"/>
  <c r="AD9" i="6"/>
  <c r="Q9" i="6"/>
  <c r="AJ8" i="6"/>
  <c r="W8" i="6"/>
  <c r="AP7" i="6"/>
  <c r="AC7" i="6"/>
  <c r="AV6" i="6"/>
  <c r="AI6" i="6"/>
  <c r="V6" i="6"/>
  <c r="AP13" i="6"/>
  <c r="W13" i="6"/>
  <c r="AO12" i="6"/>
  <c r="Z12" i="6"/>
  <c r="AR11" i="6"/>
  <c r="AE11" i="6"/>
  <c r="R11" i="6"/>
  <c r="AK10" i="6"/>
  <c r="X10" i="6"/>
  <c r="AP9" i="6"/>
  <c r="AC9" i="6"/>
  <c r="AV8" i="6"/>
  <c r="AI8" i="6"/>
  <c r="V8" i="6"/>
  <c r="AO7" i="6"/>
  <c r="AB7" i="6"/>
  <c r="AU6" i="6"/>
  <c r="AH6" i="6"/>
  <c r="U6" i="6"/>
  <c r="AO13" i="6"/>
  <c r="V13" i="6"/>
  <c r="AN12" i="6"/>
  <c r="Y12" i="6"/>
  <c r="AQ11" i="6"/>
  <c r="AD11" i="6"/>
  <c r="AJ10" i="6"/>
  <c r="V10" i="6"/>
  <c r="AO9" i="6"/>
  <c r="AB9" i="6"/>
  <c r="AU8" i="6"/>
  <c r="AH8" i="6"/>
  <c r="U8" i="6"/>
  <c r="AN7" i="6"/>
  <c r="AA7" i="6"/>
  <c r="AT6" i="6"/>
  <c r="AG6" i="6"/>
  <c r="T6" i="6"/>
  <c r="AM13" i="6"/>
  <c r="U13" i="6"/>
  <c r="AL12" i="6"/>
  <c r="X12" i="6"/>
  <c r="AP11" i="6"/>
  <c r="AC11" i="6"/>
  <c r="AV10" i="6"/>
  <c r="AH10" i="6"/>
  <c r="U10" i="6"/>
  <c r="AN9" i="6"/>
  <c r="AA9" i="6"/>
  <c r="AT8" i="6"/>
  <c r="AG8" i="6"/>
  <c r="T8" i="6"/>
  <c r="AM7" i="6"/>
  <c r="Z7" i="6"/>
  <c r="AS6" i="6"/>
  <c r="AF6" i="6"/>
  <c r="R6" i="6"/>
  <c r="AK13" i="6"/>
  <c r="T13" i="6"/>
  <c r="AK12" i="6"/>
  <c r="W12" i="6"/>
  <c r="AO11" i="6"/>
  <c r="AB11" i="6"/>
  <c r="AT10" i="6"/>
  <c r="AG10" i="6"/>
  <c r="T10" i="6"/>
  <c r="AM9" i="6"/>
  <c r="Z9" i="6"/>
  <c r="AS8" i="6"/>
  <c r="AF8" i="6"/>
  <c r="S8" i="6"/>
  <c r="AL7" i="6"/>
  <c r="Y7" i="6"/>
  <c r="AR6" i="6"/>
  <c r="AD6" i="6"/>
  <c r="Q6" i="6"/>
  <c r="AI9" i="6"/>
  <c r="V9" i="6"/>
  <c r="AO8" i="6"/>
  <c r="AD13" i="6"/>
  <c r="AB8" i="6"/>
  <c r="AU12" i="6"/>
  <c r="AT7" i="6"/>
  <c r="AF12" i="6"/>
  <c r="AG7" i="6"/>
  <c r="R12" i="6"/>
  <c r="T7" i="6"/>
  <c r="AJ11" i="6"/>
  <c r="AM6" i="6"/>
  <c r="W11" i="6"/>
  <c r="Z6" i="6"/>
  <c r="AP10" i="6"/>
  <c r="AC10" i="6"/>
  <c r="AV9" i="6"/>
  <c r="AV13" i="7"/>
  <c r="AJ13" i="7"/>
  <c r="X13" i="7"/>
  <c r="AR12" i="7"/>
  <c r="AF12" i="7"/>
  <c r="T12" i="7"/>
  <c r="AM11" i="7"/>
  <c r="AA11" i="7"/>
  <c r="AU10" i="7"/>
  <c r="AI10" i="7"/>
  <c r="W10" i="7"/>
  <c r="AQ9" i="7"/>
  <c r="AE9" i="7"/>
  <c r="S9" i="7"/>
  <c r="AM8" i="7"/>
  <c r="AA8" i="7"/>
  <c r="AU7" i="7"/>
  <c r="AI7" i="7"/>
  <c r="W7" i="7"/>
  <c r="AQ6" i="7"/>
  <c r="AE6" i="7"/>
  <c r="AR13" i="7"/>
  <c r="AE13" i="7"/>
  <c r="R13" i="7"/>
  <c r="AK12" i="7"/>
  <c r="X12" i="7"/>
  <c r="AP11" i="7"/>
  <c r="AC11" i="7"/>
  <c r="AV10" i="7"/>
  <c r="AH10" i="7"/>
  <c r="U10" i="7"/>
  <c r="AN9" i="7"/>
  <c r="AA9" i="7"/>
  <c r="AT8" i="7"/>
  <c r="AG8" i="7"/>
  <c r="T8" i="7"/>
  <c r="AM7" i="7"/>
  <c r="Z7" i="7"/>
  <c r="AS6" i="7"/>
  <c r="AF6" i="7"/>
  <c r="S6" i="7"/>
  <c r="AQ13" i="7"/>
  <c r="AD13" i="7"/>
  <c r="AJ12" i="7"/>
  <c r="W12" i="7"/>
  <c r="AO11" i="7"/>
  <c r="AB11" i="7"/>
  <c r="AT10" i="7"/>
  <c r="AG10" i="7"/>
  <c r="T10" i="7"/>
  <c r="AM9" i="7"/>
  <c r="Z9" i="7"/>
  <c r="AS8" i="7"/>
  <c r="AF8" i="7"/>
  <c r="S8" i="7"/>
  <c r="AL7" i="7"/>
  <c r="Y7" i="7"/>
  <c r="AR6" i="7"/>
  <c r="AD6" i="7"/>
  <c r="R6" i="7"/>
  <c r="AP13" i="7"/>
  <c r="AC13" i="7"/>
  <c r="AV12" i="7"/>
  <c r="AI12" i="7"/>
  <c r="V12" i="7"/>
  <c r="AN11" i="7"/>
  <c r="Z11" i="7"/>
  <c r="AS10" i="7"/>
  <c r="AF10" i="7"/>
  <c r="S10" i="7"/>
  <c r="AL9" i="7"/>
  <c r="Y9" i="7"/>
  <c r="AR8" i="7"/>
  <c r="AE8" i="7"/>
  <c r="R8" i="7"/>
  <c r="AK7" i="7"/>
  <c r="X7" i="7"/>
  <c r="AP6" i="7"/>
  <c r="AC6" i="7"/>
  <c r="Q6" i="7"/>
  <c r="AN13" i="7"/>
  <c r="AA13" i="7"/>
  <c r="AT12" i="7"/>
  <c r="AG12" i="7"/>
  <c r="S12" i="7"/>
  <c r="AK11" i="7"/>
  <c r="X11" i="7"/>
  <c r="AQ10" i="7"/>
  <c r="AD10" i="7"/>
  <c r="Q10" i="7"/>
  <c r="AJ9" i="7"/>
  <c r="W9" i="7"/>
  <c r="AP8" i="7"/>
  <c r="AC8" i="7"/>
  <c r="AV7" i="7"/>
  <c r="AH7" i="7"/>
  <c r="U7" i="7"/>
  <c r="AN6" i="7"/>
  <c r="AA6" i="7"/>
  <c r="AM13" i="7"/>
  <c r="Z13" i="7"/>
  <c r="AS12" i="7"/>
  <c r="AE12" i="7"/>
  <c r="R12" i="7"/>
  <c r="AJ11" i="7"/>
  <c r="W11" i="7"/>
  <c r="AP10" i="7"/>
  <c r="AC10" i="7"/>
  <c r="AV9" i="7"/>
  <c r="AI9" i="7"/>
  <c r="V9" i="7"/>
  <c r="AO8" i="7"/>
  <c r="AB8" i="7"/>
  <c r="AT7" i="7"/>
  <c r="AG7" i="7"/>
  <c r="T7" i="7"/>
  <c r="AM6" i="7"/>
  <c r="Z6" i="7"/>
  <c r="AL13" i="7"/>
  <c r="Y13" i="7"/>
  <c r="AQ12" i="7"/>
  <c r="AD12" i="7"/>
  <c r="AV11" i="7"/>
  <c r="AI11" i="7"/>
  <c r="V11" i="7"/>
  <c r="AO10" i="7"/>
  <c r="AB10" i="7"/>
  <c r="AU9" i="7"/>
  <c r="AH9" i="7"/>
  <c r="U9" i="7"/>
  <c r="AN8" i="7"/>
  <c r="Z8" i="7"/>
  <c r="AS7" i="7"/>
  <c r="AF7" i="7"/>
  <c r="S7" i="7"/>
  <c r="AL6" i="7"/>
  <c r="Y6" i="7"/>
  <c r="AK13" i="7"/>
  <c r="W13" i="7"/>
  <c r="AP12" i="7"/>
  <c r="AC12" i="7"/>
  <c r="AU11" i="7"/>
  <c r="AH11" i="7"/>
  <c r="U11" i="7"/>
  <c r="AN10" i="7"/>
  <c r="AA10" i="7"/>
  <c r="AT9" i="7"/>
  <c r="AG9" i="7"/>
  <c r="T9" i="7"/>
  <c r="AL8" i="7"/>
  <c r="Y8" i="7"/>
  <c r="AR7" i="7"/>
  <c r="AE7" i="7"/>
  <c r="R7" i="7"/>
  <c r="AK6" i="7"/>
  <c r="X6" i="7"/>
  <c r="AU13" i="7"/>
  <c r="AH13" i="7"/>
  <c r="U13" i="7"/>
  <c r="AN12" i="7"/>
  <c r="AA12" i="7"/>
  <c r="AS11" i="7"/>
  <c r="AF11" i="7"/>
  <c r="S11" i="7"/>
  <c r="AL10" i="7"/>
  <c r="Y10" i="7"/>
  <c r="AR9" i="7"/>
  <c r="AD9" i="7"/>
  <c r="AJ8" i="7"/>
  <c r="W8" i="7"/>
  <c r="AP7" i="7"/>
  <c r="AC7" i="7"/>
  <c r="AV6" i="7"/>
  <c r="AI6" i="7"/>
  <c r="V6" i="7"/>
  <c r="AT13" i="7"/>
  <c r="AG13" i="7"/>
  <c r="T13" i="7"/>
  <c r="AM12" i="7"/>
  <c r="Z12" i="7"/>
  <c r="AR11" i="7"/>
  <c r="AE11" i="7"/>
  <c r="R11" i="7"/>
  <c r="AK10" i="7"/>
  <c r="X10" i="7"/>
  <c r="AP9" i="7"/>
  <c r="AC9" i="7"/>
  <c r="AV8" i="7"/>
  <c r="AI8" i="7"/>
  <c r="V8" i="7"/>
  <c r="AO7" i="7"/>
  <c r="AB7" i="7"/>
  <c r="AU6" i="7"/>
  <c r="AH6" i="7"/>
  <c r="U6" i="7"/>
  <c r="AS13" i="7"/>
  <c r="AF13" i="7"/>
  <c r="S13" i="7"/>
  <c r="AL12" i="7"/>
  <c r="Y12" i="7"/>
  <c r="AQ11" i="7"/>
  <c r="AD11" i="7"/>
  <c r="Q11" i="7"/>
  <c r="AJ10" i="7"/>
  <c r="V10" i="7"/>
  <c r="AO9" i="7"/>
  <c r="AB9" i="7"/>
  <c r="AU8" i="7"/>
  <c r="AH8" i="7"/>
  <c r="U8" i="7"/>
  <c r="AN7" i="7"/>
  <c r="AA7" i="7"/>
  <c r="AT6" i="7"/>
  <c r="AG6" i="7"/>
  <c r="T6" i="7"/>
  <c r="AH12" i="7"/>
  <c r="R10" i="7"/>
  <c r="AJ7" i="7"/>
  <c r="AB12" i="7"/>
  <c r="AS9" i="7"/>
  <c r="AD7" i="7"/>
  <c r="U12" i="7"/>
  <c r="AK9" i="7"/>
  <c r="V7" i="7"/>
  <c r="AT11" i="7"/>
  <c r="AF9" i="7"/>
  <c r="AL11" i="7"/>
  <c r="X9" i="7"/>
  <c r="AO6" i="7"/>
  <c r="AG11" i="7"/>
  <c r="R9" i="7"/>
  <c r="AJ6" i="7"/>
  <c r="AO13" i="7"/>
  <c r="Y11" i="7"/>
  <c r="AQ8" i="7"/>
  <c r="AB6" i="7"/>
  <c r="AI13" i="7"/>
  <c r="T11" i="7"/>
  <c r="AK8" i="7"/>
  <c r="W6" i="7"/>
  <c r="AB13" i="7"/>
  <c r="AR10" i="7"/>
  <c r="AD8" i="7"/>
  <c r="V13" i="7"/>
  <c r="AM10" i="7"/>
  <c r="X8" i="7"/>
  <c r="AU12" i="7"/>
  <c r="AE10" i="7"/>
  <c r="Q8" i="7"/>
  <c r="AO12" i="7"/>
  <c r="Z10" i="7"/>
  <c r="AQ7" i="7"/>
  <c r="AV13" i="8"/>
  <c r="AJ13" i="8"/>
  <c r="X13" i="8"/>
  <c r="AR12" i="8"/>
  <c r="AF12" i="8"/>
  <c r="T12" i="8"/>
  <c r="AM11" i="8"/>
  <c r="AA11" i="8"/>
  <c r="AU10" i="8"/>
  <c r="AI10" i="8"/>
  <c r="W10" i="8"/>
  <c r="AQ9" i="8"/>
  <c r="AE9" i="8"/>
  <c r="S9" i="8"/>
  <c r="AM8" i="8"/>
  <c r="AA8" i="8"/>
  <c r="AU7" i="8"/>
  <c r="AI7" i="8"/>
  <c r="W7" i="8"/>
  <c r="AQ6" i="8"/>
  <c r="AE6" i="8"/>
  <c r="S6" i="8"/>
  <c r="AU13" i="8"/>
  <c r="AI13" i="8"/>
  <c r="W13" i="8"/>
  <c r="AQ12" i="8"/>
  <c r="AE12" i="8"/>
  <c r="S12" i="8"/>
  <c r="AL11" i="8"/>
  <c r="Z11" i="8"/>
  <c r="AT10" i="8"/>
  <c r="AH10" i="8"/>
  <c r="V10" i="8"/>
  <c r="AP9" i="8"/>
  <c r="AD9" i="8"/>
  <c r="R9" i="8"/>
  <c r="AL8" i="8"/>
  <c r="Z8" i="8"/>
  <c r="AT7" i="8"/>
  <c r="AH7" i="8"/>
  <c r="V7" i="8"/>
  <c r="AP6" i="8"/>
  <c r="AD6" i="8"/>
  <c r="R6" i="8"/>
  <c r="AT13" i="8"/>
  <c r="AH13" i="8"/>
  <c r="V13" i="8"/>
  <c r="AP12" i="8"/>
  <c r="AD12" i="8"/>
  <c r="R12" i="8"/>
  <c r="AK11" i="8"/>
  <c r="Y11" i="8"/>
  <c r="AS10" i="8"/>
  <c r="AG10" i="8"/>
  <c r="U10" i="8"/>
  <c r="AO9" i="8"/>
  <c r="AC9" i="8"/>
  <c r="Q9" i="8"/>
  <c r="AK8" i="8"/>
  <c r="Y8" i="8"/>
  <c r="AS7" i="8"/>
  <c r="AG7" i="8"/>
  <c r="U7" i="8"/>
  <c r="AO6" i="8"/>
  <c r="AC6" i="8"/>
  <c r="Q6" i="8"/>
  <c r="AR13" i="8"/>
  <c r="AF13" i="8"/>
  <c r="T13" i="8"/>
  <c r="AN12" i="8"/>
  <c r="AB12" i="8"/>
  <c r="AU11" i="8"/>
  <c r="AI11" i="8"/>
  <c r="W11" i="8"/>
  <c r="AQ10" i="8"/>
  <c r="AE10" i="8"/>
  <c r="AQ13" i="8"/>
  <c r="AE13" i="8"/>
  <c r="S13" i="8"/>
  <c r="AM12" i="8"/>
  <c r="AA12" i="8"/>
  <c r="AT11" i="8"/>
  <c r="AH11" i="8"/>
  <c r="V11" i="8"/>
  <c r="AP10" i="8"/>
  <c r="AD10" i="8"/>
  <c r="R10" i="8"/>
  <c r="AL9" i="8"/>
  <c r="Z9" i="8"/>
  <c r="AT8" i="8"/>
  <c r="AH8" i="8"/>
  <c r="V8" i="8"/>
  <c r="AP7" i="8"/>
  <c r="AD7" i="8"/>
  <c r="R7" i="8"/>
  <c r="AL6" i="8"/>
  <c r="Z6" i="8"/>
  <c r="AP13" i="8"/>
  <c r="AD13" i="8"/>
  <c r="R13" i="8"/>
  <c r="AL12" i="8"/>
  <c r="Z12" i="8"/>
  <c r="AS11" i="8"/>
  <c r="AG11" i="8"/>
  <c r="U11" i="8"/>
  <c r="AO10" i="8"/>
  <c r="AC10" i="8"/>
  <c r="Q10" i="8"/>
  <c r="AK9" i="8"/>
  <c r="Y9" i="8"/>
  <c r="AS8" i="8"/>
  <c r="AG8" i="8"/>
  <c r="U8" i="8"/>
  <c r="AO7" i="8"/>
  <c r="AC7" i="8"/>
  <c r="AK6" i="8"/>
  <c r="Y6" i="8"/>
  <c r="AO13" i="8"/>
  <c r="AC13" i="8"/>
  <c r="Q13" i="8"/>
  <c r="AK12" i="8"/>
  <c r="Y12" i="8"/>
  <c r="AR11" i="8"/>
  <c r="AF11" i="8"/>
  <c r="T11" i="8"/>
  <c r="AN10" i="8"/>
  <c r="AB10" i="8"/>
  <c r="AV9" i="8"/>
  <c r="AJ9" i="8"/>
  <c r="X9" i="8"/>
  <c r="AR8" i="8"/>
  <c r="AF8" i="8"/>
  <c r="T8" i="8"/>
  <c r="AN7" i="8"/>
  <c r="AB7" i="8"/>
  <c r="AV6" i="8"/>
  <c r="AJ6" i="8"/>
  <c r="X6" i="8"/>
  <c r="AM13" i="8"/>
  <c r="AA13" i="8"/>
  <c r="AU12" i="8"/>
  <c r="AI12" i="8"/>
  <c r="W12" i="8"/>
  <c r="AP11" i="8"/>
  <c r="AD11" i="8"/>
  <c r="R11" i="8"/>
  <c r="AL10" i="8"/>
  <c r="Z10" i="8"/>
  <c r="AT9" i="8"/>
  <c r="AH9" i="8"/>
  <c r="V9" i="8"/>
  <c r="AP8" i="8"/>
  <c r="AD8" i="8"/>
  <c r="R8" i="8"/>
  <c r="AL7" i="8"/>
  <c r="Z7" i="8"/>
  <c r="AT6" i="8"/>
  <c r="AH6" i="8"/>
  <c r="V6" i="8"/>
  <c r="AL13" i="8"/>
  <c r="Z13" i="8"/>
  <c r="AT12" i="8"/>
  <c r="AH12" i="8"/>
  <c r="V12" i="8"/>
  <c r="AO11" i="8"/>
  <c r="AC11" i="8"/>
  <c r="Q11" i="8"/>
  <c r="AK10" i="8"/>
  <c r="Y10" i="8"/>
  <c r="AS9" i="8"/>
  <c r="AG9" i="8"/>
  <c r="U9" i="8"/>
  <c r="AO8" i="8"/>
  <c r="AC8" i="8"/>
  <c r="Q8" i="8"/>
  <c r="AK7" i="8"/>
  <c r="Y7" i="8"/>
  <c r="AS6" i="8"/>
  <c r="AG6" i="8"/>
  <c r="U6" i="8"/>
  <c r="AV12" i="8"/>
  <c r="AE11" i="8"/>
  <c r="S10" i="8"/>
  <c r="AU8" i="8"/>
  <c r="AQ7" i="8"/>
  <c r="AM6" i="8"/>
  <c r="AS12" i="8"/>
  <c r="AB11" i="8"/>
  <c r="AU9" i="8"/>
  <c r="AQ8" i="8"/>
  <c r="AM7" i="8"/>
  <c r="AI6" i="8"/>
  <c r="AO12" i="8"/>
  <c r="X11" i="8"/>
  <c r="AR9" i="8"/>
  <c r="AN8" i="8"/>
  <c r="AJ7" i="8"/>
  <c r="AF6" i="8"/>
  <c r="AJ12" i="8"/>
  <c r="S11" i="8"/>
  <c r="AN9" i="8"/>
  <c r="AJ8" i="8"/>
  <c r="AF7" i="8"/>
  <c r="AB6" i="8"/>
  <c r="AG12" i="8"/>
  <c r="AV10" i="8"/>
  <c r="AM9" i="8"/>
  <c r="AI8" i="8"/>
  <c r="AE7" i="8"/>
  <c r="AA6" i="8"/>
  <c r="AS13" i="8"/>
  <c r="AC12" i="8"/>
  <c r="AR10" i="8"/>
  <c r="AI9" i="8"/>
  <c r="AE8" i="8"/>
  <c r="AA7" i="8"/>
  <c r="W6" i="8"/>
  <c r="AN13" i="8"/>
  <c r="X12" i="8"/>
  <c r="AM10" i="8"/>
  <c r="AF9" i="8"/>
  <c r="AB8" i="8"/>
  <c r="X7" i="8"/>
  <c r="T6" i="8"/>
  <c r="AK13" i="8"/>
  <c r="U12" i="8"/>
  <c r="AJ10" i="8"/>
  <c r="AB9" i="8"/>
  <c r="X8" i="8"/>
  <c r="T7" i="8"/>
  <c r="AG13" i="8"/>
  <c r="AV11" i="8"/>
  <c r="AF10" i="8"/>
  <c r="AA9" i="8"/>
  <c r="W8" i="8"/>
  <c r="S7" i="8"/>
  <c r="AB13" i="8"/>
  <c r="AQ11" i="8"/>
  <c r="AA10" i="8"/>
  <c r="W9" i="8"/>
  <c r="S8" i="8"/>
  <c r="AU6" i="8"/>
  <c r="Y13" i="8"/>
  <c r="AN11" i="8"/>
  <c r="X10" i="8"/>
  <c r="T9" i="8"/>
  <c r="AV7" i="8"/>
  <c r="AR6" i="8"/>
  <c r="U13" i="8"/>
  <c r="AJ11" i="8"/>
  <c r="T10" i="8"/>
  <c r="AV8" i="8"/>
  <c r="AR7" i="8"/>
  <c r="AN6" i="8"/>
  <c r="AV13" i="9"/>
  <c r="AJ13" i="9"/>
  <c r="X13" i="9"/>
  <c r="AR12" i="9"/>
  <c r="AF12" i="9"/>
  <c r="T12" i="9"/>
  <c r="AM11" i="9"/>
  <c r="AA11" i="9"/>
  <c r="AU10" i="9"/>
  <c r="AI10" i="9"/>
  <c r="W10" i="9"/>
  <c r="AQ9" i="9"/>
  <c r="AE9" i="9"/>
  <c r="S9" i="9"/>
  <c r="AM8" i="9"/>
  <c r="AA8" i="9"/>
  <c r="AU13" i="9"/>
  <c r="AI13" i="9"/>
  <c r="W13" i="9"/>
  <c r="AT13" i="9"/>
  <c r="AH13" i="9"/>
  <c r="V13" i="9"/>
  <c r="AP13" i="9"/>
  <c r="AD13" i="9"/>
  <c r="AO13" i="9"/>
  <c r="AC13" i="9"/>
  <c r="AK12" i="9"/>
  <c r="Y12" i="9"/>
  <c r="AR11" i="9"/>
  <c r="AF11" i="9"/>
  <c r="T11" i="9"/>
  <c r="AN10" i="9"/>
  <c r="AB10" i="9"/>
  <c r="AV9" i="9"/>
  <c r="AJ9" i="9"/>
  <c r="X9" i="9"/>
  <c r="AR8" i="9"/>
  <c r="AF8" i="9"/>
  <c r="T8" i="9"/>
  <c r="AN7" i="9"/>
  <c r="AB7" i="9"/>
  <c r="AV6" i="9"/>
  <c r="AJ6" i="9"/>
  <c r="X6" i="9"/>
  <c r="AM13" i="9"/>
  <c r="AA13" i="9"/>
  <c r="AU12" i="9"/>
  <c r="AI12" i="9"/>
  <c r="W12" i="9"/>
  <c r="AP11" i="9"/>
  <c r="AD11" i="9"/>
  <c r="R11" i="9"/>
  <c r="AL10" i="9"/>
  <c r="Z10" i="9"/>
  <c r="AL13" i="9"/>
  <c r="Z13" i="9"/>
  <c r="AT12" i="9"/>
  <c r="AH12" i="9"/>
  <c r="V12" i="9"/>
  <c r="AO11" i="9"/>
  <c r="AC11" i="9"/>
  <c r="Q11" i="9"/>
  <c r="AK10" i="9"/>
  <c r="Y10" i="9"/>
  <c r="AS9" i="9"/>
  <c r="AG9" i="9"/>
  <c r="U9" i="9"/>
  <c r="AO8" i="9"/>
  <c r="AC8" i="9"/>
  <c r="Q8" i="9"/>
  <c r="AK7" i="9"/>
  <c r="Y7" i="9"/>
  <c r="AS6" i="9"/>
  <c r="AB13" i="9"/>
  <c r="AM12" i="9"/>
  <c r="S12" i="9"/>
  <c r="AH11" i="9"/>
  <c r="AT10" i="9"/>
  <c r="AD10" i="9"/>
  <c r="AR9" i="9"/>
  <c r="AB9" i="9"/>
  <c r="AS8" i="9"/>
  <c r="AB8" i="9"/>
  <c r="AS7" i="9"/>
  <c r="AE7" i="9"/>
  <c r="AH6" i="9"/>
  <c r="U6" i="9"/>
  <c r="AU11" i="9"/>
  <c r="AN8" i="9"/>
  <c r="Y13" i="9"/>
  <c r="AL12" i="9"/>
  <c r="R12" i="9"/>
  <c r="AG11" i="9"/>
  <c r="AS10" i="9"/>
  <c r="AC10" i="9"/>
  <c r="AP9" i="9"/>
  <c r="AA9" i="9"/>
  <c r="AQ8" i="9"/>
  <c r="Z8" i="9"/>
  <c r="AR7" i="9"/>
  <c r="AD7" i="9"/>
  <c r="AU6" i="9"/>
  <c r="AG6" i="9"/>
  <c r="T6" i="9"/>
  <c r="X10" i="9"/>
  <c r="AA7" i="9"/>
  <c r="U13" i="9"/>
  <c r="AJ12" i="9"/>
  <c r="AV11" i="9"/>
  <c r="AE11" i="9"/>
  <c r="AR10" i="9"/>
  <c r="AA10" i="9"/>
  <c r="AO9" i="9"/>
  <c r="Z9" i="9"/>
  <c r="AP8" i="9"/>
  <c r="Y8" i="9"/>
  <c r="AQ7" i="9"/>
  <c r="AC7" i="9"/>
  <c r="AT6" i="9"/>
  <c r="AF6" i="9"/>
  <c r="S6" i="9"/>
  <c r="T13" i="9"/>
  <c r="X8" i="9"/>
  <c r="R6" i="9"/>
  <c r="AS13" i="9"/>
  <c r="S13" i="9"/>
  <c r="AE12" i="9"/>
  <c r="AT11" i="9"/>
  <c r="Z11" i="9"/>
  <c r="AP10" i="9"/>
  <c r="V10" i="9"/>
  <c r="AM9" i="9"/>
  <c r="W9" i="9"/>
  <c r="AL8" i="9"/>
  <c r="W8" i="9"/>
  <c r="AO7" i="9"/>
  <c r="Z7" i="9"/>
  <c r="AQ6" i="9"/>
  <c r="AD6" i="9"/>
  <c r="Q6" i="9"/>
  <c r="AR13" i="9"/>
  <c r="R13" i="9"/>
  <c r="AD12" i="9"/>
  <c r="AS11" i="9"/>
  <c r="Y11" i="9"/>
  <c r="AO10" i="9"/>
  <c r="U10" i="9"/>
  <c r="AL9" i="9"/>
  <c r="V9" i="9"/>
  <c r="AK8" i="9"/>
  <c r="V8" i="9"/>
  <c r="AM7" i="9"/>
  <c r="X7" i="9"/>
  <c r="AP6" i="9"/>
  <c r="AC6" i="9"/>
  <c r="AQ13" i="9"/>
  <c r="AV12" i="9"/>
  <c r="AC12" i="9"/>
  <c r="AQ11" i="9"/>
  <c r="X11" i="9"/>
  <c r="AM10" i="9"/>
  <c r="T10" i="9"/>
  <c r="AK9" i="9"/>
  <c r="T9" i="9"/>
  <c r="AJ8" i="9"/>
  <c r="U8" i="9"/>
  <c r="AL7" i="9"/>
  <c r="W7" i="9"/>
  <c r="AO6" i="9"/>
  <c r="AB6" i="9"/>
  <c r="AN13" i="9"/>
  <c r="AS12" i="9"/>
  <c r="AB12" i="9"/>
  <c r="AN11" i="9"/>
  <c r="W11" i="9"/>
  <c r="AJ10" i="9"/>
  <c r="S10" i="9"/>
  <c r="AI9" i="9"/>
  <c r="R9" i="9"/>
  <c r="AI8" i="9"/>
  <c r="S8" i="9"/>
  <c r="AJ7" i="9"/>
  <c r="V7" i="9"/>
  <c r="AN6" i="9"/>
  <c r="AA6" i="9"/>
  <c r="AK13" i="9"/>
  <c r="AQ12" i="9"/>
  <c r="AA12" i="9"/>
  <c r="AL11" i="9"/>
  <c r="V11" i="9"/>
  <c r="AH10" i="9"/>
  <c r="R10" i="9"/>
  <c r="AH9" i="9"/>
  <c r="Q9" i="9"/>
  <c r="AH8" i="9"/>
  <c r="R8" i="9"/>
  <c r="AI7" i="9"/>
  <c r="U7" i="9"/>
  <c r="AM6" i="9"/>
  <c r="Z6" i="9"/>
  <c r="AG13" i="9"/>
  <c r="AP12" i="9"/>
  <c r="Z12" i="9"/>
  <c r="AK11" i="9"/>
  <c r="U11" i="9"/>
  <c r="AG10" i="9"/>
  <c r="Q10" i="9"/>
  <c r="AF9" i="9"/>
  <c r="AV8" i="9"/>
  <c r="AG8" i="9"/>
  <c r="AV7" i="9"/>
  <c r="AH7" i="9"/>
  <c r="T7" i="9"/>
  <c r="AL6" i="9"/>
  <c r="Y6" i="9"/>
  <c r="AQ10" i="9"/>
  <c r="AP7" i="9"/>
  <c r="AF13" i="9"/>
  <c r="AO12" i="9"/>
  <c r="X12" i="9"/>
  <c r="AJ11" i="9"/>
  <c r="S11" i="9"/>
  <c r="AF10" i="9"/>
  <c r="AU9" i="9"/>
  <c r="AD9" i="9"/>
  <c r="AU8" i="9"/>
  <c r="AE8" i="9"/>
  <c r="AU7" i="9"/>
  <c r="AG7" i="9"/>
  <c r="S7" i="9"/>
  <c r="AK6" i="9"/>
  <c r="W6" i="9"/>
  <c r="AB11" i="9"/>
  <c r="Y9" i="9"/>
  <c r="AE6" i="9"/>
  <c r="AE13" i="9"/>
  <c r="AN12" i="9"/>
  <c r="U12" i="9"/>
  <c r="AI11" i="9"/>
  <c r="AV10" i="9"/>
  <c r="AE10" i="9"/>
  <c r="AT9" i="9"/>
  <c r="AC9" i="9"/>
  <c r="AT8" i="9"/>
  <c r="AD8" i="9"/>
  <c r="AT7" i="9"/>
  <c r="AF7" i="9"/>
  <c r="R7" i="9"/>
  <c r="AI6" i="9"/>
  <c r="V6" i="9"/>
  <c r="AG12" i="9"/>
  <c r="AN9" i="9"/>
  <c r="AR6" i="9"/>
  <c r="AS13" i="11"/>
  <c r="AG13" i="11"/>
  <c r="U13" i="11"/>
  <c r="AO12" i="11"/>
  <c r="AC12" i="11"/>
  <c r="AV11" i="11"/>
  <c r="AJ11" i="11"/>
  <c r="X11" i="11"/>
  <c r="AR10" i="11"/>
  <c r="AF10" i="11"/>
  <c r="T10" i="11"/>
  <c r="AN9" i="11"/>
  <c r="AB9" i="11"/>
  <c r="AV8" i="11"/>
  <c r="AJ8" i="11"/>
  <c r="X8" i="11"/>
  <c r="AR7" i="11"/>
  <c r="AF7" i="11"/>
  <c r="T7" i="11"/>
  <c r="AN6" i="11"/>
  <c r="AB6" i="11"/>
  <c r="AR13" i="11"/>
  <c r="AF13" i="11"/>
  <c r="T13" i="11"/>
  <c r="AN12" i="11"/>
  <c r="AB12" i="11"/>
  <c r="AU11" i="11"/>
  <c r="AI11" i="11"/>
  <c r="W11" i="11"/>
  <c r="AQ10" i="11"/>
  <c r="AE10" i="11"/>
  <c r="S10" i="11"/>
  <c r="AM9" i="11"/>
  <c r="AA9" i="11"/>
  <c r="AU8" i="11"/>
  <c r="AI8" i="11"/>
  <c r="W8" i="11"/>
  <c r="AQ7" i="11"/>
  <c r="AE7" i="11"/>
  <c r="S7" i="11"/>
  <c r="AM6" i="11"/>
  <c r="AA6" i="11"/>
  <c r="AQ13" i="11"/>
  <c r="AE13" i="11"/>
  <c r="S13" i="11"/>
  <c r="AM12" i="11"/>
  <c r="AA12" i="11"/>
  <c r="AT11" i="11"/>
  <c r="AH11" i="11"/>
  <c r="V11" i="11"/>
  <c r="AP10" i="11"/>
  <c r="AD10" i="11"/>
  <c r="R10" i="11"/>
  <c r="AL9" i="11"/>
  <c r="Z9" i="11"/>
  <c r="AT8" i="11"/>
  <c r="AH8" i="11"/>
  <c r="V8" i="11"/>
  <c r="AP7" i="11"/>
  <c r="AD7" i="11"/>
  <c r="R7" i="11"/>
  <c r="AL6" i="11"/>
  <c r="Z6" i="11"/>
  <c r="AP13" i="11"/>
  <c r="AD13" i="11"/>
  <c r="R13" i="11"/>
  <c r="AL12" i="11"/>
  <c r="Z12" i="11"/>
  <c r="AS11" i="11"/>
  <c r="AG11" i="11"/>
  <c r="U11" i="11"/>
  <c r="AO10" i="11"/>
  <c r="AC10" i="11"/>
  <c r="Q10" i="11"/>
  <c r="AK9" i="11"/>
  <c r="Y9" i="11"/>
  <c r="AS8" i="11"/>
  <c r="AG8" i="11"/>
  <c r="U8" i="11"/>
  <c r="AO7" i="11"/>
  <c r="AC7" i="11"/>
  <c r="Q7" i="11"/>
  <c r="AK6" i="11"/>
  <c r="Y6" i="11"/>
  <c r="AO13" i="11"/>
  <c r="AC13" i="11"/>
  <c r="Q13" i="11"/>
  <c r="AK12" i="11"/>
  <c r="Y12" i="11"/>
  <c r="AR11" i="11"/>
  <c r="AF11" i="11"/>
  <c r="T11" i="11"/>
  <c r="AN10" i="11"/>
  <c r="AB10" i="11"/>
  <c r="AV9" i="11"/>
  <c r="AJ9" i="11"/>
  <c r="X9" i="11"/>
  <c r="AR8" i="11"/>
  <c r="AF8" i="11"/>
  <c r="T8" i="11"/>
  <c r="AN7" i="11"/>
  <c r="AB7" i="11"/>
  <c r="AV6" i="11"/>
  <c r="AJ6" i="11"/>
  <c r="X6" i="11"/>
  <c r="AN13" i="11"/>
  <c r="AB13" i="11"/>
  <c r="AV12" i="11"/>
  <c r="AJ12" i="11"/>
  <c r="X12" i="11"/>
  <c r="AQ11" i="11"/>
  <c r="AE11" i="11"/>
  <c r="S11" i="11"/>
  <c r="AM10" i="11"/>
  <c r="AA10" i="11"/>
  <c r="AU9" i="11"/>
  <c r="AI9" i="11"/>
  <c r="W9" i="11"/>
  <c r="AQ8" i="11"/>
  <c r="AE8" i="11"/>
  <c r="S8" i="11"/>
  <c r="AM7" i="11"/>
  <c r="AA7" i="11"/>
  <c r="AU6" i="11"/>
  <c r="AI6" i="11"/>
  <c r="W6" i="11"/>
  <c r="AM13" i="11"/>
  <c r="AA13" i="11"/>
  <c r="AU12" i="11"/>
  <c r="AI12" i="11"/>
  <c r="W12" i="11"/>
  <c r="AP11" i="11"/>
  <c r="AD11" i="11"/>
  <c r="R11" i="11"/>
  <c r="AL10" i="11"/>
  <c r="Z10" i="11"/>
  <c r="AT9" i="11"/>
  <c r="AH9" i="11"/>
  <c r="V9" i="11"/>
  <c r="AP8" i="11"/>
  <c r="AD8" i="11"/>
  <c r="R8" i="11"/>
  <c r="AL7" i="11"/>
  <c r="Z7" i="11"/>
  <c r="AT6" i="11"/>
  <c r="AH6" i="11"/>
  <c r="V6" i="11"/>
  <c r="AL13" i="11"/>
  <c r="Z13" i="11"/>
  <c r="AT12" i="11"/>
  <c r="AH12" i="11"/>
  <c r="V12" i="11"/>
  <c r="AO11" i="11"/>
  <c r="AC11" i="11"/>
  <c r="Q11" i="11"/>
  <c r="AK10" i="11"/>
  <c r="Y10" i="11"/>
  <c r="AS9" i="11"/>
  <c r="AG9" i="11"/>
  <c r="U9" i="11"/>
  <c r="AO8" i="11"/>
  <c r="AC8" i="11"/>
  <c r="Q8" i="11"/>
  <c r="AK7" i="11"/>
  <c r="Y7" i="11"/>
  <c r="AS6" i="11"/>
  <c r="AG6" i="11"/>
  <c r="U6" i="11"/>
  <c r="AV13" i="11"/>
  <c r="AJ13" i="11"/>
  <c r="X13" i="11"/>
  <c r="AR12" i="11"/>
  <c r="AF12" i="11"/>
  <c r="T12" i="11"/>
  <c r="AM11" i="11"/>
  <c r="AA11" i="11"/>
  <c r="AU10" i="11"/>
  <c r="AI10" i="11"/>
  <c r="W10" i="11"/>
  <c r="AQ9" i="11"/>
  <c r="AE9" i="11"/>
  <c r="S9" i="11"/>
  <c r="AM8" i="11"/>
  <c r="AA8" i="11"/>
  <c r="AU7" i="11"/>
  <c r="AI7" i="11"/>
  <c r="W7" i="11"/>
  <c r="AQ6" i="11"/>
  <c r="AE6" i="11"/>
  <c r="S6" i="11"/>
  <c r="AU13" i="11"/>
  <c r="AI13" i="11"/>
  <c r="W13" i="11"/>
  <c r="AQ12" i="11"/>
  <c r="AE12" i="11"/>
  <c r="S12" i="11"/>
  <c r="AL11" i="11"/>
  <c r="Z11" i="11"/>
  <c r="AT10" i="11"/>
  <c r="AH10" i="11"/>
  <c r="V10" i="11"/>
  <c r="AP9" i="11"/>
  <c r="AD9" i="11"/>
  <c r="R9" i="11"/>
  <c r="AL8" i="11"/>
  <c r="Z8" i="11"/>
  <c r="AT7" i="11"/>
  <c r="AH7" i="11"/>
  <c r="V7" i="11"/>
  <c r="AP6" i="11"/>
  <c r="AD6" i="11"/>
  <c r="R6" i="11"/>
  <c r="AT13" i="11"/>
  <c r="AH13" i="11"/>
  <c r="V13" i="11"/>
  <c r="AP12" i="11"/>
  <c r="AD12" i="11"/>
  <c r="R12" i="11"/>
  <c r="AK11" i="11"/>
  <c r="Y11" i="11"/>
  <c r="AS10" i="11"/>
  <c r="AG10" i="11"/>
  <c r="U10" i="11"/>
  <c r="AO9" i="11"/>
  <c r="AC9" i="11"/>
  <c r="Q9" i="11"/>
  <c r="AK8" i="11"/>
  <c r="Y8" i="11"/>
  <c r="AS7" i="11"/>
  <c r="AG7" i="11"/>
  <c r="U7" i="11"/>
  <c r="AO6" i="11"/>
  <c r="AC6" i="11"/>
  <c r="Q6" i="11"/>
  <c r="X10" i="11"/>
  <c r="AR9" i="11"/>
  <c r="AK13" i="11"/>
  <c r="T9" i="11"/>
  <c r="Y13" i="11"/>
  <c r="AN8" i="11"/>
  <c r="AS12" i="11"/>
  <c r="AB8" i="11"/>
  <c r="AG12" i="11"/>
  <c r="AV7" i="11"/>
  <c r="U12" i="11"/>
  <c r="AJ7" i="11"/>
  <c r="AN11" i="11"/>
  <c r="X7" i="11"/>
  <c r="AB11" i="11"/>
  <c r="AR6" i="11"/>
  <c r="AF9" i="11"/>
  <c r="AF6" i="11"/>
  <c r="T6" i="11"/>
  <c r="AV10" i="11"/>
  <c r="AJ10" i="11"/>
  <c r="AS13" i="12"/>
  <c r="AG13" i="12"/>
  <c r="U13" i="12"/>
  <c r="AO12" i="12"/>
  <c r="AC12" i="12"/>
  <c r="AV11" i="12"/>
  <c r="AJ11" i="12"/>
  <c r="X11" i="12"/>
  <c r="AR10" i="12"/>
  <c r="AF10" i="12"/>
  <c r="T10" i="12"/>
  <c r="AN9" i="12"/>
  <c r="AB9" i="12"/>
  <c r="AV8" i="12"/>
  <c r="AJ8" i="12"/>
  <c r="X8" i="12"/>
  <c r="AR7" i="12"/>
  <c r="AF7" i="12"/>
  <c r="T7" i="12"/>
  <c r="AN6" i="12"/>
  <c r="AB6" i="12"/>
  <c r="AR13" i="12"/>
  <c r="AF13" i="12"/>
  <c r="T13" i="12"/>
  <c r="AN12" i="12"/>
  <c r="AB12" i="12"/>
  <c r="AU11" i="12"/>
  <c r="AI11" i="12"/>
  <c r="W11" i="12"/>
  <c r="AQ10" i="12"/>
  <c r="AE10" i="12"/>
  <c r="S10" i="12"/>
  <c r="AM9" i="12"/>
  <c r="AA9" i="12"/>
  <c r="AU8" i="12"/>
  <c r="AI8" i="12"/>
  <c r="W8" i="12"/>
  <c r="AQ7" i="12"/>
  <c r="AE7" i="12"/>
  <c r="S7" i="12"/>
  <c r="AM6" i="12"/>
  <c r="AA6" i="12"/>
  <c r="AQ13" i="12"/>
  <c r="AE13" i="12"/>
  <c r="S13" i="12"/>
  <c r="AM12" i="12"/>
  <c r="AA12" i="12"/>
  <c r="AT11" i="12"/>
  <c r="AH11" i="12"/>
  <c r="V11" i="12"/>
  <c r="AP10" i="12"/>
  <c r="AD10" i="12"/>
  <c r="R10" i="12"/>
  <c r="AL9" i="12"/>
  <c r="Z9" i="12"/>
  <c r="AT8" i="12"/>
  <c r="AH8" i="12"/>
  <c r="V8" i="12"/>
  <c r="AP7" i="12"/>
  <c r="AD7" i="12"/>
  <c r="R7" i="12"/>
  <c r="AL6" i="12"/>
  <c r="Z6" i="12"/>
  <c r="AP13" i="12"/>
  <c r="AD13" i="12"/>
  <c r="R13" i="12"/>
  <c r="AL12" i="12"/>
  <c r="Z12" i="12"/>
  <c r="AS11" i="12"/>
  <c r="AG11" i="12"/>
  <c r="U11" i="12"/>
  <c r="AO10" i="12"/>
  <c r="AC10" i="12"/>
  <c r="Q10" i="12"/>
  <c r="AK9" i="12"/>
  <c r="Y9" i="12"/>
  <c r="AS8" i="12"/>
  <c r="AG8" i="12"/>
  <c r="U8" i="12"/>
  <c r="AO7" i="12"/>
  <c r="AC7" i="12"/>
  <c r="Q7" i="12"/>
  <c r="AK6" i="12"/>
  <c r="Y6" i="12"/>
  <c r="AO13" i="12"/>
  <c r="AC13" i="12"/>
  <c r="Q13" i="12"/>
  <c r="AK12" i="12"/>
  <c r="Y12" i="12"/>
  <c r="AR11" i="12"/>
  <c r="AF11" i="12"/>
  <c r="T11" i="12"/>
  <c r="AN10" i="12"/>
  <c r="AB10" i="12"/>
  <c r="AV9" i="12"/>
  <c r="AJ9" i="12"/>
  <c r="X9" i="12"/>
  <c r="AR8" i="12"/>
  <c r="AF8" i="12"/>
  <c r="T8" i="12"/>
  <c r="AN7" i="12"/>
  <c r="AB7" i="12"/>
  <c r="AV6" i="12"/>
  <c r="AJ6" i="12"/>
  <c r="X6" i="12"/>
  <c r="AN13" i="12"/>
  <c r="AB13" i="12"/>
  <c r="AV12" i="12"/>
  <c r="AJ12" i="12"/>
  <c r="X12" i="12"/>
  <c r="AQ11" i="12"/>
  <c r="AE11" i="12"/>
  <c r="S11" i="12"/>
  <c r="AM10" i="12"/>
  <c r="AA10" i="12"/>
  <c r="AU9" i="12"/>
  <c r="AI9" i="12"/>
  <c r="W9" i="12"/>
  <c r="AQ8" i="12"/>
  <c r="AE8" i="12"/>
  <c r="S8" i="12"/>
  <c r="AM7" i="12"/>
  <c r="AA7" i="12"/>
  <c r="AU6" i="12"/>
  <c r="AI6" i="12"/>
  <c r="W6" i="12"/>
  <c r="AM13" i="12"/>
  <c r="AA13" i="12"/>
  <c r="AU12" i="12"/>
  <c r="AI12" i="12"/>
  <c r="W12" i="12"/>
  <c r="AP11" i="12"/>
  <c r="AD11" i="12"/>
  <c r="R11" i="12"/>
  <c r="AL10" i="12"/>
  <c r="Z10" i="12"/>
  <c r="AT9" i="12"/>
  <c r="AH9" i="12"/>
  <c r="V9" i="12"/>
  <c r="AP8" i="12"/>
  <c r="AD8" i="12"/>
  <c r="R8" i="12"/>
  <c r="AL7" i="12"/>
  <c r="Z7" i="12"/>
  <c r="AT6" i="12"/>
  <c r="AH6" i="12"/>
  <c r="V6" i="12"/>
  <c r="AL13" i="12"/>
  <c r="Z13" i="12"/>
  <c r="AT12" i="12"/>
  <c r="AH12" i="12"/>
  <c r="V12" i="12"/>
  <c r="AO11" i="12"/>
  <c r="AC11" i="12"/>
  <c r="Q11" i="12"/>
  <c r="AK10" i="12"/>
  <c r="Y10" i="12"/>
  <c r="AS9" i="12"/>
  <c r="AG9" i="12"/>
  <c r="U9" i="12"/>
  <c r="AO8" i="12"/>
  <c r="AC8" i="12"/>
  <c r="Q8" i="12"/>
  <c r="AK7" i="12"/>
  <c r="Y7" i="12"/>
  <c r="AS6" i="12"/>
  <c r="AG6" i="12"/>
  <c r="U6" i="12"/>
  <c r="AV13" i="12"/>
  <c r="AJ13" i="12"/>
  <c r="X13" i="12"/>
  <c r="AR12" i="12"/>
  <c r="AF12" i="12"/>
  <c r="T12" i="12"/>
  <c r="AM11" i="12"/>
  <c r="AA11" i="12"/>
  <c r="AU10" i="12"/>
  <c r="AI10" i="12"/>
  <c r="W10" i="12"/>
  <c r="AQ9" i="12"/>
  <c r="AE9" i="12"/>
  <c r="S9" i="12"/>
  <c r="AM8" i="12"/>
  <c r="AA8" i="12"/>
  <c r="AU7" i="12"/>
  <c r="AI7" i="12"/>
  <c r="W7" i="12"/>
  <c r="AQ6" i="12"/>
  <c r="AE6" i="12"/>
  <c r="S6" i="12"/>
  <c r="AU13" i="12"/>
  <c r="AI13" i="12"/>
  <c r="W13" i="12"/>
  <c r="AQ12" i="12"/>
  <c r="AE12" i="12"/>
  <c r="S12" i="12"/>
  <c r="AL11" i="12"/>
  <c r="Z11" i="12"/>
  <c r="AT10" i="12"/>
  <c r="AH10" i="12"/>
  <c r="V10" i="12"/>
  <c r="AP9" i="12"/>
  <c r="AD9" i="12"/>
  <c r="R9" i="12"/>
  <c r="AL8" i="12"/>
  <c r="Z8" i="12"/>
  <c r="AT7" i="12"/>
  <c r="AH7" i="12"/>
  <c r="V7" i="12"/>
  <c r="AP6" i="12"/>
  <c r="AD6" i="12"/>
  <c r="R6" i="12"/>
  <c r="AT13" i="12"/>
  <c r="AH13" i="12"/>
  <c r="V13" i="12"/>
  <c r="AP12" i="12"/>
  <c r="AD12" i="12"/>
  <c r="R12" i="12"/>
  <c r="AK11" i="12"/>
  <c r="Y11" i="12"/>
  <c r="AS10" i="12"/>
  <c r="AG10" i="12"/>
  <c r="U10" i="12"/>
  <c r="AO9" i="12"/>
  <c r="AC9" i="12"/>
  <c r="Q9" i="12"/>
  <c r="AK8" i="12"/>
  <c r="Y8" i="12"/>
  <c r="AS7" i="12"/>
  <c r="AG7" i="12"/>
  <c r="U7" i="12"/>
  <c r="AO6" i="12"/>
  <c r="AC6" i="12"/>
  <c r="Q6" i="12"/>
  <c r="AG12" i="12"/>
  <c r="AV7" i="12"/>
  <c r="U12" i="12"/>
  <c r="AJ7" i="12"/>
  <c r="AN11" i="12"/>
  <c r="X7" i="12"/>
  <c r="AB11" i="12"/>
  <c r="AR6" i="12"/>
  <c r="AV10" i="12"/>
  <c r="AF6" i="12"/>
  <c r="AJ10" i="12"/>
  <c r="T6" i="12"/>
  <c r="X10" i="12"/>
  <c r="AR9" i="12"/>
  <c r="AF9" i="12"/>
  <c r="AK13" i="12"/>
  <c r="T9" i="12"/>
  <c r="AB8" i="12"/>
  <c r="Y13" i="12"/>
  <c r="AS12" i="12"/>
  <c r="AN8" i="12"/>
  <c r="B64" i="9"/>
  <c r="B66" i="9"/>
  <c r="B68" i="9"/>
  <c r="R9" i="10"/>
  <c r="Z6" i="10"/>
  <c r="AL6" i="10"/>
  <c r="T7" i="10"/>
  <c r="AF7" i="10"/>
  <c r="AR7" i="10"/>
  <c r="Z8" i="10"/>
  <c r="AL8" i="10"/>
  <c r="T9" i="10"/>
  <c r="AF9" i="10"/>
  <c r="AR9" i="10"/>
  <c r="Z10" i="10"/>
  <c r="AL10" i="10"/>
  <c r="T11" i="10"/>
  <c r="AF11" i="10"/>
  <c r="AR11" i="10"/>
  <c r="Z12" i="10"/>
  <c r="AL12" i="10"/>
  <c r="T13" i="10"/>
  <c r="AF13" i="10"/>
  <c r="AR13" i="10"/>
  <c r="R10" i="10"/>
  <c r="AA6" i="10"/>
  <c r="AM6" i="10"/>
  <c r="U7" i="10"/>
  <c r="AG7" i="10"/>
  <c r="AS7" i="10"/>
  <c r="AA8" i="10"/>
  <c r="AM8" i="10"/>
  <c r="U9" i="10"/>
  <c r="AG9" i="10"/>
  <c r="AS9" i="10"/>
  <c r="AA10" i="10"/>
  <c r="AM10" i="10"/>
  <c r="U11" i="10"/>
  <c r="AG11" i="10"/>
  <c r="AS11" i="10"/>
  <c r="AA12" i="10"/>
  <c r="AM12" i="10"/>
  <c r="U13" i="10"/>
  <c r="AG13" i="10"/>
  <c r="AS13" i="10"/>
  <c r="R11" i="10"/>
  <c r="AB6" i="10"/>
  <c r="AN6" i="10"/>
  <c r="V7" i="10"/>
  <c r="AH7" i="10"/>
  <c r="AT7" i="10"/>
  <c r="AB8" i="10"/>
  <c r="AN8" i="10"/>
  <c r="V9" i="10"/>
  <c r="AH9" i="10"/>
  <c r="AT9" i="10"/>
  <c r="AB10" i="10"/>
  <c r="AN10" i="10"/>
  <c r="V11" i="10"/>
  <c r="AH11" i="10"/>
  <c r="AT11" i="10"/>
  <c r="AB12" i="10"/>
  <c r="AN12" i="10"/>
  <c r="V13" i="10"/>
  <c r="AH13" i="10"/>
  <c r="AT13" i="10"/>
  <c r="R12" i="10"/>
  <c r="AC6" i="10"/>
  <c r="AO6" i="10"/>
  <c r="W7" i="10"/>
  <c r="AI7" i="10"/>
  <c r="AU7" i="10"/>
  <c r="AC8" i="10"/>
  <c r="AO8" i="10"/>
  <c r="W9" i="10"/>
  <c r="AI9" i="10"/>
  <c r="AU9" i="10"/>
  <c r="AC10" i="10"/>
  <c r="AO10" i="10"/>
  <c r="W11" i="10"/>
  <c r="AI11" i="10"/>
  <c r="AU11" i="10"/>
  <c r="AC12" i="10"/>
  <c r="AO12" i="10"/>
  <c r="W13" i="10"/>
  <c r="AI13" i="10"/>
  <c r="AU13" i="10"/>
  <c r="R13" i="10"/>
  <c r="AD6" i="10"/>
  <c r="AP6" i="10"/>
  <c r="X7" i="10"/>
  <c r="AJ7" i="10"/>
  <c r="AV7" i="10"/>
  <c r="AD8" i="10"/>
  <c r="AP8" i="10"/>
  <c r="X9" i="10"/>
  <c r="AJ9" i="10"/>
  <c r="AV9" i="10"/>
  <c r="AD10" i="10"/>
  <c r="AP10" i="10"/>
  <c r="X11" i="10"/>
  <c r="AJ11" i="10"/>
  <c r="AV11" i="10"/>
  <c r="AD12" i="10"/>
  <c r="AP12" i="10"/>
  <c r="X13" i="10"/>
  <c r="AJ13" i="10"/>
  <c r="AV13" i="10"/>
  <c r="S6" i="10"/>
  <c r="AE6" i="10"/>
  <c r="AQ6" i="10"/>
  <c r="Y7" i="10"/>
  <c r="AK7" i="10"/>
  <c r="S8" i="10"/>
  <c r="AE8" i="10"/>
  <c r="AQ8" i="10"/>
  <c r="Y9" i="10"/>
  <c r="AK9" i="10"/>
  <c r="S10" i="10"/>
  <c r="AE10" i="10"/>
  <c r="AQ10" i="10"/>
  <c r="Y11" i="10"/>
  <c r="AK11" i="10"/>
  <c r="S12" i="10"/>
  <c r="AE12" i="10"/>
  <c r="AQ12" i="10"/>
  <c r="Y13" i="10"/>
  <c r="AK13" i="10"/>
  <c r="T6" i="10"/>
  <c r="AF6" i="10"/>
  <c r="AR6" i="10"/>
  <c r="Z7" i="10"/>
  <c r="AL7" i="10"/>
  <c r="T8" i="10"/>
  <c r="AF8" i="10"/>
  <c r="AR8" i="10"/>
  <c r="Z9" i="10"/>
  <c r="AL9" i="10"/>
  <c r="T10" i="10"/>
  <c r="AF10" i="10"/>
  <c r="AR10" i="10"/>
  <c r="Z11" i="10"/>
  <c r="AL11" i="10"/>
  <c r="T12" i="10"/>
  <c r="AF12" i="10"/>
  <c r="AR12" i="10"/>
  <c r="Z13" i="10"/>
  <c r="AL13" i="10"/>
  <c r="U6" i="10"/>
  <c r="AG6" i="10"/>
  <c r="AS6" i="10"/>
  <c r="AA7" i="10"/>
  <c r="AM7" i="10"/>
  <c r="U8" i="10"/>
  <c r="AG8" i="10"/>
  <c r="AS8" i="10"/>
  <c r="AA9" i="10"/>
  <c r="AM9" i="10"/>
  <c r="U10" i="10"/>
  <c r="AG10" i="10"/>
  <c r="AS10" i="10"/>
  <c r="AA11" i="10"/>
  <c r="AM11" i="10"/>
  <c r="U12" i="10"/>
  <c r="AG12" i="10"/>
  <c r="AS12" i="10"/>
  <c r="AA13" i="10"/>
  <c r="AM13" i="10"/>
  <c r="V6" i="10"/>
  <c r="AH6" i="10"/>
  <c r="AT6" i="10"/>
  <c r="AB7" i="10"/>
  <c r="AN7" i="10"/>
  <c r="V8" i="10"/>
  <c r="AH8" i="10"/>
  <c r="AT8" i="10"/>
  <c r="AB9" i="10"/>
  <c r="AN9" i="10"/>
  <c r="V10" i="10"/>
  <c r="AH10" i="10"/>
  <c r="AT10" i="10"/>
  <c r="AB11" i="10"/>
  <c r="AN11" i="10"/>
  <c r="V12" i="10"/>
  <c r="AH12" i="10"/>
  <c r="AT12" i="10"/>
  <c r="AB13" i="10"/>
  <c r="AN13" i="10"/>
  <c r="W6" i="10"/>
  <c r="AI6" i="10"/>
  <c r="AU6" i="10"/>
  <c r="AC7" i="10"/>
  <c r="AO7" i="10"/>
  <c r="W8" i="10"/>
  <c r="AI8" i="10"/>
  <c r="AU8" i="10"/>
  <c r="AC9" i="10"/>
  <c r="AO9" i="10"/>
  <c r="W10" i="10"/>
  <c r="AI10" i="10"/>
  <c r="AU10" i="10"/>
  <c r="AC11" i="10"/>
  <c r="AO11" i="10"/>
  <c r="W12" i="10"/>
  <c r="AI12" i="10"/>
  <c r="AU12" i="10"/>
  <c r="AC13" i="10"/>
  <c r="AO13" i="10"/>
  <c r="R7" i="10"/>
  <c r="X6" i="10"/>
  <c r="AJ6" i="10"/>
  <c r="AV6" i="10"/>
  <c r="AD7" i="10"/>
  <c r="AP7" i="10"/>
  <c r="X8" i="10"/>
  <c r="AJ8" i="10"/>
  <c r="AV8" i="10"/>
  <c r="AD9" i="10"/>
  <c r="AP9" i="10"/>
  <c r="X10" i="10"/>
  <c r="AJ10" i="10"/>
  <c r="AV10" i="10"/>
  <c r="AD11" i="10"/>
  <c r="AP11" i="10"/>
  <c r="X12" i="10"/>
  <c r="AJ12" i="10"/>
  <c r="AV12" i="10"/>
  <c r="AD13" i="10"/>
  <c r="AP13" i="10"/>
  <c r="R8" i="10"/>
  <c r="Y6" i="10"/>
  <c r="AK6" i="10"/>
  <c r="S7" i="10"/>
  <c r="AE7" i="10"/>
  <c r="AQ7" i="10"/>
  <c r="Y8" i="10"/>
  <c r="AK8" i="10"/>
  <c r="S9" i="10"/>
  <c r="AE9" i="10"/>
  <c r="AQ9" i="10"/>
  <c r="Y10" i="10"/>
  <c r="AK10" i="10"/>
  <c r="S11" i="10"/>
  <c r="AE11" i="10"/>
  <c r="AQ11" i="10"/>
  <c r="Y12" i="10"/>
  <c r="AK12" i="10"/>
  <c r="S13" i="10"/>
  <c r="AE13" i="10"/>
  <c r="AQ13" i="10"/>
  <c r="B67" i="12"/>
  <c r="B68" i="12"/>
  <c r="B70" i="12"/>
  <c r="B69" i="12"/>
  <c r="B66" i="12"/>
  <c r="B65" i="12"/>
  <c r="B67" i="11"/>
  <c r="B68" i="11"/>
  <c r="B69" i="11"/>
  <c r="B70" i="11"/>
  <c r="B66" i="11"/>
  <c r="B65" i="11"/>
  <c r="B69" i="10"/>
  <c r="B70" i="10"/>
  <c r="B65" i="10"/>
  <c r="B66" i="10"/>
  <c r="B67" i="10"/>
  <c r="B68" i="10"/>
  <c r="B65" i="6"/>
  <c r="B67" i="6"/>
  <c r="B64" i="6"/>
  <c r="B69" i="6"/>
  <c r="B68" i="6"/>
  <c r="B67" i="5"/>
  <c r="B66" i="5"/>
  <c r="B68" i="5"/>
  <c r="B69" i="5"/>
  <c r="B69" i="3"/>
  <c r="B70" i="3"/>
  <c r="B65" i="3"/>
  <c r="B66" i="3"/>
  <c r="B67" i="3"/>
  <c r="B66" i="1"/>
  <c r="B70" i="1"/>
  <c r="B68" i="1"/>
  <c r="B71" i="1"/>
  <c r="B68" i="7"/>
  <c r="W20" i="19"/>
  <c r="W19" i="19"/>
  <c r="W18" i="19"/>
  <c r="W17" i="19"/>
  <c r="B66" i="7"/>
  <c r="Q11" i="5"/>
  <c r="B65" i="5"/>
  <c r="Q9" i="5"/>
  <c r="Q13" i="5"/>
  <c r="E230" i="4"/>
  <c r="B43" i="9"/>
  <c r="Q12" i="10" l="1"/>
  <c r="AW12" i="10" s="1"/>
  <c r="Q7" i="9"/>
  <c r="AW7" i="9" s="1"/>
  <c r="Q13" i="9"/>
  <c r="AW13" i="9" s="1"/>
  <c r="Q27" i="9"/>
  <c r="AW27" i="9" s="1"/>
  <c r="B65" i="9"/>
  <c r="Q27" i="8"/>
  <c r="AW27" i="8" s="1"/>
  <c r="B67" i="8"/>
  <c r="Q7" i="8"/>
  <c r="AW7" i="8" s="1"/>
  <c r="Q9" i="7"/>
  <c r="AW9" i="7" s="1"/>
  <c r="Q7" i="7"/>
  <c r="AW7" i="7" s="1"/>
  <c r="Q13" i="7"/>
  <c r="AW13" i="7" s="1"/>
  <c r="Q27" i="7"/>
  <c r="AW27" i="7" s="1"/>
  <c r="Q11" i="6"/>
  <c r="AW11" i="6" s="1"/>
  <c r="Q25" i="5"/>
  <c r="AW25" i="5" s="1"/>
  <c r="B70" i="5"/>
  <c r="B70" i="4"/>
  <c r="Q11" i="4"/>
  <c r="AW11" i="4" s="1"/>
  <c r="AW35" i="2"/>
  <c r="AW26" i="2"/>
  <c r="AW24" i="2"/>
  <c r="AW23" i="2"/>
  <c r="AW25" i="2"/>
  <c r="AW34" i="2"/>
  <c r="AW22" i="2"/>
  <c r="AW32" i="2"/>
  <c r="AW36" i="2"/>
  <c r="AW21" i="2"/>
  <c r="AW29" i="2"/>
  <c r="AW31" i="2"/>
  <c r="AW19" i="2"/>
  <c r="AW20" i="2"/>
  <c r="AW28" i="2"/>
  <c r="AW30" i="2"/>
  <c r="AW27" i="2"/>
  <c r="AW33" i="2"/>
  <c r="AW37" i="2"/>
  <c r="AW13" i="11"/>
  <c r="AW6" i="11"/>
  <c r="AW11" i="9"/>
  <c r="AW6" i="8"/>
  <c r="AW11" i="7"/>
  <c r="AW6" i="7"/>
  <c r="AW6" i="4"/>
  <c r="AW11" i="1"/>
  <c r="AW9" i="5"/>
  <c r="AW8" i="12"/>
  <c r="AW7" i="12"/>
  <c r="AW8" i="11"/>
  <c r="AW13" i="8"/>
  <c r="AW10" i="7"/>
  <c r="AW9" i="6"/>
  <c r="AW7" i="5"/>
  <c r="AW11" i="5"/>
  <c r="AW6" i="3"/>
  <c r="AW10" i="1"/>
  <c r="AW6" i="12"/>
  <c r="AW6" i="6"/>
  <c r="AW8" i="4"/>
  <c r="AW9" i="4"/>
  <c r="AW9" i="2"/>
  <c r="AW9" i="8"/>
  <c r="AW11" i="12"/>
  <c r="AW6" i="9"/>
  <c r="AW10" i="4"/>
  <c r="AW13" i="3"/>
  <c r="AW11" i="2"/>
  <c r="AW13" i="12"/>
  <c r="AW10" i="8"/>
  <c r="AW7" i="6"/>
  <c r="AW8" i="5"/>
  <c r="AW9" i="3"/>
  <c r="AW7" i="3"/>
  <c r="AW10" i="3"/>
  <c r="AW6" i="2"/>
  <c r="AW10" i="12"/>
  <c r="AW11" i="11"/>
  <c r="AW10" i="6"/>
  <c r="AW10" i="5"/>
  <c r="AW8" i="3"/>
  <c r="AW9" i="11"/>
  <c r="AW7" i="11"/>
  <c r="AW8" i="6"/>
  <c r="AW13" i="6"/>
  <c r="AW7" i="4"/>
  <c r="AW7" i="2"/>
  <c r="AW11" i="8"/>
  <c r="AW8" i="7"/>
  <c r="AW11" i="3"/>
  <c r="AW8" i="1"/>
  <c r="AW10" i="11"/>
  <c r="AW10" i="9"/>
  <c r="AW8" i="9"/>
  <c r="AW8" i="8"/>
  <c r="AW6" i="5"/>
  <c r="AW13" i="4"/>
  <c r="AW8" i="2"/>
  <c r="AW13" i="2"/>
  <c r="AW6" i="1"/>
  <c r="AW9" i="12"/>
  <c r="AW9" i="9"/>
  <c r="AW13" i="5"/>
  <c r="AW10" i="2"/>
  <c r="AW13" i="10"/>
  <c r="AW9" i="10"/>
  <c r="AW8" i="10"/>
  <c r="AW10" i="10"/>
  <c r="AW7" i="10"/>
  <c r="AW11" i="10"/>
  <c r="AW6" i="10"/>
  <c r="AU24" i="1" l="1"/>
  <c r="AW24" i="1" s="1"/>
  <c r="AU7" i="1"/>
  <c r="AW7" i="1" s="1"/>
  <c r="B67" i="1"/>
  <c r="Q13" i="1"/>
  <c r="AW13" i="1" s="1"/>
  <c r="AD9" i="1"/>
  <c r="AW9" i="1" s="1"/>
  <c r="B69" i="1"/>
  <c r="B71" i="10"/>
  <c r="Q12" i="1"/>
  <c r="AW12" i="1" s="1"/>
  <c r="AA17" i="19"/>
  <c r="AC17" i="19"/>
  <c r="AE17" i="19"/>
  <c r="AG17" i="19"/>
  <c r="AI17" i="19"/>
  <c r="AK17" i="19"/>
  <c r="AM17" i="19"/>
  <c r="AA18" i="19"/>
  <c r="AC18" i="19"/>
  <c r="AE18" i="19"/>
  <c r="AG18" i="19"/>
  <c r="AI18" i="19"/>
  <c r="AK18" i="19"/>
  <c r="AM18" i="19"/>
  <c r="AA19" i="19"/>
  <c r="AC19" i="19"/>
  <c r="AE19" i="19"/>
  <c r="AG19" i="19"/>
  <c r="AI19" i="19"/>
  <c r="AK19" i="19"/>
  <c r="AM19" i="19"/>
  <c r="AA20" i="19"/>
  <c r="AC20" i="19"/>
  <c r="AE20" i="19"/>
  <c r="AG20" i="19"/>
  <c r="AI20" i="19"/>
  <c r="AK20" i="19"/>
  <c r="AM20" i="19"/>
  <c r="Q12" i="2" l="1"/>
  <c r="AW12" i="2" s="1"/>
  <c r="Q12" i="3"/>
  <c r="AW12" i="3" s="1"/>
  <c r="Q12" i="4"/>
  <c r="AW12" i="4" s="1"/>
  <c r="Q12" i="5"/>
  <c r="AW12" i="5" s="1"/>
  <c r="Q12" i="6"/>
  <c r="AW12" i="6" s="1"/>
  <c r="Q12" i="7"/>
  <c r="AW12" i="7" s="1"/>
  <c r="Q12" i="8"/>
  <c r="AW12" i="8" s="1"/>
  <c r="Q12" i="9"/>
  <c r="AW12" i="9" s="1"/>
  <c r="Q12" i="11"/>
  <c r="AW12" i="11" s="1"/>
  <c r="B71" i="11"/>
  <c r="B71" i="7"/>
  <c r="B70" i="9"/>
  <c r="B71" i="2"/>
  <c r="B71" i="4"/>
  <c r="B70" i="6"/>
  <c r="B72" i="1"/>
  <c r="B72" i="8"/>
  <c r="B71" i="5"/>
  <c r="B71" i="3"/>
  <c r="C36" i="10"/>
  <c r="Q15" i="15" l="1"/>
  <c r="T33" i="19" l="1"/>
  <c r="T32" i="19"/>
  <c r="T28" i="19"/>
  <c r="Y20" i="19"/>
  <c r="Y19" i="19"/>
  <c r="Y18" i="19"/>
  <c r="Y17" i="19"/>
  <c r="T29" i="19" l="1"/>
  <c r="T34" i="19" s="1"/>
  <c r="T36" i="19" s="1"/>
  <c r="C134" i="18"/>
  <c r="C23" i="4"/>
  <c r="D21" i="4"/>
  <c r="D20" i="4"/>
  <c r="C23" i="3"/>
  <c r="D21" i="3"/>
  <c r="D20" i="3"/>
  <c r="C23" i="2"/>
  <c r="D21" i="2"/>
  <c r="D20" i="2"/>
  <c r="C23" i="1"/>
  <c r="D21" i="1"/>
  <c r="D20" i="1"/>
  <c r="C23" i="12"/>
  <c r="D21" i="12"/>
  <c r="D20" i="12"/>
  <c r="C23" i="11"/>
  <c r="D21" i="11"/>
  <c r="D20" i="11"/>
  <c r="C23" i="10"/>
  <c r="D21" i="10"/>
  <c r="D20" i="10"/>
  <c r="C23" i="9"/>
  <c r="D21" i="9"/>
  <c r="D20" i="9"/>
  <c r="C23" i="8"/>
  <c r="D21" i="8"/>
  <c r="D20" i="8"/>
  <c r="C23" i="7"/>
  <c r="D21" i="7"/>
  <c r="D20" i="7"/>
  <c r="C23" i="6"/>
  <c r="D21" i="6"/>
  <c r="D20" i="6"/>
  <c r="W9" i="19"/>
  <c r="W8" i="19"/>
  <c r="W7" i="19"/>
  <c r="W6" i="19"/>
  <c r="W5" i="19"/>
  <c r="W4" i="19"/>
  <c r="W3" i="19"/>
  <c r="W2" i="19"/>
  <c r="Q125" i="15"/>
  <c r="Q133" i="15" s="1"/>
  <c r="Q144" i="15"/>
  <c r="Q147" i="15" s="1"/>
  <c r="R140" i="15"/>
  <c r="U12" i="19"/>
  <c r="T12" i="19"/>
  <c r="O115" i="15"/>
  <c r="N125" i="18"/>
  <c r="O124" i="15"/>
  <c r="O123" i="15"/>
  <c r="O122" i="15"/>
  <c r="O121" i="15"/>
  <c r="O120" i="15"/>
  <c r="O119" i="15"/>
  <c r="O118" i="15"/>
  <c r="O117" i="15"/>
  <c r="O116" i="15"/>
  <c r="O110" i="15"/>
  <c r="O109" i="15"/>
  <c r="O108" i="15"/>
  <c r="O107" i="15"/>
  <c r="O106" i="15"/>
  <c r="O105" i="15"/>
  <c r="O104" i="15"/>
  <c r="O103" i="15"/>
  <c r="O102" i="15"/>
  <c r="D34" i="34" s="1"/>
  <c r="E34" i="34" s="1"/>
  <c r="O97" i="15"/>
  <c r="O96" i="15"/>
  <c r="O95" i="15"/>
  <c r="O94" i="15"/>
  <c r="O93" i="15"/>
  <c r="O92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D16" i="34" s="1"/>
  <c r="E16" i="34" s="1"/>
  <c r="O21" i="15"/>
  <c r="O20" i="15"/>
  <c r="O19" i="15"/>
  <c r="O18" i="15"/>
  <c r="O17" i="15"/>
  <c r="O16" i="15"/>
  <c r="O15" i="15"/>
  <c r="O14" i="15"/>
  <c r="D12" i="34" s="1"/>
  <c r="E12" i="34" s="1"/>
  <c r="O13" i="15"/>
  <c r="D11" i="34" s="1"/>
  <c r="E11" i="34" s="1"/>
  <c r="O12" i="15"/>
  <c r="D10" i="34" s="1"/>
  <c r="E10" i="34" s="1"/>
  <c r="O11" i="15"/>
  <c r="O10" i="15"/>
  <c r="O9" i="15"/>
  <c r="O8" i="15"/>
  <c r="O7" i="15"/>
  <c r="D7" i="34" s="1"/>
  <c r="E7" i="34" s="1"/>
  <c r="O6" i="15"/>
  <c r="O5" i="15"/>
  <c r="O4" i="15"/>
  <c r="L21" i="30"/>
  <c r="D25" i="12"/>
  <c r="D25" i="11"/>
  <c r="D25" i="10"/>
  <c r="D25" i="9"/>
  <c r="D25" i="8"/>
  <c r="D25" i="7"/>
  <c r="D25" i="6"/>
  <c r="D25" i="5"/>
  <c r="C23" i="5"/>
  <c r="D21" i="5"/>
  <c r="D20" i="5"/>
  <c r="D25" i="4"/>
  <c r="D25" i="3"/>
  <c r="D25" i="2"/>
  <c r="M12" i="13"/>
  <c r="G3" i="25"/>
  <c r="F3" i="25"/>
  <c r="E3" i="25"/>
  <c r="D3" i="25"/>
  <c r="C3" i="25"/>
  <c r="B3" i="25"/>
  <c r="M4" i="21"/>
  <c r="L4" i="21"/>
  <c r="K4" i="21"/>
  <c r="J4" i="21"/>
  <c r="I4" i="21"/>
  <c r="H4" i="21"/>
  <c r="G4" i="21"/>
  <c r="F4" i="21"/>
  <c r="E4" i="21"/>
  <c r="D4" i="21"/>
  <c r="C4" i="21"/>
  <c r="M3" i="21"/>
  <c r="L3" i="21"/>
  <c r="K3" i="21"/>
  <c r="J3" i="21"/>
  <c r="I3" i="21"/>
  <c r="H3" i="21"/>
  <c r="G3" i="21"/>
  <c r="F3" i="21"/>
  <c r="E3" i="21"/>
  <c r="D3" i="21"/>
  <c r="C3" i="21"/>
  <c r="M2" i="21"/>
  <c r="L2" i="21"/>
  <c r="K2" i="21"/>
  <c r="J2" i="21"/>
  <c r="I2" i="21"/>
  <c r="H2" i="21"/>
  <c r="G2" i="21"/>
  <c r="F2" i="21"/>
  <c r="E2" i="21"/>
  <c r="D2" i="21"/>
  <c r="C2" i="21"/>
  <c r="N140" i="18"/>
  <c r="N143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M134" i="18"/>
  <c r="L134" i="18"/>
  <c r="K134" i="18"/>
  <c r="J134" i="18"/>
  <c r="I134" i="18"/>
  <c r="H134" i="18"/>
  <c r="G134" i="18"/>
  <c r="F134" i="18"/>
  <c r="E134" i="18"/>
  <c r="D134" i="18"/>
  <c r="B134" i="18"/>
  <c r="O125" i="15"/>
  <c r="O133" i="15" s="1"/>
  <c r="N111" i="18"/>
  <c r="O111" i="15" s="1"/>
  <c r="N98" i="18"/>
  <c r="E10" i="22"/>
  <c r="N88" i="18"/>
  <c r="N71" i="18"/>
  <c r="N54" i="18"/>
  <c r="N38" i="18"/>
  <c r="N22" i="18"/>
  <c r="C66" i="1" s="1"/>
  <c r="D14" i="31"/>
  <c r="D13" i="31"/>
  <c r="D12" i="31"/>
  <c r="D11" i="31"/>
  <c r="D6" i="31"/>
  <c r="D5" i="31"/>
  <c r="O147" i="15"/>
  <c r="Q111" i="15"/>
  <c r="Q98" i="15"/>
  <c r="Q88" i="15"/>
  <c r="O88" i="15"/>
  <c r="Q71" i="15"/>
  <c r="O71" i="15"/>
  <c r="Q54" i="15"/>
  <c r="O54" i="15"/>
  <c r="Q38" i="15"/>
  <c r="O38" i="15"/>
  <c r="Q22" i="15"/>
  <c r="O3" i="15"/>
  <c r="D4" i="34" s="1"/>
  <c r="B29" i="22"/>
  <c r="E9" i="22"/>
  <c r="E8" i="22"/>
  <c r="E7" i="22"/>
  <c r="E6" i="22"/>
  <c r="D30" i="30"/>
  <c r="D29" i="30"/>
  <c r="D28" i="30"/>
  <c r="D27" i="30"/>
  <c r="D26" i="30"/>
  <c r="D25" i="30"/>
  <c r="D24" i="30"/>
  <c r="D23" i="30"/>
  <c r="D22" i="30"/>
  <c r="D21" i="30"/>
  <c r="D20" i="30"/>
  <c r="D19" i="30"/>
  <c r="E15" i="30"/>
  <c r="D15" i="30"/>
  <c r="C15" i="30"/>
  <c r="E14" i="30"/>
  <c r="D14" i="30"/>
  <c r="C14" i="30"/>
  <c r="E13" i="30"/>
  <c r="D13" i="30"/>
  <c r="C13" i="30"/>
  <c r="E12" i="30"/>
  <c r="D12" i="30"/>
  <c r="C12" i="30"/>
  <c r="E11" i="30"/>
  <c r="D11" i="30"/>
  <c r="C11" i="30"/>
  <c r="E10" i="30"/>
  <c r="D10" i="30"/>
  <c r="C10" i="30"/>
  <c r="E9" i="30"/>
  <c r="D9" i="30"/>
  <c r="C9" i="30"/>
  <c r="E8" i="30"/>
  <c r="D8" i="30"/>
  <c r="C8" i="30"/>
  <c r="E7" i="30"/>
  <c r="D7" i="30"/>
  <c r="C7" i="30"/>
  <c r="E6" i="30"/>
  <c r="D6" i="30"/>
  <c r="C6" i="30"/>
  <c r="E5" i="30"/>
  <c r="C5" i="30"/>
  <c r="E4" i="30"/>
  <c r="D4" i="30"/>
  <c r="C39" i="12"/>
  <c r="C39" i="11"/>
  <c r="H34" i="14"/>
  <c r="C34" i="14"/>
  <c r="H32" i="14"/>
  <c r="C32" i="14"/>
  <c r="H31" i="14"/>
  <c r="C31" i="14"/>
  <c r="H30" i="14"/>
  <c r="C30" i="14"/>
  <c r="H29" i="14"/>
  <c r="C29" i="14"/>
  <c r="H28" i="14"/>
  <c r="C28" i="14"/>
  <c r="L14" i="14"/>
  <c r="K14" i="14"/>
  <c r="J14" i="14"/>
  <c r="I14" i="14"/>
  <c r="H14" i="14"/>
  <c r="G14" i="14"/>
  <c r="F14" i="14"/>
  <c r="E14" i="14"/>
  <c r="D14" i="14"/>
  <c r="C14" i="14"/>
  <c r="B14" i="14"/>
  <c r="L13" i="14"/>
  <c r="K13" i="14"/>
  <c r="J13" i="14"/>
  <c r="I13" i="14"/>
  <c r="H13" i="14"/>
  <c r="G13" i="14"/>
  <c r="F13" i="14"/>
  <c r="E13" i="14"/>
  <c r="D13" i="14"/>
  <c r="C13" i="14"/>
  <c r="B13" i="14"/>
  <c r="L12" i="14"/>
  <c r="K12" i="14"/>
  <c r="J12" i="14"/>
  <c r="I12" i="14"/>
  <c r="H12" i="14"/>
  <c r="G12" i="14"/>
  <c r="F12" i="14"/>
  <c r="E12" i="14"/>
  <c r="D12" i="14"/>
  <c r="C12" i="14"/>
  <c r="B12" i="14"/>
  <c r="L11" i="14"/>
  <c r="K11" i="14"/>
  <c r="J11" i="14"/>
  <c r="I11" i="14"/>
  <c r="H11" i="14"/>
  <c r="G11" i="14"/>
  <c r="F11" i="14"/>
  <c r="E11" i="14"/>
  <c r="D11" i="14"/>
  <c r="C11" i="14"/>
  <c r="B11" i="14"/>
  <c r="L10" i="14"/>
  <c r="K10" i="14"/>
  <c r="J10" i="14"/>
  <c r="I10" i="14"/>
  <c r="H10" i="14"/>
  <c r="G10" i="14"/>
  <c r="F10" i="14"/>
  <c r="E10" i="14"/>
  <c r="D10" i="14"/>
  <c r="C10" i="14"/>
  <c r="B10" i="14"/>
  <c r="L9" i="14"/>
  <c r="K9" i="14"/>
  <c r="J9" i="14"/>
  <c r="I9" i="14"/>
  <c r="H9" i="14"/>
  <c r="G9" i="14"/>
  <c r="F9" i="14"/>
  <c r="E9" i="14"/>
  <c r="D9" i="14"/>
  <c r="C9" i="14"/>
  <c r="B9" i="14"/>
  <c r="L8" i="14"/>
  <c r="K8" i="14"/>
  <c r="J8" i="14"/>
  <c r="I8" i="14"/>
  <c r="H8" i="14"/>
  <c r="G8" i="14"/>
  <c r="F8" i="14"/>
  <c r="E8" i="14"/>
  <c r="D8" i="14"/>
  <c r="C8" i="14"/>
  <c r="B8" i="14"/>
  <c r="L7" i="14"/>
  <c r="K7" i="14"/>
  <c r="J7" i="14"/>
  <c r="I7" i="14"/>
  <c r="H7" i="14"/>
  <c r="G7" i="14"/>
  <c r="F7" i="14"/>
  <c r="E7" i="14"/>
  <c r="D7" i="14"/>
  <c r="C7" i="14"/>
  <c r="B7" i="14"/>
  <c r="L6" i="14"/>
  <c r="K6" i="14"/>
  <c r="J6" i="14"/>
  <c r="I6" i="14"/>
  <c r="H6" i="14"/>
  <c r="G6" i="14"/>
  <c r="F6" i="14"/>
  <c r="E6" i="14"/>
  <c r="D6" i="14"/>
  <c r="C6" i="14"/>
  <c r="B6" i="14"/>
  <c r="L5" i="14"/>
  <c r="K5" i="14"/>
  <c r="J5" i="14"/>
  <c r="I5" i="14"/>
  <c r="H5" i="14"/>
  <c r="G5" i="14"/>
  <c r="F5" i="14"/>
  <c r="E5" i="14"/>
  <c r="D5" i="14"/>
  <c r="C5" i="14"/>
  <c r="B5" i="14"/>
  <c r="L4" i="14"/>
  <c r="K4" i="14"/>
  <c r="J4" i="14"/>
  <c r="I4" i="14"/>
  <c r="H4" i="14"/>
  <c r="G4" i="14"/>
  <c r="F4" i="14"/>
  <c r="E4" i="14"/>
  <c r="D4" i="14"/>
  <c r="C4" i="14"/>
  <c r="B4" i="14"/>
  <c r="L3" i="14"/>
  <c r="L16" i="14" s="1"/>
  <c r="K3" i="14"/>
  <c r="K16" i="14" s="1"/>
  <c r="J3" i="14"/>
  <c r="J16" i="14" s="1"/>
  <c r="I3" i="14"/>
  <c r="I16" i="14" s="1"/>
  <c r="H3" i="14"/>
  <c r="H16" i="14" s="1"/>
  <c r="G3" i="14"/>
  <c r="G16" i="14" s="1"/>
  <c r="F3" i="14"/>
  <c r="F16" i="14" s="1"/>
  <c r="E3" i="14"/>
  <c r="E16" i="14" s="1"/>
  <c r="D3" i="14"/>
  <c r="D16" i="14" s="1"/>
  <c r="C3" i="14"/>
  <c r="C16" i="14" s="1"/>
  <c r="B3" i="14"/>
  <c r="B16" i="14" s="1"/>
  <c r="O19" i="13"/>
  <c r="K19" i="13"/>
  <c r="J19" i="13"/>
  <c r="H19" i="13"/>
  <c r="G19" i="13"/>
  <c r="F19" i="13"/>
  <c r="E19" i="13"/>
  <c r="D19" i="13"/>
  <c r="C19" i="13"/>
  <c r="B19" i="13"/>
  <c r="N19" i="13" s="1"/>
  <c r="O18" i="13"/>
  <c r="K18" i="13"/>
  <c r="J18" i="13"/>
  <c r="H18" i="13"/>
  <c r="G18" i="13"/>
  <c r="F18" i="13"/>
  <c r="E18" i="13"/>
  <c r="D18" i="13"/>
  <c r="C18" i="13"/>
  <c r="B18" i="13"/>
  <c r="N18" i="13" s="1"/>
  <c r="S17" i="13"/>
  <c r="O17" i="13"/>
  <c r="O26" i="13" s="1"/>
  <c r="K17" i="13"/>
  <c r="K26" i="13" s="1"/>
  <c r="J17" i="13"/>
  <c r="J26" i="13" s="1"/>
  <c r="H17" i="13"/>
  <c r="H26" i="13" s="1"/>
  <c r="G17" i="13"/>
  <c r="G26" i="13" s="1"/>
  <c r="F17" i="13"/>
  <c r="F26" i="13" s="1"/>
  <c r="E17" i="13"/>
  <c r="E26" i="13" s="1"/>
  <c r="D17" i="13"/>
  <c r="D26" i="13" s="1"/>
  <c r="C17" i="13"/>
  <c r="C26" i="13" s="1"/>
  <c r="B17" i="13"/>
  <c r="N17" i="13" s="1"/>
  <c r="N26" i="13" s="1"/>
  <c r="S16" i="13"/>
  <c r="O16" i="13"/>
  <c r="K16" i="13"/>
  <c r="J16" i="13"/>
  <c r="H16" i="13"/>
  <c r="G16" i="13"/>
  <c r="F16" i="13"/>
  <c r="E16" i="13"/>
  <c r="D16" i="13"/>
  <c r="C16" i="13"/>
  <c r="B16" i="13"/>
  <c r="N16" i="13" s="1"/>
  <c r="S15" i="13"/>
  <c r="O15" i="13"/>
  <c r="K15" i="13"/>
  <c r="J15" i="13"/>
  <c r="H15" i="13"/>
  <c r="G15" i="13"/>
  <c r="F15" i="13"/>
  <c r="E15" i="13"/>
  <c r="D15" i="13"/>
  <c r="C15" i="13"/>
  <c r="B15" i="13"/>
  <c r="N15" i="13" s="1"/>
  <c r="S14" i="13"/>
  <c r="O14" i="13"/>
  <c r="K14" i="13"/>
  <c r="J14" i="13"/>
  <c r="H14" i="13"/>
  <c r="G14" i="13"/>
  <c r="F14" i="13"/>
  <c r="E14" i="13"/>
  <c r="D14" i="13"/>
  <c r="C14" i="13"/>
  <c r="B14" i="13"/>
  <c r="N14" i="13" s="1"/>
  <c r="S13" i="13"/>
  <c r="O13" i="13"/>
  <c r="K13" i="13"/>
  <c r="J13" i="13"/>
  <c r="H13" i="13"/>
  <c r="G13" i="13"/>
  <c r="F13" i="13"/>
  <c r="E13" i="13"/>
  <c r="D13" i="13"/>
  <c r="C13" i="13"/>
  <c r="B13" i="13"/>
  <c r="N13" i="13" s="1"/>
  <c r="S12" i="13"/>
  <c r="O12" i="13"/>
  <c r="K12" i="13"/>
  <c r="J12" i="13"/>
  <c r="H12" i="13"/>
  <c r="G12" i="13"/>
  <c r="F12" i="13"/>
  <c r="E12" i="13"/>
  <c r="D12" i="13"/>
  <c r="C12" i="13"/>
  <c r="B12" i="13"/>
  <c r="N12" i="13" s="1"/>
  <c r="S11" i="13"/>
  <c r="O11" i="13"/>
  <c r="M11" i="13"/>
  <c r="K11" i="13"/>
  <c r="J11" i="13"/>
  <c r="H11" i="13"/>
  <c r="G11" i="13"/>
  <c r="F11" i="13"/>
  <c r="E11" i="13"/>
  <c r="D11" i="13"/>
  <c r="C11" i="13"/>
  <c r="B11" i="13"/>
  <c r="N11" i="13" s="1"/>
  <c r="S10" i="13"/>
  <c r="O10" i="13"/>
  <c r="K10" i="13"/>
  <c r="J10" i="13"/>
  <c r="H10" i="13"/>
  <c r="G10" i="13"/>
  <c r="F10" i="13"/>
  <c r="E10" i="13"/>
  <c r="D10" i="13"/>
  <c r="C10" i="13"/>
  <c r="B10" i="13"/>
  <c r="N10" i="13" s="1"/>
  <c r="S9" i="13"/>
  <c r="O9" i="13"/>
  <c r="K9" i="13"/>
  <c r="J9" i="13"/>
  <c r="H9" i="13"/>
  <c r="G9" i="13"/>
  <c r="F9" i="13"/>
  <c r="E9" i="13"/>
  <c r="D9" i="13"/>
  <c r="C9" i="13"/>
  <c r="B9" i="13"/>
  <c r="N9" i="13" s="1"/>
  <c r="S8" i="13"/>
  <c r="O8" i="13"/>
  <c r="O21" i="13" s="1"/>
  <c r="M8" i="13"/>
  <c r="K8" i="13"/>
  <c r="K21" i="13" s="1"/>
  <c r="J8" i="13"/>
  <c r="J21" i="13" s="1"/>
  <c r="H8" i="13"/>
  <c r="H21" i="13" s="1"/>
  <c r="G8" i="13"/>
  <c r="G21" i="13" s="1"/>
  <c r="F8" i="13"/>
  <c r="F21" i="13" s="1"/>
  <c r="E8" i="13"/>
  <c r="E21" i="13" s="1"/>
  <c r="D8" i="13"/>
  <c r="D21" i="13" s="1"/>
  <c r="C8" i="13"/>
  <c r="C21" i="13" s="1"/>
  <c r="B8" i="13"/>
  <c r="B21" i="13" s="1"/>
  <c r="O5" i="13"/>
  <c r="N5" i="13"/>
  <c r="M5" i="13"/>
  <c r="L5" i="13"/>
  <c r="K5" i="13"/>
  <c r="J5" i="13"/>
  <c r="I5" i="13"/>
  <c r="H5" i="13"/>
  <c r="G5" i="13"/>
  <c r="F5" i="13"/>
  <c r="D5" i="13"/>
  <c r="C5" i="13"/>
  <c r="B5" i="13"/>
  <c r="O4" i="13"/>
  <c r="N4" i="13"/>
  <c r="M4" i="13"/>
  <c r="L4" i="13"/>
  <c r="K4" i="13"/>
  <c r="J4" i="13"/>
  <c r="I4" i="13"/>
  <c r="H4" i="13"/>
  <c r="G4" i="13"/>
  <c r="F4" i="13"/>
  <c r="D4" i="13"/>
  <c r="C4" i="13"/>
  <c r="B4" i="13"/>
  <c r="C39" i="10"/>
  <c r="C39" i="9"/>
  <c r="C39" i="8"/>
  <c r="C39" i="7"/>
  <c r="C39" i="6"/>
  <c r="C39" i="5"/>
  <c r="C39" i="4"/>
  <c r="C39" i="3"/>
  <c r="M10" i="13"/>
  <c r="C39" i="2"/>
  <c r="M9" i="13"/>
  <c r="C70" i="1"/>
  <c r="C69" i="1"/>
  <c r="C68" i="1"/>
  <c r="C67" i="1"/>
  <c r="C39" i="1"/>
  <c r="D25" i="1"/>
  <c r="V14" i="24"/>
  <c r="U14" i="24"/>
  <c r="T14" i="24"/>
  <c r="S14" i="24"/>
  <c r="R14" i="24"/>
  <c r="V13" i="24"/>
  <c r="U13" i="24"/>
  <c r="T13" i="24"/>
  <c r="S13" i="24"/>
  <c r="R13" i="24"/>
  <c r="V12" i="24"/>
  <c r="U12" i="24"/>
  <c r="T12" i="24"/>
  <c r="S12" i="24"/>
  <c r="R12" i="24"/>
  <c r="V11" i="24"/>
  <c r="B33" i="22" s="1"/>
  <c r="U11" i="24"/>
  <c r="B31" i="22" s="1"/>
  <c r="T11" i="24"/>
  <c r="B30" i="22" s="1"/>
  <c r="S11" i="24"/>
  <c r="B25" i="22" s="1"/>
  <c r="R11" i="24"/>
  <c r="B22" i="22" s="1"/>
  <c r="V10" i="24"/>
  <c r="U10" i="24"/>
  <c r="T10" i="24"/>
  <c r="S10" i="24"/>
  <c r="R10" i="24"/>
  <c r="V9" i="24"/>
  <c r="U9" i="24"/>
  <c r="T9" i="24"/>
  <c r="S9" i="24"/>
  <c r="R9" i="24"/>
  <c r="V8" i="24"/>
  <c r="U8" i="24"/>
  <c r="T8" i="24"/>
  <c r="S8" i="24"/>
  <c r="R8" i="24"/>
  <c r="V7" i="24"/>
  <c r="U7" i="24"/>
  <c r="T7" i="24"/>
  <c r="S7" i="24"/>
  <c r="R7" i="24"/>
  <c r="V6" i="24"/>
  <c r="U6" i="24"/>
  <c r="T6" i="24"/>
  <c r="S6" i="24"/>
  <c r="R6" i="24"/>
  <c r="V5" i="24"/>
  <c r="U5" i="24"/>
  <c r="T5" i="24"/>
  <c r="S5" i="24"/>
  <c r="R5" i="24"/>
  <c r="V4" i="24"/>
  <c r="U4" i="24"/>
  <c r="T4" i="24"/>
  <c r="S4" i="24"/>
  <c r="R4" i="24"/>
  <c r="V3" i="24"/>
  <c r="U3" i="24"/>
  <c r="T3" i="24"/>
  <c r="S3" i="24"/>
  <c r="R3" i="24"/>
  <c r="V2" i="24"/>
  <c r="U2" i="24"/>
  <c r="T2" i="24"/>
  <c r="S2" i="24"/>
  <c r="R2" i="24"/>
  <c r="C71" i="1"/>
  <c r="O98" i="15"/>
  <c r="C4" i="30"/>
  <c r="D5" i="30"/>
  <c r="E11" i="22" l="1"/>
  <c r="C72" i="1"/>
  <c r="D7" i="31"/>
  <c r="D8" i="34"/>
  <c r="E8" i="34" s="1"/>
  <c r="E4" i="34"/>
  <c r="E38" i="34" s="1"/>
  <c r="B59" i="34" s="1"/>
  <c r="D38" i="34"/>
  <c r="D8" i="31"/>
  <c r="E5" i="22"/>
  <c r="E12" i="22" s="1"/>
  <c r="D9" i="31"/>
  <c r="D10" i="31"/>
  <c r="C66" i="11"/>
  <c r="C66" i="2"/>
  <c r="C66" i="3"/>
  <c r="C66" i="4"/>
  <c r="C66" i="12"/>
  <c r="C65" i="6"/>
  <c r="C67" i="8"/>
  <c r="C66" i="10"/>
  <c r="C66" i="5"/>
  <c r="C65" i="9"/>
  <c r="C66" i="7"/>
  <c r="C67" i="11"/>
  <c r="C67" i="2"/>
  <c r="C67" i="4"/>
  <c r="C66" i="6"/>
  <c r="C68" i="8"/>
  <c r="C67" i="12"/>
  <c r="C67" i="3"/>
  <c r="C67" i="5"/>
  <c r="C67" i="10"/>
  <c r="C67" i="7"/>
  <c r="C66" i="9"/>
  <c r="C68" i="4"/>
  <c r="C67" i="6"/>
  <c r="C68" i="7"/>
  <c r="C69" i="8"/>
  <c r="C68" i="5"/>
  <c r="C68" i="10"/>
  <c r="C68" i="12"/>
  <c r="C68" i="3"/>
  <c r="C68" i="2"/>
  <c r="C68" i="11"/>
  <c r="C67" i="9"/>
  <c r="C64" i="9"/>
  <c r="C65" i="11"/>
  <c r="C65" i="2"/>
  <c r="C65" i="4"/>
  <c r="C65" i="10"/>
  <c r="C65" i="12"/>
  <c r="C65" i="3"/>
  <c r="C64" i="6"/>
  <c r="C66" i="8"/>
  <c r="C65" i="7"/>
  <c r="C65" i="5"/>
  <c r="N131" i="18"/>
  <c r="C69" i="4"/>
  <c r="C68" i="6"/>
  <c r="C70" i="8"/>
  <c r="C69" i="10"/>
  <c r="C69" i="3"/>
  <c r="C69" i="5"/>
  <c r="C69" i="7"/>
  <c r="C69" i="12"/>
  <c r="C68" i="9"/>
  <c r="C69" i="11"/>
  <c r="C69" i="2"/>
  <c r="D4" i="31"/>
  <c r="C69" i="6"/>
  <c r="C71" i="8"/>
  <c r="C70" i="10"/>
  <c r="C70" i="12"/>
  <c r="C70" i="3"/>
  <c r="C70" i="5"/>
  <c r="C70" i="7"/>
  <c r="C69" i="9"/>
  <c r="C70" i="4"/>
  <c r="C70" i="11"/>
  <c r="C70" i="2"/>
  <c r="O22" i="15"/>
  <c r="C70" i="6"/>
  <c r="C72" i="8"/>
  <c r="C71" i="10"/>
  <c r="C71" i="12"/>
  <c r="C71" i="3"/>
  <c r="C71" i="5"/>
  <c r="C71" i="7"/>
  <c r="C70" i="9"/>
  <c r="C71" i="11"/>
  <c r="C71" i="2"/>
  <c r="C71" i="4"/>
  <c r="D18" i="2"/>
  <c r="C18" i="2"/>
  <c r="N8" i="13"/>
  <c r="N21" i="13" s="1"/>
  <c r="D22" i="13" s="1"/>
  <c r="F27" i="13"/>
  <c r="B26" i="13"/>
  <c r="B27" i="13" s="1"/>
  <c r="N27" i="13" s="1"/>
  <c r="G27" i="13"/>
  <c r="Q132" i="15"/>
  <c r="Q134" i="15" s="1"/>
  <c r="Q135" i="15" s="1"/>
  <c r="H3" i="25"/>
  <c r="W12" i="19"/>
  <c r="M17" i="13"/>
  <c r="M26" i="13" s="1"/>
  <c r="M27" i="13" s="1"/>
  <c r="M16" i="13"/>
  <c r="M19" i="13"/>
  <c r="M14" i="13"/>
  <c r="D24" i="9"/>
  <c r="G35" i="14" s="1"/>
  <c r="D24" i="8"/>
  <c r="D26" i="8" s="1"/>
  <c r="D24" i="3"/>
  <c r="G29" i="14" s="1"/>
  <c r="M21" i="13"/>
  <c r="D24" i="12"/>
  <c r="G38" i="14" s="1"/>
  <c r="F9" i="30"/>
  <c r="G9" i="30" s="1"/>
  <c r="F13" i="30"/>
  <c r="H13" i="30" s="1"/>
  <c r="F12" i="30"/>
  <c r="G12" i="30" s="1"/>
  <c r="D24" i="4"/>
  <c r="G30" i="14" s="1"/>
  <c r="F10" i="30"/>
  <c r="H10" i="30" s="1"/>
  <c r="D24" i="1"/>
  <c r="D26" i="1" s="1"/>
  <c r="D24" i="7"/>
  <c r="G33" i="14" s="1"/>
  <c r="D31" i="30"/>
  <c r="D24" i="6"/>
  <c r="G32" i="14" s="1"/>
  <c r="D24" i="2"/>
  <c r="D26" i="2" s="1"/>
  <c r="D24" i="5"/>
  <c r="G31" i="14" s="1"/>
  <c r="F5" i="30"/>
  <c r="G5" i="30" s="1"/>
  <c r="D24" i="10"/>
  <c r="G36" i="14" s="1"/>
  <c r="D24" i="11"/>
  <c r="G37" i="14" s="1"/>
  <c r="F4" i="30"/>
  <c r="I4" i="30" s="1"/>
  <c r="F7" i="30"/>
  <c r="C22" i="30" s="1"/>
  <c r="F11" i="30"/>
  <c r="G11" i="30" s="1"/>
  <c r="E16" i="30"/>
  <c r="F8" i="30"/>
  <c r="H8" i="30" s="1"/>
  <c r="F6" i="30"/>
  <c r="C21" i="30" s="1"/>
  <c r="F14" i="30"/>
  <c r="L32" i="30" s="1"/>
  <c r="F15" i="30"/>
  <c r="L33" i="30" s="1"/>
  <c r="C16" i="30"/>
  <c r="D16" i="30"/>
  <c r="E70" i="1"/>
  <c r="D71" i="1"/>
  <c r="E68" i="1"/>
  <c r="D68" i="1"/>
  <c r="D72" i="1"/>
  <c r="M18" i="13"/>
  <c r="D70" i="1"/>
  <c r="D67" i="1"/>
  <c r="E67" i="1"/>
  <c r="D66" i="1"/>
  <c r="E66" i="1"/>
  <c r="D69" i="1"/>
  <c r="E69" i="1"/>
  <c r="K27" i="13"/>
  <c r="D27" i="13"/>
  <c r="J27" i="13"/>
  <c r="E27" i="13"/>
  <c r="H27" i="13"/>
  <c r="C27" i="13"/>
  <c r="E68" i="7" l="1"/>
  <c r="D68" i="7"/>
  <c r="D65" i="5"/>
  <c r="E65" i="5"/>
  <c r="D67" i="11"/>
  <c r="E67" i="11"/>
  <c r="E71" i="5"/>
  <c r="D71" i="5"/>
  <c r="D71" i="8"/>
  <c r="E71" i="8"/>
  <c r="E65" i="7"/>
  <c r="D65" i="7"/>
  <c r="D68" i="5"/>
  <c r="E68" i="5"/>
  <c r="D66" i="7"/>
  <c r="E66" i="7"/>
  <c r="D70" i="9"/>
  <c r="E70" i="9"/>
  <c r="D70" i="12"/>
  <c r="E70" i="12"/>
  <c r="N144" i="18"/>
  <c r="O132" i="15"/>
  <c r="E71" i="7"/>
  <c r="D71" i="7"/>
  <c r="D70" i="10"/>
  <c r="E70" i="10"/>
  <c r="E68" i="10"/>
  <c r="D68" i="10"/>
  <c r="E71" i="3"/>
  <c r="D71" i="3"/>
  <c r="E69" i="6"/>
  <c r="D69" i="6"/>
  <c r="E66" i="8"/>
  <c r="D66" i="8"/>
  <c r="E69" i="8"/>
  <c r="D69" i="8"/>
  <c r="E65" i="9"/>
  <c r="D65" i="9"/>
  <c r="E64" i="6"/>
  <c r="D64" i="6"/>
  <c r="D71" i="10"/>
  <c r="E71" i="10"/>
  <c r="E69" i="2"/>
  <c r="D69" i="2"/>
  <c r="D65" i="3"/>
  <c r="E65" i="3"/>
  <c r="D68" i="4"/>
  <c r="E68" i="4"/>
  <c r="D66" i="9"/>
  <c r="E66" i="9"/>
  <c r="D65" i="4"/>
  <c r="E65" i="4"/>
  <c r="E66" i="12"/>
  <c r="D66" i="12"/>
  <c r="E70" i="2"/>
  <c r="D70" i="2"/>
  <c r="D69" i="7"/>
  <c r="E69" i="7"/>
  <c r="E65" i="2"/>
  <c r="D65" i="2"/>
  <c r="D67" i="10"/>
  <c r="E67" i="10"/>
  <c r="E66" i="4"/>
  <c r="D66" i="4"/>
  <c r="E66" i="10"/>
  <c r="D66" i="10"/>
  <c r="E69" i="11"/>
  <c r="D69" i="11"/>
  <c r="E68" i="9"/>
  <c r="D68" i="9"/>
  <c r="E69" i="12"/>
  <c r="D69" i="12"/>
  <c r="D67" i="7"/>
  <c r="E67" i="7"/>
  <c r="D70" i="11"/>
  <c r="E70" i="11"/>
  <c r="E69" i="5"/>
  <c r="D69" i="5"/>
  <c r="E65" i="11"/>
  <c r="D65" i="11"/>
  <c r="E67" i="5"/>
  <c r="D67" i="5"/>
  <c r="D66" i="3"/>
  <c r="E66" i="3"/>
  <c r="E70" i="4"/>
  <c r="D70" i="4"/>
  <c r="E69" i="3"/>
  <c r="D69" i="3"/>
  <c r="D64" i="9"/>
  <c r="E64" i="9"/>
  <c r="D67" i="3"/>
  <c r="E67" i="3"/>
  <c r="E66" i="2"/>
  <c r="D66" i="2"/>
  <c r="E69" i="9"/>
  <c r="D69" i="9"/>
  <c r="E69" i="10"/>
  <c r="D69" i="10"/>
  <c r="D67" i="9"/>
  <c r="E67" i="9"/>
  <c r="E67" i="12"/>
  <c r="D67" i="12"/>
  <c r="E66" i="11"/>
  <c r="D66" i="11"/>
  <c r="D70" i="6"/>
  <c r="E70" i="6"/>
  <c r="D66" i="5"/>
  <c r="E66" i="5"/>
  <c r="E65" i="12"/>
  <c r="D65" i="12"/>
  <c r="E67" i="8"/>
  <c r="D67" i="8"/>
  <c r="E70" i="8"/>
  <c r="D70" i="8"/>
  <c r="E70" i="5"/>
  <c r="D70" i="5"/>
  <c r="D67" i="6"/>
  <c r="E67" i="6"/>
  <c r="D72" i="8"/>
  <c r="E72" i="8"/>
  <c r="D65" i="10"/>
  <c r="E65" i="10"/>
  <c r="D65" i="6"/>
  <c r="E65" i="6"/>
  <c r="E71" i="4"/>
  <c r="D71" i="4"/>
  <c r="D70" i="7"/>
  <c r="E70" i="7"/>
  <c r="D68" i="11"/>
  <c r="E68" i="11"/>
  <c r="D68" i="8"/>
  <c r="E68" i="8"/>
  <c r="E71" i="2"/>
  <c r="D71" i="2"/>
  <c r="E68" i="6"/>
  <c r="D68" i="6"/>
  <c r="E68" i="2"/>
  <c r="D68" i="2"/>
  <c r="D66" i="6"/>
  <c r="E66" i="6"/>
  <c r="E71" i="11"/>
  <c r="D71" i="11"/>
  <c r="D70" i="3"/>
  <c r="E70" i="3"/>
  <c r="E69" i="4"/>
  <c r="D69" i="4"/>
  <c r="E68" i="3"/>
  <c r="D68" i="3"/>
  <c r="D67" i="4"/>
  <c r="E67" i="4"/>
  <c r="E68" i="12"/>
  <c r="D68" i="12"/>
  <c r="D67" i="2"/>
  <c r="E67" i="2"/>
  <c r="Q12" i="12"/>
  <c r="AW12" i="12" s="1"/>
  <c r="B71" i="12"/>
  <c r="E71" i="12" s="1"/>
  <c r="G22" i="13"/>
  <c r="K22" i="13"/>
  <c r="F22" i="13"/>
  <c r="O22" i="13"/>
  <c r="H22" i="13"/>
  <c r="O27" i="13"/>
  <c r="J22" i="13"/>
  <c r="C22" i="13"/>
  <c r="E22" i="13"/>
  <c r="M22" i="13"/>
  <c r="B22" i="13"/>
  <c r="N22" i="13" s="1"/>
  <c r="Q148" i="15"/>
  <c r="Q149" i="15" s="1"/>
  <c r="I3" i="25"/>
  <c r="D26" i="9"/>
  <c r="G34" i="14"/>
  <c r="D26" i="3"/>
  <c r="L31" i="30"/>
  <c r="H9" i="30"/>
  <c r="D26" i="12"/>
  <c r="I9" i="30"/>
  <c r="H12" i="30"/>
  <c r="H14" i="30"/>
  <c r="I13" i="30"/>
  <c r="L27" i="30"/>
  <c r="C28" i="30"/>
  <c r="G13" i="30"/>
  <c r="C24" i="30"/>
  <c r="I10" i="30"/>
  <c r="L30" i="30"/>
  <c r="C27" i="30"/>
  <c r="I12" i="30"/>
  <c r="D26" i="4"/>
  <c r="D26" i="6"/>
  <c r="D26" i="7"/>
  <c r="C29" i="30"/>
  <c r="I7" i="30"/>
  <c r="C25" i="30"/>
  <c r="G27" i="14"/>
  <c r="G10" i="30"/>
  <c r="G4" i="30"/>
  <c r="H4" i="30"/>
  <c r="L28" i="30"/>
  <c r="C19" i="30"/>
  <c r="C26" i="30"/>
  <c r="G28" i="14"/>
  <c r="G14" i="30"/>
  <c r="L29" i="30"/>
  <c r="H15" i="30"/>
  <c r="C30" i="30"/>
  <c r="L22" i="30"/>
  <c r="I14" i="30"/>
  <c r="D26" i="10"/>
  <c r="H5" i="30"/>
  <c r="L23" i="30"/>
  <c r="I5" i="30"/>
  <c r="C20" i="30"/>
  <c r="D26" i="5"/>
  <c r="H7" i="30"/>
  <c r="D26" i="11"/>
  <c r="C23" i="30"/>
  <c r="L25" i="30"/>
  <c r="G15" i="30"/>
  <c r="G7" i="30"/>
  <c r="H11" i="30"/>
  <c r="I11" i="30"/>
  <c r="F16" i="30"/>
  <c r="H6" i="30"/>
  <c r="G8" i="30"/>
  <c r="I15" i="30"/>
  <c r="G6" i="30"/>
  <c r="L24" i="30"/>
  <c r="I8" i="30"/>
  <c r="I6" i="30"/>
  <c r="L26" i="30"/>
  <c r="E71" i="1"/>
  <c r="E72" i="1"/>
  <c r="I14" i="15"/>
  <c r="F121" i="15"/>
  <c r="F14" i="15"/>
  <c r="F60" i="15"/>
  <c r="D12" i="15"/>
  <c r="K52" i="15"/>
  <c r="E32" i="15"/>
  <c r="C30" i="15"/>
  <c r="H36" i="15"/>
  <c r="J121" i="15"/>
  <c r="M92" i="15"/>
  <c r="G29" i="15"/>
  <c r="H6" i="15"/>
  <c r="B119" i="15"/>
  <c r="B30" i="15"/>
  <c r="L35" i="15"/>
  <c r="H13" i="15"/>
  <c r="E59" i="15"/>
  <c r="C120" i="15"/>
  <c r="M108" i="15"/>
  <c r="K117" i="15"/>
  <c r="L53" i="15"/>
  <c r="D6" i="15"/>
  <c r="D123" i="15"/>
  <c r="J94" i="15"/>
  <c r="M107" i="15"/>
  <c r="D34" i="15"/>
  <c r="B15" i="15"/>
  <c r="K67" i="15"/>
  <c r="E26" i="15"/>
  <c r="E118" i="15"/>
  <c r="F108" i="15"/>
  <c r="B82" i="15"/>
  <c r="L18" i="15"/>
  <c r="M67" i="15"/>
  <c r="L95" i="15"/>
  <c r="J82" i="15"/>
  <c r="C118" i="15"/>
  <c r="B85" i="15"/>
  <c r="J30" i="27"/>
  <c r="H7" i="15"/>
  <c r="J81" i="15"/>
  <c r="K78" i="15"/>
  <c r="K37" i="15"/>
  <c r="D60" i="15"/>
  <c r="K7" i="15"/>
  <c r="F103" i="15"/>
  <c r="K106" i="15"/>
  <c r="G69" i="15"/>
  <c r="G102" i="15"/>
  <c r="M51" i="15"/>
  <c r="D19" i="15"/>
  <c r="B78" i="15"/>
  <c r="F15" i="15"/>
  <c r="L29" i="15"/>
  <c r="I106" i="15"/>
  <c r="J117" i="15"/>
  <c r="B79" i="15"/>
  <c r="I11" i="15"/>
  <c r="C46" i="15"/>
  <c r="L59" i="15"/>
  <c r="C31" i="15"/>
  <c r="E28" i="15"/>
  <c r="F48" i="15"/>
  <c r="K43" i="15"/>
  <c r="J28" i="27"/>
  <c r="E70" i="15"/>
  <c r="D121" i="15"/>
  <c r="L96" i="15"/>
  <c r="H4" i="15"/>
  <c r="H61" i="15"/>
  <c r="J8" i="15"/>
  <c r="E80" i="15"/>
  <c r="D16" i="15"/>
  <c r="I121" i="15"/>
  <c r="J51" i="15"/>
  <c r="L63" i="15"/>
  <c r="C11" i="15"/>
  <c r="L10" i="15"/>
  <c r="G42" i="15"/>
  <c r="B29" i="15"/>
  <c r="J47" i="15"/>
  <c r="J53" i="15"/>
  <c r="D69" i="15"/>
  <c r="L67" i="15"/>
  <c r="I26" i="15"/>
  <c r="L115" i="15"/>
  <c r="G12" i="15"/>
  <c r="M76" i="15"/>
  <c r="B3" i="15"/>
  <c r="E43" i="15"/>
  <c r="J11" i="15"/>
  <c r="E35" i="15"/>
  <c r="L123" i="15"/>
  <c r="K49" i="15"/>
  <c r="C6" i="15"/>
  <c r="G16" i="15"/>
  <c r="L58" i="15"/>
  <c r="I77" i="15"/>
  <c r="H94" i="15"/>
  <c r="C116" i="15"/>
  <c r="B6" i="15"/>
  <c r="D82" i="15"/>
  <c r="D102" i="15"/>
  <c r="K62" i="15"/>
  <c r="D50" i="15"/>
  <c r="L5" i="15"/>
  <c r="B51" i="15"/>
  <c r="E27" i="15"/>
  <c r="J118" i="15"/>
  <c r="J37" i="15"/>
  <c r="C26" i="15"/>
  <c r="G19" i="15"/>
  <c r="E68" i="15"/>
  <c r="B10" i="15"/>
  <c r="B63" i="15"/>
  <c r="G95" i="15"/>
  <c r="E122" i="15"/>
  <c r="J29" i="27"/>
  <c r="I95" i="15"/>
  <c r="G109" i="15"/>
  <c r="H50" i="15"/>
  <c r="I46" i="15"/>
  <c r="E75" i="15"/>
  <c r="C42" i="15"/>
  <c r="E77" i="15"/>
  <c r="D63" i="15"/>
  <c r="J26" i="27"/>
  <c r="E46" i="15"/>
  <c r="M30" i="15"/>
  <c r="E84" i="15"/>
  <c r="F51" i="15"/>
  <c r="H86" i="15"/>
  <c r="K13" i="15"/>
  <c r="L119" i="15"/>
  <c r="H83" i="15"/>
  <c r="L9" i="15"/>
  <c r="C14" i="15"/>
  <c r="M78" i="15"/>
  <c r="F9" i="15"/>
  <c r="G86" i="15"/>
  <c r="K44" i="15"/>
  <c r="G18" i="15"/>
  <c r="I80" i="15"/>
  <c r="J110" i="15"/>
  <c r="G48" i="15"/>
  <c r="L16" i="15"/>
  <c r="B77" i="15"/>
  <c r="L17" i="15"/>
  <c r="J24" i="27"/>
  <c r="J20" i="15"/>
  <c r="I52" i="15"/>
  <c r="H117" i="15"/>
  <c r="H108" i="15"/>
  <c r="M77" i="15"/>
  <c r="J108" i="15"/>
  <c r="C59" i="15"/>
  <c r="F35" i="15"/>
  <c r="D3" i="15"/>
  <c r="H104" i="15"/>
  <c r="M109" i="15"/>
  <c r="L45" i="15"/>
  <c r="K79" i="15"/>
  <c r="K87" i="15"/>
  <c r="I44" i="15"/>
  <c r="F122" i="15"/>
  <c r="I122" i="15"/>
  <c r="I66" i="15"/>
  <c r="L6" i="15"/>
  <c r="I87" i="15"/>
  <c r="E106" i="15"/>
  <c r="E85" i="15"/>
  <c r="L46" i="15"/>
  <c r="L108" i="15"/>
  <c r="B86" i="15"/>
  <c r="J63" i="15"/>
  <c r="D116" i="15"/>
  <c r="H49" i="15"/>
  <c r="C34" i="15"/>
  <c r="F124" i="15"/>
  <c r="J62" i="15"/>
  <c r="J59" i="15"/>
  <c r="D61" i="15"/>
  <c r="H75" i="15"/>
  <c r="I79" i="15"/>
  <c r="D32" i="15"/>
  <c r="L93" i="15"/>
  <c r="D67" i="15"/>
  <c r="H26" i="15"/>
  <c r="H10" i="15"/>
  <c r="F95" i="15"/>
  <c r="M20" i="15"/>
  <c r="I47" i="15"/>
  <c r="D85" i="15"/>
  <c r="G31" i="15"/>
  <c r="K17" i="15"/>
  <c r="E51" i="15"/>
  <c r="D118" i="15"/>
  <c r="L60" i="15"/>
  <c r="C52" i="15"/>
  <c r="F117" i="15"/>
  <c r="F119" i="15"/>
  <c r="B45" i="5"/>
  <c r="J16" i="15"/>
  <c r="E52" i="15"/>
  <c r="M62" i="15"/>
  <c r="E19" i="15"/>
  <c r="F94" i="15"/>
  <c r="M28" i="15"/>
  <c r="L66" i="15"/>
  <c r="E14" i="15"/>
  <c r="J33" i="15"/>
  <c r="D11" i="15"/>
  <c r="M34" i="15"/>
  <c r="F67" i="15"/>
  <c r="M102" i="15"/>
  <c r="E67" i="15"/>
  <c r="B70" i="15"/>
  <c r="B50" i="15"/>
  <c r="J4" i="15"/>
  <c r="I30" i="15"/>
  <c r="M83" i="15"/>
  <c r="C78" i="15"/>
  <c r="M6" i="15"/>
  <c r="I92" i="15"/>
  <c r="H106" i="15"/>
  <c r="I67" i="15"/>
  <c r="M122" i="15"/>
  <c r="H12" i="15"/>
  <c r="M53" i="15"/>
  <c r="G50" i="15"/>
  <c r="M18" i="15"/>
  <c r="F59" i="15"/>
  <c r="B48" i="15"/>
  <c r="B46" i="15"/>
  <c r="J22" i="27"/>
  <c r="H63" i="15"/>
  <c r="C21" i="10"/>
  <c r="I116" i="15"/>
  <c r="G11" i="15"/>
  <c r="C21" i="8"/>
  <c r="B97" i="15"/>
  <c r="L70" i="15"/>
  <c r="G81" i="15"/>
  <c r="F81" i="15"/>
  <c r="D110" i="15"/>
  <c r="K18" i="15"/>
  <c r="D66" i="15"/>
  <c r="B8" i="15"/>
  <c r="D44" i="15"/>
  <c r="K76" i="15"/>
  <c r="F31" i="15"/>
  <c r="G21" i="15"/>
  <c r="J9" i="15"/>
  <c r="D58" i="15"/>
  <c r="I6" i="15"/>
  <c r="D15" i="15"/>
  <c r="C58" i="15"/>
  <c r="H80" i="15"/>
  <c r="K58" i="15"/>
  <c r="J109" i="15"/>
  <c r="F28" i="15"/>
  <c r="K16" i="15"/>
  <c r="I33" i="15"/>
  <c r="M17" i="15"/>
  <c r="L8" i="15"/>
  <c r="E82" i="15"/>
  <c r="J124" i="15"/>
  <c r="H45" i="15"/>
  <c r="I108" i="15"/>
  <c r="F29" i="15"/>
  <c r="F105" i="15"/>
  <c r="M32" i="15"/>
  <c r="L107" i="15"/>
  <c r="K21" i="15"/>
  <c r="C21" i="1"/>
  <c r="G15" i="15"/>
  <c r="E21" i="15"/>
  <c r="I103" i="15"/>
  <c r="B14" i="15"/>
  <c r="H85" i="15"/>
  <c r="F36" i="15"/>
  <c r="J65" i="15"/>
  <c r="C4" i="15"/>
  <c r="B42" i="15"/>
  <c r="I37" i="15"/>
  <c r="G43" i="15"/>
  <c r="I34" i="15"/>
  <c r="B11" i="22"/>
  <c r="F46" i="15"/>
  <c r="M95" i="15"/>
  <c r="J29" i="15"/>
  <c r="F93" i="15"/>
  <c r="L118" i="15"/>
  <c r="E83" i="15"/>
  <c r="D49" i="15"/>
  <c r="C21" i="5"/>
  <c r="K15" i="15"/>
  <c r="M104" i="15"/>
  <c r="I69" i="15"/>
  <c r="K11" i="15"/>
  <c r="F76" i="15"/>
  <c r="D115" i="15"/>
  <c r="I118" i="15"/>
  <c r="F70" i="15"/>
  <c r="M5" i="15"/>
  <c r="D68" i="15"/>
  <c r="L102" i="15"/>
  <c r="K69" i="15"/>
  <c r="C109" i="15"/>
  <c r="I10" i="15"/>
  <c r="G17" i="15"/>
  <c r="I27" i="15"/>
  <c r="D43" i="15"/>
  <c r="C8" i="15"/>
  <c r="H69" i="15"/>
  <c r="F84" i="15"/>
  <c r="G63" i="15"/>
  <c r="M7" i="15"/>
  <c r="I9" i="15"/>
  <c r="B45" i="1"/>
  <c r="H8" i="15"/>
  <c r="K51" i="15"/>
  <c r="G8" i="15"/>
  <c r="E63" i="15"/>
  <c r="E13" i="15"/>
  <c r="M43" i="15"/>
  <c r="B52" i="15"/>
  <c r="L85" i="15"/>
  <c r="I119" i="15"/>
  <c r="D27" i="15"/>
  <c r="E96" i="15"/>
  <c r="L109" i="15"/>
  <c r="M50" i="15"/>
  <c r="L21" i="15"/>
  <c r="H65" i="15"/>
  <c r="M86" i="15"/>
  <c r="B68" i="15"/>
  <c r="H79" i="15"/>
  <c r="K115" i="15"/>
  <c r="L14" i="15"/>
  <c r="F27" i="15"/>
  <c r="D84" i="15"/>
  <c r="C37" i="15"/>
  <c r="E7" i="15"/>
  <c r="I62" i="15"/>
  <c r="B64" i="15"/>
  <c r="C50" i="15"/>
  <c r="H102" i="15"/>
  <c r="I60" i="15"/>
  <c r="C15" i="15"/>
  <c r="M85" i="15"/>
  <c r="J104" i="15"/>
  <c r="C95" i="15"/>
  <c r="K124" i="15"/>
  <c r="H19" i="15"/>
  <c r="K19" i="15"/>
  <c r="M82" i="15"/>
  <c r="E3" i="15"/>
  <c r="M8" i="15"/>
  <c r="E47" i="15"/>
  <c r="L52" i="15"/>
  <c r="L28" i="15"/>
  <c r="I75" i="15"/>
  <c r="B21" i="15"/>
  <c r="G103" i="15"/>
  <c r="M3" i="15"/>
  <c r="K108" i="15"/>
  <c r="K34" i="15"/>
  <c r="I35" i="15"/>
  <c r="J12" i="15"/>
  <c r="C12" i="15"/>
  <c r="C67" i="15"/>
  <c r="H16" i="15"/>
  <c r="J93" i="15"/>
  <c r="J66" i="15"/>
  <c r="G10" i="15"/>
  <c r="L34" i="15"/>
  <c r="L110" i="15"/>
  <c r="J96" i="15"/>
  <c r="C110" i="15"/>
  <c r="M59" i="15"/>
  <c r="E97" i="15"/>
  <c r="L42" i="15"/>
  <c r="C119" i="15"/>
  <c r="J15" i="15"/>
  <c r="B84" i="15"/>
  <c r="J10" i="15"/>
  <c r="M68" i="15"/>
  <c r="C35" i="15"/>
  <c r="L36" i="15"/>
  <c r="I63" i="15"/>
  <c r="E48" i="15"/>
  <c r="K109" i="15"/>
  <c r="D47" i="15"/>
  <c r="J13" i="15"/>
  <c r="K121" i="15"/>
  <c r="I32" i="15"/>
  <c r="F83" i="15"/>
  <c r="E49" i="15"/>
  <c r="M48" i="15"/>
  <c r="J48" i="15"/>
  <c r="D42" i="15"/>
  <c r="L62" i="15"/>
  <c r="H66" i="15"/>
  <c r="G7" i="15"/>
  <c r="L92" i="15"/>
  <c r="C65" i="15"/>
  <c r="E92" i="15"/>
  <c r="E119" i="15"/>
  <c r="F20" i="15"/>
  <c r="E61" i="15"/>
  <c r="D94" i="15"/>
  <c r="E104" i="15"/>
  <c r="H77" i="15"/>
  <c r="D5" i="15"/>
  <c r="E34" i="15"/>
  <c r="I123" i="15"/>
  <c r="C68" i="15"/>
  <c r="L50" i="15"/>
  <c r="I51" i="15"/>
  <c r="M11" i="15"/>
  <c r="G115" i="15"/>
  <c r="G36" i="15"/>
  <c r="B34" i="15"/>
  <c r="E105" i="15"/>
  <c r="H34" i="15"/>
  <c r="B107" i="15"/>
  <c r="G62" i="15"/>
  <c r="H59" i="15"/>
  <c r="H48" i="15"/>
  <c r="B36" i="15"/>
  <c r="C82" i="15"/>
  <c r="D108" i="15"/>
  <c r="E120" i="15"/>
  <c r="B4" i="15"/>
  <c r="B26" i="15"/>
  <c r="J60" i="15"/>
  <c r="B60" i="15"/>
  <c r="M116" i="15"/>
  <c r="F77" i="15"/>
  <c r="D26" i="15"/>
  <c r="I58" i="15"/>
  <c r="B45" i="4"/>
  <c r="J86" i="15"/>
  <c r="H9" i="15"/>
  <c r="E108" i="15"/>
  <c r="E94" i="15"/>
  <c r="F62" i="15"/>
  <c r="F107" i="15"/>
  <c r="M66" i="15"/>
  <c r="H60" i="15"/>
  <c r="E81" i="15"/>
  <c r="C47" i="15"/>
  <c r="K122" i="15"/>
  <c r="D64" i="15"/>
  <c r="D122" i="15"/>
  <c r="C96" i="15"/>
  <c r="K96" i="15"/>
  <c r="I61" i="15"/>
  <c r="F80" i="15"/>
  <c r="F10" i="15"/>
  <c r="F13" i="15"/>
  <c r="C28" i="15"/>
  <c r="J122" i="15"/>
  <c r="F26" i="15"/>
  <c r="B96" i="15"/>
  <c r="H52" i="15"/>
  <c r="D30" i="15"/>
  <c r="B116" i="15"/>
  <c r="E79" i="15"/>
  <c r="K84" i="15"/>
  <c r="D92" i="15"/>
  <c r="L68" i="15"/>
  <c r="F50" i="15"/>
  <c r="J58" i="15"/>
  <c r="G84" i="15"/>
  <c r="D17" i="15"/>
  <c r="M35" i="15"/>
  <c r="D20" i="15"/>
  <c r="K5" i="15"/>
  <c r="I93" i="15"/>
  <c r="G110" i="15"/>
  <c r="J20" i="27"/>
  <c r="G117" i="15"/>
  <c r="C48" i="15"/>
  <c r="L106" i="15"/>
  <c r="D53" i="15"/>
  <c r="J43" i="15"/>
  <c r="M33" i="15"/>
  <c r="C92" i="15"/>
  <c r="K81" i="15"/>
  <c r="D48" i="15"/>
  <c r="L19" i="15"/>
  <c r="M124" i="15"/>
  <c r="I59" i="15"/>
  <c r="L47" i="15"/>
  <c r="C13" i="15"/>
  <c r="C86" i="15"/>
  <c r="D104" i="15"/>
  <c r="B117" i="15"/>
  <c r="H122" i="15"/>
  <c r="F37" i="15"/>
  <c r="E53" i="15"/>
  <c r="L82" i="15"/>
  <c r="M110" i="15"/>
  <c r="G97" i="15"/>
  <c r="I105" i="15"/>
  <c r="E116" i="15"/>
  <c r="D106" i="15"/>
  <c r="G94" i="15"/>
  <c r="H67" i="15"/>
  <c r="I31" i="15"/>
  <c r="K123" i="15"/>
  <c r="L51" i="15"/>
  <c r="L3" i="15"/>
  <c r="F45" i="15"/>
  <c r="F68" i="15"/>
  <c r="I84" i="15"/>
  <c r="G34" i="15"/>
  <c r="M42" i="15"/>
  <c r="L79" i="15"/>
  <c r="J27" i="15"/>
  <c r="J46" i="15"/>
  <c r="D95" i="15"/>
  <c r="H93" i="15"/>
  <c r="B19" i="15"/>
  <c r="K110" i="15"/>
  <c r="J34" i="15"/>
  <c r="F6" i="15"/>
  <c r="B115" i="15"/>
  <c r="F43" i="15"/>
  <c r="G85" i="15"/>
  <c r="D124" i="15"/>
  <c r="E45" i="15"/>
  <c r="G120" i="15"/>
  <c r="D10" i="15"/>
  <c r="B67" i="15"/>
  <c r="J17" i="15"/>
  <c r="B76" i="15"/>
  <c r="B9" i="15"/>
  <c r="D52" i="15"/>
  <c r="B58" i="15"/>
  <c r="D51" i="15"/>
  <c r="J115" i="15"/>
  <c r="J25" i="27"/>
  <c r="D33" i="15"/>
  <c r="H42" i="15"/>
  <c r="B87" i="15"/>
  <c r="C104" i="15"/>
  <c r="F4" i="15"/>
  <c r="E16" i="15"/>
  <c r="J31" i="15"/>
  <c r="L30" i="15"/>
  <c r="I21" i="15"/>
  <c r="B53" i="15"/>
  <c r="G35" i="15"/>
  <c r="J69" i="15"/>
  <c r="G65" i="15"/>
  <c r="B45" i="12"/>
  <c r="C81" i="15"/>
  <c r="G51" i="15"/>
  <c r="D77" i="15"/>
  <c r="F79" i="15"/>
  <c r="B49" i="15"/>
  <c r="I49" i="15"/>
  <c r="F86" i="15"/>
  <c r="F96" i="15"/>
  <c r="F19" i="15"/>
  <c r="H121" i="15"/>
  <c r="D75" i="15"/>
  <c r="H35" i="15"/>
  <c r="F32" i="15"/>
  <c r="G108" i="15"/>
  <c r="I43" i="15"/>
  <c r="M84" i="15"/>
  <c r="L76" i="15"/>
  <c r="F102" i="15"/>
  <c r="C103" i="15"/>
  <c r="G26" i="15"/>
  <c r="K32" i="15"/>
  <c r="M96" i="15"/>
  <c r="B102" i="15"/>
  <c r="B43" i="15"/>
  <c r="I16" i="15"/>
  <c r="G118" i="15"/>
  <c r="K85" i="15"/>
  <c r="K86" i="15"/>
  <c r="C84" i="15"/>
  <c r="K104" i="15"/>
  <c r="G121" i="15"/>
  <c r="K66" i="15"/>
  <c r="C107" i="15"/>
  <c r="D46" i="15"/>
  <c r="E36" i="15"/>
  <c r="H124" i="15"/>
  <c r="M14" i="15"/>
  <c r="E65" i="15"/>
  <c r="G45" i="15"/>
  <c r="M64" i="15"/>
  <c r="E69" i="15"/>
  <c r="G4" i="15"/>
  <c r="H21" i="15"/>
  <c r="G6" i="15"/>
  <c r="J32" i="15"/>
  <c r="D79" i="15"/>
  <c r="H43" i="15"/>
  <c r="M119" i="15"/>
  <c r="F75" i="15"/>
  <c r="C102" i="15"/>
  <c r="L15" i="15"/>
  <c r="C9" i="15"/>
  <c r="M120" i="15"/>
  <c r="L86" i="15"/>
  <c r="G5" i="15"/>
  <c r="H97" i="15"/>
  <c r="K118" i="15"/>
  <c r="E6" i="15"/>
  <c r="I85" i="15"/>
  <c r="M105" i="15"/>
  <c r="J21" i="15"/>
  <c r="K75" i="15"/>
  <c r="I97" i="15"/>
  <c r="F109" i="15"/>
  <c r="H109" i="15"/>
  <c r="E124" i="15"/>
  <c r="M75" i="15"/>
  <c r="F21" i="15"/>
  <c r="B104" i="15"/>
  <c r="H51" i="15"/>
  <c r="H115" i="15"/>
  <c r="H118" i="15"/>
  <c r="I15" i="15"/>
  <c r="G119" i="15"/>
  <c r="G47" i="15"/>
  <c r="D28" i="15"/>
  <c r="L12" i="15"/>
  <c r="J105" i="15"/>
  <c r="M47" i="15"/>
  <c r="D62" i="15"/>
  <c r="H92" i="15"/>
  <c r="M19" i="15"/>
  <c r="C69" i="15"/>
  <c r="L65" i="15"/>
  <c r="B45" i="2"/>
  <c r="L87" i="15"/>
  <c r="C33" i="15"/>
  <c r="B62" i="15"/>
  <c r="E86" i="15"/>
  <c r="K95" i="15"/>
  <c r="B31" i="15"/>
  <c r="K107" i="15"/>
  <c r="I86" i="15"/>
  <c r="H31" i="15"/>
  <c r="G37" i="15"/>
  <c r="G83" i="15"/>
  <c r="H3" i="15"/>
  <c r="J27" i="27"/>
  <c r="F110" i="15"/>
  <c r="K4" i="15"/>
  <c r="J78" i="15"/>
  <c r="C32" i="15"/>
  <c r="L122" i="15"/>
  <c r="D18" i="15"/>
  <c r="K3" i="15"/>
  <c r="C64" i="15"/>
  <c r="G68" i="15"/>
  <c r="J76" i="15"/>
  <c r="I115" i="15"/>
  <c r="E37" i="15"/>
  <c r="F64" i="15"/>
  <c r="I83" i="15"/>
  <c r="E9" i="15"/>
  <c r="C85" i="15"/>
  <c r="M44" i="15"/>
  <c r="M69" i="15"/>
  <c r="J35" i="15"/>
  <c r="F58" i="15"/>
  <c r="J49" i="15"/>
  <c r="F87" i="15"/>
  <c r="E44" i="15"/>
  <c r="J5" i="15"/>
  <c r="B69" i="15"/>
  <c r="I76" i="15"/>
  <c r="E31" i="15"/>
  <c r="M27" i="15"/>
  <c r="F53" i="15"/>
  <c r="D65" i="15"/>
  <c r="B28" i="15"/>
  <c r="B44" i="10"/>
  <c r="B103" i="15"/>
  <c r="L20" i="15"/>
  <c r="K116" i="15"/>
  <c r="G105" i="15"/>
  <c r="D70" i="15"/>
  <c r="G124" i="15"/>
  <c r="C121" i="15"/>
  <c r="H29" i="15"/>
  <c r="G53" i="15"/>
  <c r="E102" i="15"/>
  <c r="J116" i="15"/>
  <c r="K9" i="15"/>
  <c r="B45" i="9"/>
  <c r="I104" i="15"/>
  <c r="M70" i="15"/>
  <c r="G27" i="15"/>
  <c r="F47" i="15"/>
  <c r="F123" i="15"/>
  <c r="J83" i="15"/>
  <c r="J7" i="15"/>
  <c r="B61" i="15"/>
  <c r="C10" i="15"/>
  <c r="G79" i="15"/>
  <c r="D109" i="15"/>
  <c r="B118" i="15"/>
  <c r="H96" i="15"/>
  <c r="I45" i="15"/>
  <c r="D86" i="15"/>
  <c r="B45" i="10"/>
  <c r="C80" i="15"/>
  <c r="F3" i="15"/>
  <c r="E123" i="15"/>
  <c r="C21" i="15"/>
  <c r="M58" i="15"/>
  <c r="L26" i="15"/>
  <c r="C117" i="15"/>
  <c r="F82" i="15"/>
  <c r="K45" i="15"/>
  <c r="E20" i="15"/>
  <c r="H46" i="15"/>
  <c r="J80" i="15"/>
  <c r="H5" i="15"/>
  <c r="K70" i="15"/>
  <c r="C97" i="15"/>
  <c r="D4" i="15"/>
  <c r="B123" i="15"/>
  <c r="D78" i="15"/>
  <c r="G49" i="15"/>
  <c r="E33" i="15"/>
  <c r="I3" i="15"/>
  <c r="H107" i="15"/>
  <c r="H37" i="15"/>
  <c r="B106" i="15"/>
  <c r="J77" i="15"/>
  <c r="M81" i="15"/>
  <c r="M60" i="15"/>
  <c r="I12" i="15"/>
  <c r="E107" i="15"/>
  <c r="F16" i="15"/>
  <c r="E17" i="15"/>
  <c r="C49" i="15"/>
  <c r="M16" i="15"/>
  <c r="C53" i="15"/>
  <c r="I20" i="15"/>
  <c r="M9" i="15"/>
  <c r="F8" i="15"/>
  <c r="H82" i="15"/>
  <c r="K50" i="15"/>
  <c r="C66" i="15"/>
  <c r="G75" i="15"/>
  <c r="M46" i="15"/>
  <c r="E78" i="15"/>
  <c r="G67" i="15"/>
  <c r="M29" i="15"/>
  <c r="J103" i="15"/>
  <c r="H103" i="15"/>
  <c r="K8" i="15"/>
  <c r="D14" i="15"/>
  <c r="H68" i="15"/>
  <c r="K46" i="15"/>
  <c r="M61" i="15"/>
  <c r="B47" i="15"/>
  <c r="G9" i="15"/>
  <c r="G80" i="15"/>
  <c r="M93" i="15"/>
  <c r="C21" i="6"/>
  <c r="J18" i="15"/>
  <c r="K77" i="15"/>
  <c r="F44" i="15"/>
  <c r="E66" i="15"/>
  <c r="H110" i="15"/>
  <c r="C21" i="7"/>
  <c r="L4" i="15"/>
  <c r="F30" i="15"/>
  <c r="F42" i="15"/>
  <c r="C43" i="15"/>
  <c r="J123" i="15"/>
  <c r="L105" i="15"/>
  <c r="G46" i="15"/>
  <c r="L31" i="15"/>
  <c r="I102" i="15"/>
  <c r="K120" i="15"/>
  <c r="C63" i="15"/>
  <c r="C51" i="15"/>
  <c r="H30" i="15"/>
  <c r="M49" i="15"/>
  <c r="M115" i="15"/>
  <c r="B92" i="15"/>
  <c r="J21" i="27"/>
  <c r="C124" i="15"/>
  <c r="L80" i="15"/>
  <c r="B122" i="15"/>
  <c r="B66" i="15"/>
  <c r="G104" i="15"/>
  <c r="I107" i="15"/>
  <c r="G13" i="15"/>
  <c r="H105" i="15"/>
  <c r="B109" i="15"/>
  <c r="L124" i="15"/>
  <c r="B13" i="15"/>
  <c r="C60" i="15"/>
  <c r="J30" i="15"/>
  <c r="D80" i="15"/>
  <c r="F49" i="15"/>
  <c r="J85" i="15"/>
  <c r="C75" i="15"/>
  <c r="G58" i="15"/>
  <c r="G64" i="15"/>
  <c r="D105" i="15"/>
  <c r="B27" i="15"/>
  <c r="D36" i="15"/>
  <c r="L48" i="15"/>
  <c r="D119" i="15"/>
  <c r="G106" i="15"/>
  <c r="F116" i="15"/>
  <c r="I29" i="15"/>
  <c r="H47" i="15"/>
  <c r="F69" i="15"/>
  <c r="F7" i="15"/>
  <c r="L84" i="15"/>
  <c r="L27" i="15"/>
  <c r="F61" i="15"/>
  <c r="H53" i="15"/>
  <c r="K10" i="15"/>
  <c r="K31" i="15"/>
  <c r="J50" i="15"/>
  <c r="G77" i="15"/>
  <c r="E5" i="15"/>
  <c r="F104" i="15"/>
  <c r="C93" i="15"/>
  <c r="C62" i="15"/>
  <c r="B121" i="15"/>
  <c r="E95" i="15"/>
  <c r="I42" i="15"/>
  <c r="G59" i="15"/>
  <c r="K80" i="15"/>
  <c r="K63" i="15"/>
  <c r="K48" i="15"/>
  <c r="E18" i="15"/>
  <c r="G66" i="15"/>
  <c r="H81" i="15"/>
  <c r="K93" i="15"/>
  <c r="M87" i="15"/>
  <c r="F33" i="15"/>
  <c r="L61" i="15"/>
  <c r="K53" i="15"/>
  <c r="F18" i="15"/>
  <c r="H28" i="15"/>
  <c r="M15" i="15"/>
  <c r="K26" i="15"/>
  <c r="K14" i="15"/>
  <c r="E103" i="15"/>
  <c r="J107" i="15"/>
  <c r="G123" i="15"/>
  <c r="C7" i="15"/>
  <c r="L11" i="15"/>
  <c r="B110" i="15"/>
  <c r="M10" i="15"/>
  <c r="C18" i="15"/>
  <c r="L33" i="15"/>
  <c r="E12" i="15"/>
  <c r="G28" i="15"/>
  <c r="B65" i="15"/>
  <c r="L104" i="15"/>
  <c r="K20" i="15"/>
  <c r="L64" i="15"/>
  <c r="E10" i="15"/>
  <c r="B35" i="15"/>
  <c r="F118" i="15"/>
  <c r="H84" i="15"/>
  <c r="J95" i="15"/>
  <c r="H11" i="15"/>
  <c r="F17" i="15"/>
  <c r="C87" i="15"/>
  <c r="M12" i="15"/>
  <c r="K29" i="15"/>
  <c r="K65" i="15"/>
  <c r="G61" i="15"/>
  <c r="M123" i="15"/>
  <c r="H15" i="15"/>
  <c r="C21" i="4"/>
  <c r="K47" i="15"/>
  <c r="E30" i="15"/>
  <c r="F12" i="15"/>
  <c r="H20" i="15"/>
  <c r="I70" i="15"/>
  <c r="D45" i="15"/>
  <c r="B7" i="15"/>
  <c r="J61" i="15"/>
  <c r="I64" i="15"/>
  <c r="M117" i="15"/>
  <c r="B80" i="15"/>
  <c r="K42" i="15"/>
  <c r="F97" i="15"/>
  <c r="D107" i="15"/>
  <c r="L116" i="15"/>
  <c r="K97" i="15"/>
  <c r="C16" i="15"/>
  <c r="C61" i="15"/>
  <c r="G107" i="15"/>
  <c r="M31" i="15"/>
  <c r="L78" i="15"/>
  <c r="E87" i="15"/>
  <c r="E76" i="15"/>
  <c r="M106" i="15"/>
  <c r="E121" i="15"/>
  <c r="F11" i="15"/>
  <c r="C76" i="15"/>
  <c r="I109" i="15"/>
  <c r="M97" i="15"/>
  <c r="K6" i="15"/>
  <c r="G70" i="15"/>
  <c r="B83" i="15"/>
  <c r="D9" i="15"/>
  <c r="H95" i="15"/>
  <c r="E64" i="15"/>
  <c r="L69" i="15"/>
  <c r="B45" i="15"/>
  <c r="H116" i="15"/>
  <c r="J28" i="15"/>
  <c r="B95" i="15"/>
  <c r="I48" i="15"/>
  <c r="D87" i="15"/>
  <c r="F120" i="15"/>
  <c r="B93" i="15"/>
  <c r="Q45" i="2"/>
  <c r="C70" i="15"/>
  <c r="C115" i="15"/>
  <c r="D120" i="15"/>
  <c r="H119" i="15"/>
  <c r="C3" i="15"/>
  <c r="D83" i="15"/>
  <c r="L43" i="15"/>
  <c r="L120" i="15"/>
  <c r="K83" i="15"/>
  <c r="K36" i="15"/>
  <c r="M63" i="15"/>
  <c r="B16" i="15"/>
  <c r="D7" i="15"/>
  <c r="K33" i="15"/>
  <c r="E117" i="15"/>
  <c r="M26" i="15"/>
  <c r="H14" i="15"/>
  <c r="H32" i="15"/>
  <c r="D35" i="15"/>
  <c r="H123" i="15"/>
  <c r="B45" i="7"/>
  <c r="K35" i="15"/>
  <c r="C20" i="15"/>
  <c r="J64" i="15"/>
  <c r="B81" i="15"/>
  <c r="G33" i="15"/>
  <c r="G87" i="15"/>
  <c r="J44" i="15"/>
  <c r="L121" i="15"/>
  <c r="L49" i="15"/>
  <c r="I36" i="15"/>
  <c r="B120" i="15"/>
  <c r="M36" i="15"/>
  <c r="G116" i="15"/>
  <c r="J84" i="15"/>
  <c r="C5" i="15"/>
  <c r="C108" i="15"/>
  <c r="F5" i="15"/>
  <c r="K119" i="15"/>
  <c r="E115" i="15"/>
  <c r="H64" i="15"/>
  <c r="H58" i="15"/>
  <c r="M13" i="15"/>
  <c r="K59" i="15"/>
  <c r="C77" i="15"/>
  <c r="L37" i="15"/>
  <c r="D21" i="15"/>
  <c r="J6" i="15"/>
  <c r="J45" i="15"/>
  <c r="B17" i="15"/>
  <c r="I4" i="15"/>
  <c r="M94" i="15"/>
  <c r="D97" i="15"/>
  <c r="K68" i="15"/>
  <c r="I65" i="15"/>
  <c r="C21" i="11"/>
  <c r="I53" i="15"/>
  <c r="L94" i="15"/>
  <c r="B59" i="15"/>
  <c r="M37" i="15"/>
  <c r="K64" i="15"/>
  <c r="M103" i="15"/>
  <c r="D31" i="15"/>
  <c r="M121" i="15"/>
  <c r="D103" i="15"/>
  <c r="B20" i="15"/>
  <c r="C94" i="15"/>
  <c r="M79" i="15"/>
  <c r="L83" i="15"/>
  <c r="H70" i="15"/>
  <c r="I82" i="15"/>
  <c r="C123" i="15"/>
  <c r="G96" i="15"/>
  <c r="I117" i="15"/>
  <c r="H87" i="15"/>
  <c r="K92" i="15"/>
  <c r="K30" i="15"/>
  <c r="I18" i="15"/>
  <c r="B45" i="3"/>
  <c r="M65" i="15"/>
  <c r="B45" i="8"/>
  <c r="C44" i="15"/>
  <c r="I110" i="15"/>
  <c r="E42" i="15"/>
  <c r="M52" i="15"/>
  <c r="H27" i="15"/>
  <c r="D13" i="15"/>
  <c r="G30" i="15"/>
  <c r="F66" i="15"/>
  <c r="M118" i="15"/>
  <c r="B44" i="15"/>
  <c r="J67" i="15"/>
  <c r="K102" i="15"/>
  <c r="B18" i="15"/>
  <c r="J19" i="15"/>
  <c r="J102" i="15"/>
  <c r="F106" i="15"/>
  <c r="E60" i="15"/>
  <c r="F65" i="15"/>
  <c r="G93" i="15"/>
  <c r="E110" i="15"/>
  <c r="J120" i="15"/>
  <c r="G32" i="15"/>
  <c r="D37" i="15"/>
  <c r="K94" i="15"/>
  <c r="K82" i="15"/>
  <c r="B124" i="15"/>
  <c r="I124" i="15"/>
  <c r="G122" i="15"/>
  <c r="G52" i="15"/>
  <c r="E4" i="15"/>
  <c r="C19" i="15"/>
  <c r="J19" i="27"/>
  <c r="E8" i="15"/>
  <c r="E50" i="15"/>
  <c r="I28" i="15"/>
  <c r="J36" i="15"/>
  <c r="B37" i="15"/>
  <c r="F92" i="15"/>
  <c r="K60" i="15"/>
  <c r="F85" i="15"/>
  <c r="L97" i="15"/>
  <c r="J26" i="15"/>
  <c r="K103" i="15"/>
  <c r="E62" i="15"/>
  <c r="J97" i="15"/>
  <c r="C106" i="15"/>
  <c r="K61" i="15"/>
  <c r="J106" i="15"/>
  <c r="H120" i="15"/>
  <c r="J52" i="15"/>
  <c r="G60" i="15"/>
  <c r="C79" i="15"/>
  <c r="D29" i="15"/>
  <c r="H76" i="15"/>
  <c r="E109" i="15"/>
  <c r="L13" i="15"/>
  <c r="J70" i="15"/>
  <c r="L77" i="15"/>
  <c r="J75" i="15"/>
  <c r="C122" i="15"/>
  <c r="G14" i="15"/>
  <c r="L44" i="15"/>
  <c r="J79" i="15"/>
  <c r="C36" i="15"/>
  <c r="I7" i="15"/>
  <c r="M21" i="15"/>
  <c r="F34" i="15"/>
  <c r="B33" i="15"/>
  <c r="I5" i="15"/>
  <c r="J87" i="15"/>
  <c r="I120" i="15"/>
  <c r="G44" i="15"/>
  <c r="D59" i="15"/>
  <c r="C29" i="15"/>
  <c r="L7" i="15"/>
  <c r="D76" i="15"/>
  <c r="K12" i="15"/>
  <c r="H44" i="15"/>
  <c r="E58" i="15"/>
  <c r="H18" i="15"/>
  <c r="J42" i="15"/>
  <c r="D93" i="15"/>
  <c r="I19" i="15"/>
  <c r="L32" i="15"/>
  <c r="B105" i="15"/>
  <c r="G92" i="15"/>
  <c r="C83" i="15"/>
  <c r="K28" i="15"/>
  <c r="G78" i="15"/>
  <c r="C45" i="15"/>
  <c r="D8" i="15"/>
  <c r="L75" i="15"/>
  <c r="F115" i="15"/>
  <c r="F63" i="15"/>
  <c r="G3" i="15"/>
  <c r="B75" i="15"/>
  <c r="E93" i="15"/>
  <c r="L117" i="15"/>
  <c r="D81" i="15"/>
  <c r="E15" i="15"/>
  <c r="I78" i="15"/>
  <c r="B45" i="6"/>
  <c r="C17" i="15"/>
  <c r="K105" i="15"/>
  <c r="J3" i="15"/>
  <c r="I96" i="15"/>
  <c r="B5" i="15"/>
  <c r="D96" i="15"/>
  <c r="J119" i="15"/>
  <c r="G76" i="15"/>
  <c r="C105" i="15"/>
  <c r="I68" i="15"/>
  <c r="B108" i="15"/>
  <c r="L81" i="15"/>
  <c r="C21" i="3"/>
  <c r="B12" i="15"/>
  <c r="K27" i="15"/>
  <c r="H17" i="15"/>
  <c r="J23" i="27"/>
  <c r="I17" i="15"/>
  <c r="G82" i="15"/>
  <c r="M80" i="15"/>
  <c r="I13" i="15"/>
  <c r="C21" i="12"/>
  <c r="B45" i="11"/>
  <c r="B94" i="15"/>
  <c r="J14" i="15"/>
  <c r="H62" i="15"/>
  <c r="F78" i="15"/>
  <c r="B32" i="15"/>
  <c r="H78" i="15"/>
  <c r="M45" i="15"/>
  <c r="H33" i="15"/>
  <c r="E29" i="15"/>
  <c r="C21" i="9"/>
  <c r="J92" i="15"/>
  <c r="I50" i="15"/>
  <c r="I8" i="15"/>
  <c r="G20" i="15"/>
  <c r="C27" i="15"/>
  <c r="J68" i="15"/>
  <c r="I81" i="15"/>
  <c r="F52" i="15"/>
  <c r="B11" i="15"/>
  <c r="L103" i="15"/>
  <c r="I94" i="15"/>
  <c r="E11" i="15"/>
  <c r="D117" i="15"/>
  <c r="M4" i="15"/>
  <c r="M98" i="15" l="1"/>
  <c r="M99" i="15" s="1"/>
  <c r="H88" i="15"/>
  <c r="H89" i="15" s="1"/>
  <c r="B61" i="18"/>
  <c r="E61" i="18"/>
  <c r="P61" i="15"/>
  <c r="R61" i="15" s="1"/>
  <c r="K61" i="18"/>
  <c r="I61" i="18"/>
  <c r="D61" i="18"/>
  <c r="L61" i="18"/>
  <c r="J61" i="18"/>
  <c r="N61" i="15"/>
  <c r="H61" i="18"/>
  <c r="C61" i="18"/>
  <c r="M61" i="18"/>
  <c r="F61" i="18"/>
  <c r="G61" i="18"/>
  <c r="C29" i="18"/>
  <c r="B29" i="18"/>
  <c r="G29" i="18"/>
  <c r="F29" i="18"/>
  <c r="J29" i="18"/>
  <c r="L29" i="18"/>
  <c r="N29" i="15"/>
  <c r="K29" i="18"/>
  <c r="M29" i="18"/>
  <c r="I29" i="18"/>
  <c r="D29" i="18"/>
  <c r="P29" i="15"/>
  <c r="R29" i="15" s="1"/>
  <c r="H29" i="18"/>
  <c r="E29" i="18"/>
  <c r="G13" i="18"/>
  <c r="L13" i="18"/>
  <c r="P13" i="15"/>
  <c r="R13" i="15" s="1"/>
  <c r="K13" i="18"/>
  <c r="J13" i="18"/>
  <c r="N13" i="15"/>
  <c r="F13" i="18"/>
  <c r="I13" i="18"/>
  <c r="E13" i="18"/>
  <c r="C13" i="18"/>
  <c r="D13" i="18"/>
  <c r="B11" i="34"/>
  <c r="C11" i="34" s="1"/>
  <c r="F11" i="34" s="1"/>
  <c r="G11" i="34" s="1"/>
  <c r="M13" i="18"/>
  <c r="B13" i="18"/>
  <c r="H13" i="18"/>
  <c r="F84" i="18"/>
  <c r="G84" i="18"/>
  <c r="K84" i="18"/>
  <c r="B31" i="34"/>
  <c r="C31" i="34" s="1"/>
  <c r="F31" i="34" s="1"/>
  <c r="C84" i="18"/>
  <c r="D84" i="18"/>
  <c r="J84" i="18"/>
  <c r="H84" i="18"/>
  <c r="P84" i="15"/>
  <c r="R84" i="15" s="1"/>
  <c r="B84" i="18"/>
  <c r="I84" i="18"/>
  <c r="L84" i="18"/>
  <c r="E84" i="18"/>
  <c r="M84" i="18"/>
  <c r="N84" i="15"/>
  <c r="P87" i="15"/>
  <c r="R87" i="15" s="1"/>
  <c r="D87" i="18"/>
  <c r="J87" i="18"/>
  <c r="K87" i="18"/>
  <c r="N87" i="15"/>
  <c r="H87" i="18"/>
  <c r="L87" i="18"/>
  <c r="C87" i="18"/>
  <c r="F87" i="18"/>
  <c r="M87" i="18"/>
  <c r="I87" i="18"/>
  <c r="E87" i="18"/>
  <c r="G87" i="18"/>
  <c r="B87" i="18"/>
  <c r="P122" i="15"/>
  <c r="R122" i="15" s="1"/>
  <c r="J122" i="18"/>
  <c r="M122" i="18"/>
  <c r="L122" i="18"/>
  <c r="H122" i="18"/>
  <c r="E122" i="18"/>
  <c r="C122" i="18"/>
  <c r="B122" i="18"/>
  <c r="F122" i="18"/>
  <c r="I122" i="18"/>
  <c r="G122" i="18"/>
  <c r="D122" i="18"/>
  <c r="N122" i="15"/>
  <c r="K122" i="18"/>
  <c r="K38" i="15"/>
  <c r="K39" i="15" s="1"/>
  <c r="K125" i="15"/>
  <c r="K133" i="15" s="1"/>
  <c r="D31" i="18"/>
  <c r="F31" i="18"/>
  <c r="H31" i="18"/>
  <c r="G31" i="18"/>
  <c r="L31" i="18"/>
  <c r="M31" i="18"/>
  <c r="I31" i="18"/>
  <c r="P31" i="15"/>
  <c r="R31" i="15" s="1"/>
  <c r="E31" i="18"/>
  <c r="J31" i="18"/>
  <c r="C31" i="18"/>
  <c r="K31" i="18"/>
  <c r="B19" i="34"/>
  <c r="C19" i="34" s="1"/>
  <c r="F19" i="34" s="1"/>
  <c r="G19" i="34" s="1"/>
  <c r="N31" i="15"/>
  <c r="B31" i="18"/>
  <c r="M38" i="15"/>
  <c r="C15" i="25" s="1"/>
  <c r="P96" i="15"/>
  <c r="R96" i="15" s="1"/>
  <c r="N96" i="15"/>
  <c r="E96" i="18"/>
  <c r="I96" i="18"/>
  <c r="G96" i="18"/>
  <c r="B96" i="18"/>
  <c r="H96" i="18"/>
  <c r="M96" i="18"/>
  <c r="C96" i="18"/>
  <c r="L96" i="18"/>
  <c r="D96" i="18"/>
  <c r="J96" i="18"/>
  <c r="K96" i="18"/>
  <c r="F96" i="18"/>
  <c r="N105" i="15"/>
  <c r="J105" i="18"/>
  <c r="G105" i="18"/>
  <c r="B35" i="34"/>
  <c r="C35" i="34" s="1"/>
  <c r="F35" i="34" s="1"/>
  <c r="G35" i="34" s="1"/>
  <c r="C105" i="18"/>
  <c r="E105" i="18"/>
  <c r="P105" i="15"/>
  <c r="R105" i="15" s="1"/>
  <c r="M105" i="18"/>
  <c r="I105" i="18"/>
  <c r="K105" i="18"/>
  <c r="D105" i="18"/>
  <c r="B105" i="18"/>
  <c r="F105" i="18"/>
  <c r="L105" i="18"/>
  <c r="H105" i="18"/>
  <c r="K98" i="15"/>
  <c r="G13" i="25" s="1"/>
  <c r="F80" i="18"/>
  <c r="K80" i="18"/>
  <c r="C80" i="18"/>
  <c r="B80" i="18"/>
  <c r="P80" i="15"/>
  <c r="R80" i="15" s="1"/>
  <c r="B29" i="34"/>
  <c r="C29" i="34" s="1"/>
  <c r="F29" i="34" s="1"/>
  <c r="G29" i="34" s="1"/>
  <c r="J80" i="18"/>
  <c r="M80" i="18"/>
  <c r="N80" i="15"/>
  <c r="I80" i="18"/>
  <c r="D80" i="18"/>
  <c r="E80" i="18"/>
  <c r="H80" i="18"/>
  <c r="G80" i="18"/>
  <c r="L80" i="18"/>
  <c r="I125" i="15"/>
  <c r="I133" i="15" s="1"/>
  <c r="B19" i="18"/>
  <c r="F19" i="18"/>
  <c r="E19" i="18"/>
  <c r="K19" i="18"/>
  <c r="G19" i="18"/>
  <c r="M19" i="18"/>
  <c r="L19" i="18"/>
  <c r="N19" i="15"/>
  <c r="J19" i="18"/>
  <c r="D19" i="18"/>
  <c r="H19" i="18"/>
  <c r="P19" i="15"/>
  <c r="R19" i="15" s="1"/>
  <c r="C19" i="18"/>
  <c r="I19" i="18"/>
  <c r="P27" i="15"/>
  <c r="R27" i="15" s="1"/>
  <c r="F27" i="18"/>
  <c r="G27" i="18"/>
  <c r="D27" i="18"/>
  <c r="N27" i="15"/>
  <c r="H27" i="18"/>
  <c r="J27" i="18"/>
  <c r="K27" i="18"/>
  <c r="I27" i="18"/>
  <c r="M27" i="18"/>
  <c r="B27" i="18"/>
  <c r="C27" i="18"/>
  <c r="E27" i="18"/>
  <c r="L27" i="18"/>
  <c r="E124" i="18"/>
  <c r="L124" i="18"/>
  <c r="M124" i="18"/>
  <c r="G124" i="18"/>
  <c r="P124" i="15"/>
  <c r="R124" i="15" s="1"/>
  <c r="F124" i="18"/>
  <c r="B124" i="18"/>
  <c r="D124" i="18"/>
  <c r="N124" i="15"/>
  <c r="H124" i="18"/>
  <c r="C124" i="18"/>
  <c r="I124" i="18"/>
  <c r="K124" i="18"/>
  <c r="J124" i="18"/>
  <c r="J75" i="18"/>
  <c r="P75" i="15"/>
  <c r="R75" i="15" s="1"/>
  <c r="L75" i="18"/>
  <c r="I75" i="18"/>
  <c r="E75" i="18"/>
  <c r="K75" i="18"/>
  <c r="F75" i="18"/>
  <c r="D75" i="18"/>
  <c r="H75" i="18"/>
  <c r="N75" i="15"/>
  <c r="G75" i="18"/>
  <c r="B88" i="15"/>
  <c r="F4" i="25" s="1"/>
  <c r="F20" i="25" s="1"/>
  <c r="C75" i="18"/>
  <c r="B75" i="18"/>
  <c r="M75" i="18"/>
  <c r="L5" i="18"/>
  <c r="G5" i="18"/>
  <c r="D5" i="18"/>
  <c r="M5" i="18"/>
  <c r="E5" i="18"/>
  <c r="F5" i="18"/>
  <c r="H5" i="18"/>
  <c r="J5" i="18"/>
  <c r="B5" i="34"/>
  <c r="C5" i="34" s="1"/>
  <c r="F5" i="34" s="1"/>
  <c r="G5" i="34" s="1"/>
  <c r="K5" i="18"/>
  <c r="I5" i="18"/>
  <c r="N5" i="15"/>
  <c r="P5" i="15"/>
  <c r="R5" i="15" s="1"/>
  <c r="C5" i="18"/>
  <c r="B5" i="18"/>
  <c r="F92" i="18"/>
  <c r="J92" i="18"/>
  <c r="B32" i="34"/>
  <c r="C32" i="34" s="1"/>
  <c r="F32" i="34" s="1"/>
  <c r="G32" i="34" s="1"/>
  <c r="B92" i="18"/>
  <c r="P92" i="15"/>
  <c r="R92" i="15" s="1"/>
  <c r="G92" i="18"/>
  <c r="C92" i="18"/>
  <c r="H92" i="18"/>
  <c r="I92" i="18"/>
  <c r="B98" i="15"/>
  <c r="G4" i="25" s="1"/>
  <c r="G20" i="25" s="1"/>
  <c r="D92" i="18"/>
  <c r="L92" i="18"/>
  <c r="K92" i="18"/>
  <c r="M92" i="18"/>
  <c r="N92" i="15"/>
  <c r="E92" i="18"/>
  <c r="B18" i="34"/>
  <c r="C18" i="34" s="1"/>
  <c r="F18" i="34" s="1"/>
  <c r="G18" i="34" s="1"/>
  <c r="N30" i="15"/>
  <c r="M30" i="18"/>
  <c r="I30" i="18"/>
  <c r="E30" i="18"/>
  <c r="F30" i="18"/>
  <c r="J30" i="18"/>
  <c r="K30" i="18"/>
  <c r="B30" i="18"/>
  <c r="H30" i="18"/>
  <c r="D30" i="18"/>
  <c r="L30" i="18"/>
  <c r="P30" i="15"/>
  <c r="R30" i="15" s="1"/>
  <c r="C30" i="18"/>
  <c r="G30" i="18"/>
  <c r="H44" i="18"/>
  <c r="F44" i="18"/>
  <c r="J44" i="18"/>
  <c r="M44" i="18"/>
  <c r="E44" i="18"/>
  <c r="D44" i="18"/>
  <c r="K44" i="18"/>
  <c r="N44" i="15"/>
  <c r="L44" i="18"/>
  <c r="I44" i="18"/>
  <c r="P44" i="15"/>
  <c r="R44" i="15" s="1"/>
  <c r="G44" i="18"/>
  <c r="B44" i="18"/>
  <c r="C44" i="18"/>
  <c r="C125" i="15"/>
  <c r="C126" i="15" s="1"/>
  <c r="F6" i="18"/>
  <c r="J6" i="18"/>
  <c r="E6" i="18"/>
  <c r="H6" i="18"/>
  <c r="B6" i="18"/>
  <c r="L6" i="18"/>
  <c r="B6" i="34"/>
  <c r="C6" i="34" s="1"/>
  <c r="F6" i="34" s="1"/>
  <c r="G6" i="34" s="1"/>
  <c r="I6" i="18"/>
  <c r="M6" i="18"/>
  <c r="P6" i="15"/>
  <c r="R6" i="15" s="1"/>
  <c r="K6" i="18"/>
  <c r="D6" i="18"/>
  <c r="G6" i="18"/>
  <c r="N6" i="15"/>
  <c r="C6" i="18"/>
  <c r="L88" i="15"/>
  <c r="F14" i="25" s="1"/>
  <c r="K111" i="15"/>
  <c r="K112" i="15" s="1"/>
  <c r="B52" i="18"/>
  <c r="H52" i="18"/>
  <c r="J52" i="18"/>
  <c r="C52" i="18"/>
  <c r="D52" i="18"/>
  <c r="F52" i="18"/>
  <c r="N52" i="15"/>
  <c r="M52" i="18"/>
  <c r="P52" i="15"/>
  <c r="R52" i="15" s="1"/>
  <c r="I52" i="18"/>
  <c r="G52" i="18"/>
  <c r="L52" i="18"/>
  <c r="K52" i="18"/>
  <c r="E52" i="18"/>
  <c r="M24" i="27"/>
  <c r="H22" i="15"/>
  <c r="H23" i="15" s="1"/>
  <c r="L109" i="18"/>
  <c r="D109" i="18"/>
  <c r="N109" i="15"/>
  <c r="M109" i="18"/>
  <c r="G109" i="18"/>
  <c r="F109" i="18"/>
  <c r="J109" i="18"/>
  <c r="E109" i="18"/>
  <c r="K109" i="18"/>
  <c r="H109" i="18"/>
  <c r="C109" i="18"/>
  <c r="P109" i="15"/>
  <c r="R109" i="15" s="1"/>
  <c r="B109" i="18"/>
  <c r="I109" i="18"/>
  <c r="E71" i="15"/>
  <c r="E72" i="15" s="1"/>
  <c r="M18" i="18"/>
  <c r="P18" i="15"/>
  <c r="R18" i="15" s="1"/>
  <c r="N18" i="15"/>
  <c r="B15" i="34"/>
  <c r="C15" i="34" s="1"/>
  <c r="F15" i="34" s="1"/>
  <c r="G15" i="34" s="1"/>
  <c r="C18" i="18"/>
  <c r="E18" i="18"/>
  <c r="I18" i="18"/>
  <c r="F18" i="18"/>
  <c r="B18" i="18"/>
  <c r="K18" i="18"/>
  <c r="L18" i="18"/>
  <c r="H18" i="18"/>
  <c r="G18" i="18"/>
  <c r="J18" i="18"/>
  <c r="D18" i="18"/>
  <c r="F88" i="15"/>
  <c r="F8" i="25" s="1"/>
  <c r="J22" i="15"/>
  <c r="B12" i="25" s="1"/>
  <c r="M111" i="15"/>
  <c r="M112" i="15" s="1"/>
  <c r="E88" i="15"/>
  <c r="E89" i="15" s="1"/>
  <c r="C111" i="15"/>
  <c r="C112" i="15" s="1"/>
  <c r="I111" i="15"/>
  <c r="I112" i="15" s="1"/>
  <c r="D88" i="15"/>
  <c r="D89" i="15" s="1"/>
  <c r="C38" i="15"/>
  <c r="C5" i="25" s="1"/>
  <c r="C21" i="25" s="1"/>
  <c r="E48" i="18"/>
  <c r="K48" i="18"/>
  <c r="B48" i="18"/>
  <c r="C48" i="18"/>
  <c r="N48" i="15"/>
  <c r="H48" i="18"/>
  <c r="F48" i="18"/>
  <c r="D48" i="18"/>
  <c r="M48" i="18"/>
  <c r="J48" i="18"/>
  <c r="L48" i="18"/>
  <c r="G48" i="18"/>
  <c r="P48" i="15"/>
  <c r="R48" i="15" s="1"/>
  <c r="I48" i="18"/>
  <c r="B54" i="15"/>
  <c r="B55" i="15" s="1"/>
  <c r="K42" i="18"/>
  <c r="J42" i="18"/>
  <c r="M42" i="18"/>
  <c r="G42" i="18"/>
  <c r="P42" i="15"/>
  <c r="R42" i="15" s="1"/>
  <c r="C42" i="18"/>
  <c r="E42" i="18"/>
  <c r="D42" i="18"/>
  <c r="B42" i="18"/>
  <c r="I42" i="18"/>
  <c r="H42" i="18"/>
  <c r="B21" i="34"/>
  <c r="C21" i="34" s="1"/>
  <c r="F21" i="34" s="1"/>
  <c r="G21" i="34" s="1"/>
  <c r="N42" i="15"/>
  <c r="F42" i="18"/>
  <c r="L42" i="18"/>
  <c r="E125" i="15"/>
  <c r="E133" i="15" s="1"/>
  <c r="L117" i="18"/>
  <c r="M117" i="18"/>
  <c r="J117" i="18"/>
  <c r="C117" i="18"/>
  <c r="F117" i="18"/>
  <c r="K117" i="18"/>
  <c r="G117" i="18"/>
  <c r="I117" i="18"/>
  <c r="H117" i="18"/>
  <c r="D117" i="18"/>
  <c r="P117" i="15"/>
  <c r="R117" i="15" s="1"/>
  <c r="E117" i="18"/>
  <c r="B117" i="18"/>
  <c r="N117" i="15"/>
  <c r="J115" i="18"/>
  <c r="F115" i="18"/>
  <c r="N115" i="15"/>
  <c r="E115" i="18"/>
  <c r="I115" i="18"/>
  <c r="B115" i="18"/>
  <c r="K115" i="18"/>
  <c r="H115" i="18"/>
  <c r="D115" i="18"/>
  <c r="C115" i="18"/>
  <c r="P115" i="15"/>
  <c r="B125" i="15"/>
  <c r="B126" i="15" s="1"/>
  <c r="M115" i="18"/>
  <c r="L115" i="18"/>
  <c r="G115" i="18"/>
  <c r="M29" i="27"/>
  <c r="C37" i="18"/>
  <c r="G37" i="18"/>
  <c r="D37" i="18"/>
  <c r="I37" i="18"/>
  <c r="P37" i="15"/>
  <c r="R37" i="15" s="1"/>
  <c r="F37" i="18"/>
  <c r="M37" i="18"/>
  <c r="N37" i="15"/>
  <c r="B37" i="18"/>
  <c r="K37" i="18"/>
  <c r="E37" i="18"/>
  <c r="H37" i="18"/>
  <c r="J37" i="18"/>
  <c r="L37" i="18"/>
  <c r="C54" i="15"/>
  <c r="C55" i="15" s="1"/>
  <c r="I22" i="15"/>
  <c r="B11" i="25" s="1"/>
  <c r="B86" i="18"/>
  <c r="K86" i="18"/>
  <c r="M86" i="18"/>
  <c r="H86" i="18"/>
  <c r="P86" i="15"/>
  <c r="R86" i="15" s="1"/>
  <c r="G86" i="18"/>
  <c r="N86" i="15"/>
  <c r="D86" i="18"/>
  <c r="C86" i="18"/>
  <c r="E86" i="18"/>
  <c r="L86" i="18"/>
  <c r="I86" i="18"/>
  <c r="J86" i="18"/>
  <c r="F86" i="18"/>
  <c r="D98" i="15"/>
  <c r="G6" i="25" s="1"/>
  <c r="G22" i="25" s="1"/>
  <c r="F69" i="18"/>
  <c r="J69" i="18"/>
  <c r="P69" i="15"/>
  <c r="R69" i="15" s="1"/>
  <c r="D69" i="18"/>
  <c r="K69" i="18"/>
  <c r="H69" i="18"/>
  <c r="B69" i="18"/>
  <c r="G69" i="18"/>
  <c r="N69" i="15"/>
  <c r="C69" i="18"/>
  <c r="M69" i="18"/>
  <c r="E69" i="18"/>
  <c r="L69" i="18"/>
  <c r="I69" i="18"/>
  <c r="G62" i="18"/>
  <c r="I62" i="18"/>
  <c r="B62" i="18"/>
  <c r="P62" i="15"/>
  <c r="R62" i="15" s="1"/>
  <c r="L62" i="18"/>
  <c r="C62" i="18"/>
  <c r="F62" i="18"/>
  <c r="E62" i="18"/>
  <c r="D62" i="18"/>
  <c r="N62" i="15"/>
  <c r="M62" i="18"/>
  <c r="K62" i="18"/>
  <c r="J62" i="18"/>
  <c r="H62" i="18"/>
  <c r="J54" i="15"/>
  <c r="J55" i="15" s="1"/>
  <c r="M22" i="15"/>
  <c r="B15" i="25" s="1"/>
  <c r="F71" i="15"/>
  <c r="F72" i="15" s="1"/>
  <c r="K45" i="18"/>
  <c r="L45" i="18"/>
  <c r="M45" i="18"/>
  <c r="D45" i="18"/>
  <c r="I45" i="18"/>
  <c r="P45" i="15"/>
  <c r="R45" i="15" s="1"/>
  <c r="G45" i="18"/>
  <c r="J45" i="18"/>
  <c r="F45" i="18"/>
  <c r="B45" i="18"/>
  <c r="B22" i="34"/>
  <c r="C22" i="34" s="1"/>
  <c r="F22" i="34" s="1"/>
  <c r="G22" i="34" s="1"/>
  <c r="E45" i="18"/>
  <c r="H45" i="18"/>
  <c r="N45" i="15"/>
  <c r="C45" i="18"/>
  <c r="L22" i="15"/>
  <c r="L23" i="15" s="1"/>
  <c r="J9" i="18"/>
  <c r="K9" i="18"/>
  <c r="F9" i="18"/>
  <c r="N9" i="15"/>
  <c r="B9" i="18"/>
  <c r="P9" i="15"/>
  <c r="R9" i="15" s="1"/>
  <c r="L9" i="18"/>
  <c r="D9" i="18"/>
  <c r="I9" i="18"/>
  <c r="C9" i="18"/>
  <c r="G9" i="18"/>
  <c r="H9" i="18"/>
  <c r="M9" i="18"/>
  <c r="E9" i="18"/>
  <c r="G8" i="18"/>
  <c r="D8" i="18"/>
  <c r="K8" i="18"/>
  <c r="N8" i="15"/>
  <c r="H8" i="18"/>
  <c r="B8" i="18"/>
  <c r="I8" i="18"/>
  <c r="C8" i="18"/>
  <c r="P8" i="15"/>
  <c r="R8" i="15" s="1"/>
  <c r="J8" i="18"/>
  <c r="L8" i="18"/>
  <c r="E8" i="18"/>
  <c r="M8" i="18"/>
  <c r="F8" i="18"/>
  <c r="P49" i="15"/>
  <c r="R49" i="15" s="1"/>
  <c r="J49" i="18"/>
  <c r="B49" i="18"/>
  <c r="F49" i="18"/>
  <c r="E49" i="18"/>
  <c r="L49" i="18"/>
  <c r="C49" i="18"/>
  <c r="N49" i="15"/>
  <c r="I49" i="18"/>
  <c r="M49" i="18"/>
  <c r="K49" i="18"/>
  <c r="D49" i="18"/>
  <c r="H49" i="18"/>
  <c r="G49" i="18"/>
  <c r="J64" i="18"/>
  <c r="H64" i="18"/>
  <c r="M64" i="18"/>
  <c r="D64" i="18"/>
  <c r="E64" i="18"/>
  <c r="F64" i="18"/>
  <c r="B64" i="18"/>
  <c r="N64" i="15"/>
  <c r="P64" i="15"/>
  <c r="R64" i="15" s="1"/>
  <c r="C64" i="18"/>
  <c r="K64" i="18"/>
  <c r="L64" i="18"/>
  <c r="I64" i="18"/>
  <c r="G64" i="18"/>
  <c r="M22" i="27"/>
  <c r="I11" i="18"/>
  <c r="D11" i="18"/>
  <c r="E11" i="18"/>
  <c r="J11" i="18"/>
  <c r="B9" i="34"/>
  <c r="C9" i="34" s="1"/>
  <c r="F9" i="34" s="1"/>
  <c r="G9" i="34" s="1"/>
  <c r="G11" i="18"/>
  <c r="H11" i="18"/>
  <c r="C11" i="18"/>
  <c r="L11" i="18"/>
  <c r="B11" i="18"/>
  <c r="N11" i="15"/>
  <c r="K11" i="18"/>
  <c r="F11" i="18"/>
  <c r="P11" i="15"/>
  <c r="R11" i="15" s="1"/>
  <c r="M11" i="18"/>
  <c r="K15" i="18"/>
  <c r="D15" i="18"/>
  <c r="E15" i="18"/>
  <c r="P15" i="15"/>
  <c r="R15" i="15" s="1"/>
  <c r="L15" i="18"/>
  <c r="B15" i="18"/>
  <c r="F15" i="18"/>
  <c r="C15" i="18"/>
  <c r="I15" i="18"/>
  <c r="B13" i="34"/>
  <c r="C13" i="34" s="1"/>
  <c r="F13" i="34" s="1"/>
  <c r="M15" i="18"/>
  <c r="J15" i="18"/>
  <c r="H15" i="18"/>
  <c r="G15" i="18"/>
  <c r="N15" i="15"/>
  <c r="E83" i="18"/>
  <c r="N83" i="15"/>
  <c r="J83" i="18"/>
  <c r="P83" i="15"/>
  <c r="R83" i="15" s="1"/>
  <c r="I83" i="18"/>
  <c r="D83" i="18"/>
  <c r="G83" i="18"/>
  <c r="L83" i="18"/>
  <c r="M83" i="18"/>
  <c r="K83" i="18"/>
  <c r="F83" i="18"/>
  <c r="B83" i="18"/>
  <c r="H83" i="18"/>
  <c r="C83" i="18"/>
  <c r="E123" i="18"/>
  <c r="K123" i="18"/>
  <c r="F123" i="18"/>
  <c r="B123" i="18"/>
  <c r="J123" i="18"/>
  <c r="P123" i="15"/>
  <c r="R123" i="15" s="1"/>
  <c r="D123" i="18"/>
  <c r="G123" i="18"/>
  <c r="N123" i="15"/>
  <c r="C123" i="18"/>
  <c r="L123" i="18"/>
  <c r="I123" i="18"/>
  <c r="H123" i="18"/>
  <c r="M123" i="18"/>
  <c r="E111" i="15"/>
  <c r="H7" i="25" s="1"/>
  <c r="N33" i="15"/>
  <c r="I33" i="18"/>
  <c r="P33" i="15"/>
  <c r="R33" i="15" s="1"/>
  <c r="D33" i="18"/>
  <c r="C33" i="18"/>
  <c r="L33" i="18"/>
  <c r="B33" i="18"/>
  <c r="G33" i="18"/>
  <c r="M33" i="18"/>
  <c r="H33" i="18"/>
  <c r="J33" i="18"/>
  <c r="K33" i="18"/>
  <c r="E33" i="18"/>
  <c r="F33" i="18"/>
  <c r="N36" i="15"/>
  <c r="G36" i="18"/>
  <c r="M36" i="18"/>
  <c r="P36" i="15"/>
  <c r="R36" i="15" s="1"/>
  <c r="I36" i="18"/>
  <c r="J36" i="18"/>
  <c r="L36" i="18"/>
  <c r="K36" i="18"/>
  <c r="H36" i="18"/>
  <c r="F36" i="18"/>
  <c r="D36" i="18"/>
  <c r="C36" i="18"/>
  <c r="B36" i="18"/>
  <c r="E36" i="18"/>
  <c r="G88" i="15"/>
  <c r="F9" i="25" s="1"/>
  <c r="N66" i="15"/>
  <c r="M66" i="18"/>
  <c r="L66" i="18"/>
  <c r="I66" i="18"/>
  <c r="P66" i="15"/>
  <c r="R66" i="15" s="1"/>
  <c r="J66" i="18"/>
  <c r="B66" i="18"/>
  <c r="G66" i="18"/>
  <c r="K66" i="18"/>
  <c r="E66" i="18"/>
  <c r="H66" i="18"/>
  <c r="D66" i="18"/>
  <c r="C66" i="18"/>
  <c r="F66" i="18"/>
  <c r="H125" i="15"/>
  <c r="H126" i="15" s="1"/>
  <c r="M26" i="27"/>
  <c r="F22" i="15"/>
  <c r="F23" i="15" s="1"/>
  <c r="M20" i="27"/>
  <c r="F98" i="15"/>
  <c r="F99" i="15" s="1"/>
  <c r="B43" i="18"/>
  <c r="E43" i="18"/>
  <c r="P43" i="15"/>
  <c r="R43" i="15" s="1"/>
  <c r="C43" i="18"/>
  <c r="H43" i="18"/>
  <c r="J43" i="18"/>
  <c r="F43" i="18"/>
  <c r="N43" i="15"/>
  <c r="I43" i="18"/>
  <c r="L43" i="18"/>
  <c r="K43" i="18"/>
  <c r="M43" i="18"/>
  <c r="G43" i="18"/>
  <c r="D43" i="18"/>
  <c r="C94" i="18"/>
  <c r="F94" i="18"/>
  <c r="I94" i="18"/>
  <c r="K94" i="18"/>
  <c r="N94" i="15"/>
  <c r="P94" i="15"/>
  <c r="R94" i="15" s="1"/>
  <c r="H94" i="18"/>
  <c r="J94" i="18"/>
  <c r="L94" i="18"/>
  <c r="G94" i="18"/>
  <c r="M94" i="18"/>
  <c r="E94" i="18"/>
  <c r="D94" i="18"/>
  <c r="B94" i="18"/>
  <c r="L38" i="15"/>
  <c r="L39" i="15" s="1"/>
  <c r="D68" i="18"/>
  <c r="E68" i="18"/>
  <c r="L68" i="18"/>
  <c r="H68" i="18"/>
  <c r="G68" i="18"/>
  <c r="M68" i="18"/>
  <c r="K68" i="18"/>
  <c r="I68" i="18"/>
  <c r="C68" i="18"/>
  <c r="F68" i="18"/>
  <c r="P68" i="15"/>
  <c r="R68" i="15" s="1"/>
  <c r="J68" i="18"/>
  <c r="N68" i="15"/>
  <c r="B68" i="18"/>
  <c r="K88" i="15"/>
  <c r="K89" i="15" s="1"/>
  <c r="C88" i="15"/>
  <c r="C89" i="15" s="1"/>
  <c r="J26" i="18"/>
  <c r="L26" i="18"/>
  <c r="B16" i="34"/>
  <c r="C16" i="34" s="1"/>
  <c r="F16" i="34" s="1"/>
  <c r="G16" i="34" s="1"/>
  <c r="C26" i="18"/>
  <c r="B38" i="15"/>
  <c r="B39" i="15" s="1"/>
  <c r="N26" i="15"/>
  <c r="K26" i="18"/>
  <c r="I26" i="18"/>
  <c r="B26" i="18"/>
  <c r="F26" i="18"/>
  <c r="H26" i="18"/>
  <c r="M26" i="18"/>
  <c r="P26" i="15"/>
  <c r="R26" i="15" s="1"/>
  <c r="D26" i="18"/>
  <c r="E26" i="18"/>
  <c r="G26" i="18"/>
  <c r="K71" i="15"/>
  <c r="K72" i="15" s="1"/>
  <c r="K12" i="18"/>
  <c r="E12" i="18"/>
  <c r="I12" i="18"/>
  <c r="B10" i="34"/>
  <c r="C10" i="34" s="1"/>
  <c r="F10" i="34" s="1"/>
  <c r="G10" i="34" s="1"/>
  <c r="L12" i="18"/>
  <c r="C12" i="18"/>
  <c r="N12" i="15"/>
  <c r="J12" i="18"/>
  <c r="H12" i="18"/>
  <c r="G12" i="18"/>
  <c r="M12" i="18"/>
  <c r="D12" i="18"/>
  <c r="F12" i="18"/>
  <c r="B12" i="18"/>
  <c r="P12" i="15"/>
  <c r="R12" i="15" s="1"/>
  <c r="G38" i="15"/>
  <c r="G39" i="15" s="1"/>
  <c r="G71" i="15"/>
  <c r="G72" i="15" s="1"/>
  <c r="E77" i="18"/>
  <c r="P77" i="15"/>
  <c r="R77" i="15" s="1"/>
  <c r="L77" i="18"/>
  <c r="C77" i="18"/>
  <c r="J77" i="18"/>
  <c r="B77" i="18"/>
  <c r="F77" i="18"/>
  <c r="M77" i="18"/>
  <c r="D77" i="18"/>
  <c r="I77" i="18"/>
  <c r="K77" i="18"/>
  <c r="N77" i="15"/>
  <c r="G77" i="18"/>
  <c r="H77" i="18"/>
  <c r="C71" i="15"/>
  <c r="C72" i="15" s="1"/>
  <c r="M58" i="18"/>
  <c r="P58" i="15"/>
  <c r="R58" i="15" s="1"/>
  <c r="H58" i="18"/>
  <c r="E58" i="18"/>
  <c r="B58" i="18"/>
  <c r="D58" i="18"/>
  <c r="K58" i="18"/>
  <c r="C58" i="18"/>
  <c r="N58" i="15"/>
  <c r="L58" i="18"/>
  <c r="J58" i="18"/>
  <c r="I58" i="18"/>
  <c r="B71" i="15"/>
  <c r="E4" i="25" s="1"/>
  <c r="E20" i="25" s="1"/>
  <c r="G58" i="18"/>
  <c r="F58" i="18"/>
  <c r="H98" i="15"/>
  <c r="G10" i="25" s="1"/>
  <c r="C98" i="15"/>
  <c r="C99" i="15" s="1"/>
  <c r="M23" i="27"/>
  <c r="L54" i="15"/>
  <c r="D14" i="25" s="1"/>
  <c r="E63" i="18"/>
  <c r="I63" i="18"/>
  <c r="M63" i="18"/>
  <c r="G63" i="18"/>
  <c r="K63" i="18"/>
  <c r="H63" i="18"/>
  <c r="J63" i="18"/>
  <c r="N63" i="15"/>
  <c r="P63" i="15"/>
  <c r="R63" i="15" s="1"/>
  <c r="D63" i="18"/>
  <c r="F63" i="18"/>
  <c r="L63" i="18"/>
  <c r="B63" i="18"/>
  <c r="C63" i="18"/>
  <c r="B36" i="34"/>
  <c r="C36" i="34" s="1"/>
  <c r="F36" i="34" s="1"/>
  <c r="G36" i="34" s="1"/>
  <c r="G108" i="18"/>
  <c r="F108" i="18"/>
  <c r="I108" i="18"/>
  <c r="E108" i="18"/>
  <c r="D108" i="18"/>
  <c r="C108" i="18"/>
  <c r="J108" i="18"/>
  <c r="P108" i="15"/>
  <c r="R108" i="15" s="1"/>
  <c r="M108" i="18"/>
  <c r="N108" i="15"/>
  <c r="K108" i="18"/>
  <c r="H108" i="18"/>
  <c r="B108" i="18"/>
  <c r="L108" i="18"/>
  <c r="G98" i="15"/>
  <c r="G9" i="25" s="1"/>
  <c r="D20" i="18"/>
  <c r="E20" i="18"/>
  <c r="G20" i="18"/>
  <c r="I20" i="18"/>
  <c r="H20" i="18"/>
  <c r="P20" i="15"/>
  <c r="R20" i="15" s="1"/>
  <c r="B20" i="18"/>
  <c r="C20" i="18"/>
  <c r="F20" i="18"/>
  <c r="N20" i="15"/>
  <c r="K20" i="18"/>
  <c r="M20" i="18"/>
  <c r="L20" i="18"/>
  <c r="J20" i="18"/>
  <c r="P16" i="15"/>
  <c r="R16" i="15" s="1"/>
  <c r="I16" i="18"/>
  <c r="G16" i="18"/>
  <c r="H16" i="18"/>
  <c r="E16" i="18"/>
  <c r="B16" i="18"/>
  <c r="D16" i="18"/>
  <c r="N16" i="15"/>
  <c r="M16" i="18"/>
  <c r="C16" i="18"/>
  <c r="L16" i="18"/>
  <c r="F16" i="18"/>
  <c r="K16" i="18"/>
  <c r="J16" i="18"/>
  <c r="H71" i="15"/>
  <c r="E10" i="25" s="1"/>
  <c r="D22" i="15"/>
  <c r="B6" i="25" s="1"/>
  <c r="B22" i="25" s="1"/>
  <c r="N28" i="15"/>
  <c r="B17" i="34"/>
  <c r="C17" i="34" s="1"/>
  <c r="F17" i="34" s="1"/>
  <c r="G17" i="34" s="1"/>
  <c r="L28" i="18"/>
  <c r="C28" i="18"/>
  <c r="G28" i="18"/>
  <c r="E28" i="18"/>
  <c r="M28" i="18"/>
  <c r="B28" i="18"/>
  <c r="I28" i="18"/>
  <c r="J28" i="18"/>
  <c r="D28" i="18"/>
  <c r="H28" i="18"/>
  <c r="F28" i="18"/>
  <c r="K28" i="18"/>
  <c r="P28" i="15"/>
  <c r="R28" i="15" s="1"/>
  <c r="I82" i="18"/>
  <c r="E82" i="18"/>
  <c r="M82" i="18"/>
  <c r="P82" i="15"/>
  <c r="R82" i="15" s="1"/>
  <c r="C82" i="18"/>
  <c r="K82" i="18"/>
  <c r="J82" i="18"/>
  <c r="B82" i="18"/>
  <c r="L82" i="18"/>
  <c r="N82" i="15"/>
  <c r="D82" i="18"/>
  <c r="F82" i="18"/>
  <c r="H82" i="18"/>
  <c r="G82" i="18"/>
  <c r="M19" i="27"/>
  <c r="L98" i="15"/>
  <c r="G14" i="25" s="1"/>
  <c r="G54" i="15"/>
  <c r="D9" i="25" s="1"/>
  <c r="D38" i="15"/>
  <c r="C6" i="25" s="1"/>
  <c r="C22" i="25" s="1"/>
  <c r="L111" i="15"/>
  <c r="L112" i="15" s="1"/>
  <c r="I98" i="15"/>
  <c r="I99" i="15" s="1"/>
  <c r="M54" i="15"/>
  <c r="M55" i="15" s="1"/>
  <c r="D71" i="15"/>
  <c r="D72" i="15" s="1"/>
  <c r="J111" i="15"/>
  <c r="J112" i="15" s="1"/>
  <c r="C70" i="18"/>
  <c r="F70" i="18"/>
  <c r="G70" i="18"/>
  <c r="J70" i="18"/>
  <c r="D70" i="18"/>
  <c r="N70" i="15"/>
  <c r="H70" i="18"/>
  <c r="L70" i="18"/>
  <c r="M70" i="18"/>
  <c r="P70" i="15"/>
  <c r="R70" i="15" s="1"/>
  <c r="K70" i="18"/>
  <c r="B70" i="18"/>
  <c r="E70" i="18"/>
  <c r="I70" i="18"/>
  <c r="E54" i="15"/>
  <c r="E55" i="15" s="1"/>
  <c r="F106" i="18"/>
  <c r="P106" i="15"/>
  <c r="R106" i="15" s="1"/>
  <c r="G106" i="18"/>
  <c r="M106" i="18"/>
  <c r="H106" i="18"/>
  <c r="N106" i="15"/>
  <c r="L106" i="18"/>
  <c r="I106" i="18"/>
  <c r="E106" i="18"/>
  <c r="D106" i="18"/>
  <c r="C106" i="18"/>
  <c r="B106" i="18"/>
  <c r="J106" i="18"/>
  <c r="K106" i="18"/>
  <c r="G50" i="18"/>
  <c r="H50" i="18"/>
  <c r="L50" i="18"/>
  <c r="N50" i="15"/>
  <c r="F50" i="18"/>
  <c r="M50" i="18"/>
  <c r="K50" i="18"/>
  <c r="J50" i="18"/>
  <c r="C50" i="18"/>
  <c r="P50" i="15"/>
  <c r="R50" i="15" s="1"/>
  <c r="D50" i="18"/>
  <c r="E50" i="18"/>
  <c r="B50" i="18"/>
  <c r="I50" i="18"/>
  <c r="B104" i="18"/>
  <c r="I104" i="18"/>
  <c r="F104" i="18"/>
  <c r="P104" i="15"/>
  <c r="R104" i="15" s="1"/>
  <c r="G104" i="18"/>
  <c r="N104" i="15"/>
  <c r="J104" i="18"/>
  <c r="D104" i="18"/>
  <c r="K104" i="18"/>
  <c r="H104" i="18"/>
  <c r="C104" i="18"/>
  <c r="E104" i="18"/>
  <c r="M104" i="18"/>
  <c r="L104" i="18"/>
  <c r="J120" i="18"/>
  <c r="B120" i="18"/>
  <c r="F120" i="18"/>
  <c r="H120" i="18"/>
  <c r="I120" i="18"/>
  <c r="G120" i="18"/>
  <c r="L120" i="18"/>
  <c r="K120" i="18"/>
  <c r="N120" i="15"/>
  <c r="M120" i="18"/>
  <c r="P120" i="15"/>
  <c r="R120" i="15" s="1"/>
  <c r="D120" i="18"/>
  <c r="E120" i="18"/>
  <c r="C120" i="18"/>
  <c r="G125" i="15"/>
  <c r="G133" i="15" s="1"/>
  <c r="F125" i="15"/>
  <c r="F133" i="15" s="1"/>
  <c r="I88" i="15"/>
  <c r="I89" i="15" s="1"/>
  <c r="D65" i="18"/>
  <c r="K65" i="18"/>
  <c r="C65" i="18"/>
  <c r="B26" i="34"/>
  <c r="C26" i="34" s="1"/>
  <c r="F26" i="34" s="1"/>
  <c r="G65" i="18"/>
  <c r="H65" i="18"/>
  <c r="I65" i="18"/>
  <c r="M65" i="18"/>
  <c r="F65" i="18"/>
  <c r="P65" i="15"/>
  <c r="R65" i="15" s="1"/>
  <c r="J65" i="18"/>
  <c r="E65" i="18"/>
  <c r="L65" i="18"/>
  <c r="N65" i="15"/>
  <c r="B65" i="18"/>
  <c r="D125" i="15"/>
  <c r="D133" i="15" s="1"/>
  <c r="B51" i="18"/>
  <c r="K51" i="18"/>
  <c r="G51" i="18"/>
  <c r="L51" i="18"/>
  <c r="D51" i="18"/>
  <c r="E51" i="18"/>
  <c r="H51" i="18"/>
  <c r="M51" i="18"/>
  <c r="C51" i="18"/>
  <c r="I51" i="18"/>
  <c r="P51" i="15"/>
  <c r="R51" i="15" s="1"/>
  <c r="F51" i="18"/>
  <c r="N51" i="15"/>
  <c r="J51" i="18"/>
  <c r="H54" i="15"/>
  <c r="H55" i="15" s="1"/>
  <c r="M27" i="27"/>
  <c r="J118" i="18"/>
  <c r="G118" i="18"/>
  <c r="F118" i="18"/>
  <c r="P118" i="15"/>
  <c r="R118" i="15" s="1"/>
  <c r="M118" i="18"/>
  <c r="I118" i="18"/>
  <c r="L118" i="18"/>
  <c r="N118" i="15"/>
  <c r="E118" i="18"/>
  <c r="H118" i="18"/>
  <c r="C118" i="18"/>
  <c r="K118" i="18"/>
  <c r="B118" i="18"/>
  <c r="D118" i="18"/>
  <c r="I38" i="15"/>
  <c r="C11" i="25" s="1"/>
  <c r="L125" i="15"/>
  <c r="L133" i="15" s="1"/>
  <c r="G111" i="15"/>
  <c r="G112" i="15" s="1"/>
  <c r="M14" i="18"/>
  <c r="L14" i="18"/>
  <c r="F14" i="18"/>
  <c r="I14" i="18"/>
  <c r="G14" i="18"/>
  <c r="P14" i="15"/>
  <c r="R14" i="15" s="1"/>
  <c r="E14" i="18"/>
  <c r="H14" i="18"/>
  <c r="B14" i="18"/>
  <c r="C14" i="18"/>
  <c r="K14" i="18"/>
  <c r="B12" i="34"/>
  <c r="C12" i="34" s="1"/>
  <c r="F12" i="34" s="1"/>
  <c r="G12" i="34" s="1"/>
  <c r="N14" i="15"/>
  <c r="J14" i="18"/>
  <c r="D14" i="18"/>
  <c r="B34" i="34"/>
  <c r="C34" i="34" s="1"/>
  <c r="F34" i="34" s="1"/>
  <c r="G34" i="34" s="1"/>
  <c r="D102" i="18"/>
  <c r="B111" i="15"/>
  <c r="B112" i="15" s="1"/>
  <c r="C102" i="18"/>
  <c r="B102" i="18"/>
  <c r="G102" i="18"/>
  <c r="H102" i="18"/>
  <c r="E102" i="18"/>
  <c r="F102" i="18"/>
  <c r="J71" i="15"/>
  <c r="E12" i="25" s="1"/>
  <c r="I35" i="18"/>
  <c r="N35" i="15"/>
  <c r="F35" i="18"/>
  <c r="C35" i="18"/>
  <c r="D35" i="18"/>
  <c r="G35" i="18"/>
  <c r="L35" i="18"/>
  <c r="P35" i="15"/>
  <c r="R35" i="15" s="1"/>
  <c r="M35" i="18"/>
  <c r="H35" i="18"/>
  <c r="E35" i="18"/>
  <c r="K35" i="18"/>
  <c r="J35" i="18"/>
  <c r="B35" i="18"/>
  <c r="E22" i="15"/>
  <c r="E23" i="15" s="1"/>
  <c r="K17" i="18"/>
  <c r="L17" i="18"/>
  <c r="E17" i="18"/>
  <c r="B17" i="18"/>
  <c r="G17" i="18"/>
  <c r="J17" i="18"/>
  <c r="P17" i="15"/>
  <c r="R17" i="15" s="1"/>
  <c r="H17" i="18"/>
  <c r="F17" i="18"/>
  <c r="M17" i="18"/>
  <c r="C17" i="18"/>
  <c r="I17" i="18"/>
  <c r="B14" i="34"/>
  <c r="C14" i="34" s="1"/>
  <c r="F14" i="34" s="1"/>
  <c r="G14" i="34" s="1"/>
  <c r="D17" i="18"/>
  <c r="N17" i="15"/>
  <c r="K22" i="15"/>
  <c r="K23" i="15" s="1"/>
  <c r="H85" i="18"/>
  <c r="N85" i="15"/>
  <c r="C85" i="18"/>
  <c r="G85" i="18"/>
  <c r="L85" i="18"/>
  <c r="B85" i="18"/>
  <c r="M85" i="18"/>
  <c r="F85" i="18"/>
  <c r="K85" i="18"/>
  <c r="I85" i="18"/>
  <c r="E85" i="18"/>
  <c r="D85" i="18"/>
  <c r="J85" i="18"/>
  <c r="P85" i="15"/>
  <c r="R85" i="15" s="1"/>
  <c r="J88" i="15"/>
  <c r="F12" i="25" s="1"/>
  <c r="L119" i="18"/>
  <c r="N119" i="15"/>
  <c r="B119" i="18"/>
  <c r="I119" i="18"/>
  <c r="G119" i="18"/>
  <c r="D119" i="18"/>
  <c r="C119" i="18"/>
  <c r="H119" i="18"/>
  <c r="K119" i="18"/>
  <c r="E119" i="18"/>
  <c r="P119" i="15"/>
  <c r="R119" i="15" s="1"/>
  <c r="M119" i="18"/>
  <c r="J119" i="18"/>
  <c r="F119" i="18"/>
  <c r="M21" i="18"/>
  <c r="H21" i="18"/>
  <c r="K21" i="18"/>
  <c r="F21" i="18"/>
  <c r="I21" i="18"/>
  <c r="E21" i="18"/>
  <c r="P21" i="15"/>
  <c r="R21" i="15" s="1"/>
  <c r="L21" i="18"/>
  <c r="C21" i="18"/>
  <c r="G21" i="18"/>
  <c r="J21" i="18"/>
  <c r="N21" i="15"/>
  <c r="B21" i="18"/>
  <c r="D21" i="18"/>
  <c r="C22" i="15"/>
  <c r="B5" i="25" s="1"/>
  <c r="B21" i="25" s="1"/>
  <c r="E38" i="15"/>
  <c r="C7" i="25" s="1"/>
  <c r="N53" i="15"/>
  <c r="G53" i="18"/>
  <c r="P53" i="15"/>
  <c r="R53" i="15" s="1"/>
  <c r="D53" i="18"/>
  <c r="C53" i="18"/>
  <c r="F53" i="18"/>
  <c r="J53" i="18"/>
  <c r="L53" i="18"/>
  <c r="K53" i="18"/>
  <c r="E53" i="18"/>
  <c r="B53" i="18"/>
  <c r="H53" i="18"/>
  <c r="M53" i="18"/>
  <c r="I53" i="18"/>
  <c r="B67" i="18"/>
  <c r="N67" i="15"/>
  <c r="F67" i="18"/>
  <c r="K67" i="18"/>
  <c r="E67" i="18"/>
  <c r="C67" i="18"/>
  <c r="J67" i="18"/>
  <c r="H67" i="18"/>
  <c r="P67" i="15"/>
  <c r="R67" i="15" s="1"/>
  <c r="L67" i="18"/>
  <c r="G67" i="18"/>
  <c r="I67" i="18"/>
  <c r="M67" i="18"/>
  <c r="D67" i="18"/>
  <c r="H38" i="15"/>
  <c r="C10" i="25" s="1"/>
  <c r="B121" i="18"/>
  <c r="N121" i="15"/>
  <c r="C121" i="18"/>
  <c r="J121" i="18"/>
  <c r="F121" i="18"/>
  <c r="H121" i="18"/>
  <c r="P121" i="15"/>
  <c r="R121" i="15" s="1"/>
  <c r="D121" i="18"/>
  <c r="M121" i="18"/>
  <c r="E121" i="18"/>
  <c r="G121" i="18"/>
  <c r="I121" i="18"/>
  <c r="L121" i="18"/>
  <c r="K121" i="18"/>
  <c r="C78" i="18"/>
  <c r="F78" i="18"/>
  <c r="I78" i="18"/>
  <c r="B78" i="18"/>
  <c r="D78" i="18"/>
  <c r="G78" i="18"/>
  <c r="P78" i="15"/>
  <c r="R78" i="15" s="1"/>
  <c r="H78" i="18"/>
  <c r="K78" i="18"/>
  <c r="N78" i="15"/>
  <c r="L78" i="18"/>
  <c r="M78" i="18"/>
  <c r="E78" i="18"/>
  <c r="J78" i="18"/>
  <c r="F54" i="15"/>
  <c r="F55" i="15" s="1"/>
  <c r="M107" i="18"/>
  <c r="N107" i="15"/>
  <c r="E107" i="18"/>
  <c r="G107" i="18"/>
  <c r="D107" i="18"/>
  <c r="C107" i="18"/>
  <c r="P107" i="15"/>
  <c r="R107" i="15" s="1"/>
  <c r="J107" i="18"/>
  <c r="H107" i="18"/>
  <c r="K107" i="18"/>
  <c r="I107" i="18"/>
  <c r="F107" i="18"/>
  <c r="L107" i="18"/>
  <c r="B107" i="18"/>
  <c r="I54" i="15"/>
  <c r="I55" i="15" s="1"/>
  <c r="H111" i="15"/>
  <c r="H112" i="15" s="1"/>
  <c r="M88" i="15"/>
  <c r="M89" i="15" s="1"/>
  <c r="L71" i="15"/>
  <c r="L72" i="15" s="1"/>
  <c r="M125" i="15"/>
  <c r="M133" i="15" s="1"/>
  <c r="D111" i="15"/>
  <c r="D112" i="15" s="1"/>
  <c r="M28" i="27"/>
  <c r="M7" i="18"/>
  <c r="D7" i="18"/>
  <c r="G7" i="18"/>
  <c r="B7" i="34"/>
  <c r="C7" i="34" s="1"/>
  <c r="F7" i="34" s="1"/>
  <c r="G7" i="34" s="1"/>
  <c r="F7" i="18"/>
  <c r="H7" i="18"/>
  <c r="B7" i="18"/>
  <c r="K7" i="18"/>
  <c r="J7" i="18"/>
  <c r="L7" i="18"/>
  <c r="C7" i="18"/>
  <c r="I7" i="18"/>
  <c r="E7" i="18"/>
  <c r="P7" i="15"/>
  <c r="R7" i="15" s="1"/>
  <c r="N7" i="15"/>
  <c r="G22" i="15"/>
  <c r="B9" i="25" s="1"/>
  <c r="I32" i="18"/>
  <c r="F32" i="18"/>
  <c r="L32" i="18"/>
  <c r="N32" i="15"/>
  <c r="E32" i="18"/>
  <c r="C32" i="18"/>
  <c r="J32" i="18"/>
  <c r="P32" i="15"/>
  <c r="R32" i="15" s="1"/>
  <c r="D32" i="18"/>
  <c r="B32" i="18"/>
  <c r="G32" i="18"/>
  <c r="M32" i="18"/>
  <c r="H32" i="18"/>
  <c r="K32" i="18"/>
  <c r="F111" i="15"/>
  <c r="H8" i="25" s="1"/>
  <c r="K54" i="15"/>
  <c r="K55" i="15" s="1"/>
  <c r="E95" i="18"/>
  <c r="M95" i="18"/>
  <c r="G95" i="18"/>
  <c r="P95" i="15"/>
  <c r="R95" i="15" s="1"/>
  <c r="F95" i="18"/>
  <c r="I95" i="18"/>
  <c r="D95" i="18"/>
  <c r="K95" i="18"/>
  <c r="B95" i="18"/>
  <c r="L95" i="18"/>
  <c r="J95" i="18"/>
  <c r="H95" i="18"/>
  <c r="C95" i="18"/>
  <c r="N95" i="15"/>
  <c r="I71" i="15"/>
  <c r="I72" i="15" s="1"/>
  <c r="B81" i="18"/>
  <c r="D81" i="18"/>
  <c r="P81" i="15"/>
  <c r="R81" i="15" s="1"/>
  <c r="M81" i="18"/>
  <c r="N81" i="15"/>
  <c r="B30" i="34"/>
  <c r="C30" i="34" s="1"/>
  <c r="F30" i="34" s="1"/>
  <c r="G30" i="34" s="1"/>
  <c r="C81" i="18"/>
  <c r="L81" i="18"/>
  <c r="I81" i="18"/>
  <c r="F81" i="18"/>
  <c r="E81" i="18"/>
  <c r="H81" i="18"/>
  <c r="K81" i="18"/>
  <c r="G81" i="18"/>
  <c r="J81" i="18"/>
  <c r="B4" i="34"/>
  <c r="C4" i="34" s="1"/>
  <c r="H3" i="18"/>
  <c r="E3" i="18"/>
  <c r="I3" i="18"/>
  <c r="G3" i="18"/>
  <c r="P3" i="15"/>
  <c r="R3" i="15" s="1"/>
  <c r="F3" i="18"/>
  <c r="K3" i="18"/>
  <c r="B3" i="18"/>
  <c r="J3" i="18"/>
  <c r="L3" i="18"/>
  <c r="C3" i="18"/>
  <c r="B22" i="15"/>
  <c r="B4" i="25" s="1"/>
  <c r="B20" i="25" s="1"/>
  <c r="M3" i="18"/>
  <c r="D3" i="18"/>
  <c r="N3" i="15"/>
  <c r="D54" i="15"/>
  <c r="D6" i="25" s="1"/>
  <c r="D22" i="25" s="1"/>
  <c r="J79" i="18"/>
  <c r="P79" i="15"/>
  <c r="R79" i="15" s="1"/>
  <c r="I79" i="18"/>
  <c r="D79" i="18"/>
  <c r="N79" i="15"/>
  <c r="B28" i="34"/>
  <c r="C28" i="34" s="1"/>
  <c r="F28" i="34" s="1"/>
  <c r="G28" i="34" s="1"/>
  <c r="C79" i="18"/>
  <c r="G79" i="18"/>
  <c r="B79" i="18"/>
  <c r="F79" i="18"/>
  <c r="M79" i="18"/>
  <c r="E79" i="18"/>
  <c r="L79" i="18"/>
  <c r="H79" i="18"/>
  <c r="K79" i="18"/>
  <c r="F38" i="15"/>
  <c r="F39" i="15" s="1"/>
  <c r="D97" i="18"/>
  <c r="F97" i="18"/>
  <c r="N97" i="15"/>
  <c r="L97" i="18"/>
  <c r="C97" i="18"/>
  <c r="J97" i="18"/>
  <c r="K97" i="18"/>
  <c r="G97" i="18"/>
  <c r="B97" i="18"/>
  <c r="P97" i="15"/>
  <c r="R97" i="15" s="1"/>
  <c r="E97" i="18"/>
  <c r="M97" i="18"/>
  <c r="H97" i="18"/>
  <c r="I97" i="18"/>
  <c r="B20" i="34"/>
  <c r="C20" i="34" s="1"/>
  <c r="F20" i="34" s="1"/>
  <c r="G20" i="34" s="1"/>
  <c r="I34" i="18"/>
  <c r="L34" i="18"/>
  <c r="K34" i="18"/>
  <c r="P34" i="15"/>
  <c r="R34" i="15" s="1"/>
  <c r="B34" i="18"/>
  <c r="C34" i="18"/>
  <c r="H34" i="18"/>
  <c r="J34" i="18"/>
  <c r="D34" i="18"/>
  <c r="N34" i="15"/>
  <c r="E34" i="18"/>
  <c r="G34" i="18"/>
  <c r="F34" i="18"/>
  <c r="M34" i="18"/>
  <c r="M21" i="27"/>
  <c r="J125" i="15"/>
  <c r="J126" i="15" s="1"/>
  <c r="K59" i="18"/>
  <c r="B59" i="18"/>
  <c r="D59" i="18"/>
  <c r="M59" i="18"/>
  <c r="L59" i="18"/>
  <c r="G59" i="18"/>
  <c r="F59" i="18"/>
  <c r="I59" i="18"/>
  <c r="E59" i="18"/>
  <c r="N59" i="15"/>
  <c r="J59" i="18"/>
  <c r="H59" i="18"/>
  <c r="P59" i="15"/>
  <c r="R59" i="15" s="1"/>
  <c r="C59" i="18"/>
  <c r="J98" i="15"/>
  <c r="G12" i="25" s="1"/>
  <c r="C93" i="18"/>
  <c r="B33" i="34"/>
  <c r="C33" i="34" s="1"/>
  <c r="F33" i="34" s="1"/>
  <c r="G33" i="34" s="1"/>
  <c r="D93" i="18"/>
  <c r="E93" i="18"/>
  <c r="K93" i="18"/>
  <c r="H93" i="18"/>
  <c r="N93" i="15"/>
  <c r="L93" i="18"/>
  <c r="B93" i="18"/>
  <c r="G93" i="18"/>
  <c r="P93" i="15"/>
  <c r="R93" i="15" s="1"/>
  <c r="I93" i="18"/>
  <c r="M93" i="18"/>
  <c r="J93" i="18"/>
  <c r="F93" i="18"/>
  <c r="C116" i="18"/>
  <c r="F116" i="18"/>
  <c r="J116" i="18"/>
  <c r="D116" i="18"/>
  <c r="B116" i="18"/>
  <c r="G116" i="18"/>
  <c r="H116" i="18"/>
  <c r="P116" i="15"/>
  <c r="R116" i="15" s="1"/>
  <c r="L116" i="18"/>
  <c r="M116" i="18"/>
  <c r="E116" i="18"/>
  <c r="I116" i="18"/>
  <c r="N116" i="15"/>
  <c r="K116" i="18"/>
  <c r="I10" i="18"/>
  <c r="L10" i="18"/>
  <c r="P10" i="15"/>
  <c r="R10" i="15" s="1"/>
  <c r="J10" i="18"/>
  <c r="C10" i="18"/>
  <c r="B8" i="34"/>
  <c r="C8" i="34" s="1"/>
  <c r="F8" i="34" s="1"/>
  <c r="G8" i="34" s="1"/>
  <c r="F10" i="18"/>
  <c r="H10" i="18"/>
  <c r="E10" i="18"/>
  <c r="G10" i="18"/>
  <c r="B10" i="18"/>
  <c r="N10" i="15"/>
  <c r="D10" i="18"/>
  <c r="K10" i="18"/>
  <c r="M10" i="18"/>
  <c r="D76" i="18"/>
  <c r="H76" i="18"/>
  <c r="B76" i="18"/>
  <c r="C76" i="18"/>
  <c r="F76" i="18"/>
  <c r="E76" i="18"/>
  <c r="P76" i="15"/>
  <c r="R76" i="15" s="1"/>
  <c r="J76" i="18"/>
  <c r="B27" i="34"/>
  <c r="C27" i="34" s="1"/>
  <c r="F27" i="34" s="1"/>
  <c r="I76" i="18"/>
  <c r="M76" i="18"/>
  <c r="G76" i="18"/>
  <c r="L76" i="18"/>
  <c r="K76" i="18"/>
  <c r="N76" i="15"/>
  <c r="E98" i="15"/>
  <c r="G7" i="25" s="1"/>
  <c r="N110" i="15"/>
  <c r="D110" i="18"/>
  <c r="L110" i="18"/>
  <c r="B110" i="18"/>
  <c r="C110" i="18"/>
  <c r="P110" i="15"/>
  <c r="R110" i="15" s="1"/>
  <c r="J110" i="18"/>
  <c r="E110" i="18"/>
  <c r="F110" i="18"/>
  <c r="G110" i="18"/>
  <c r="K110" i="18"/>
  <c r="M110" i="18"/>
  <c r="H110" i="18"/>
  <c r="I110" i="18"/>
  <c r="M30" i="27"/>
  <c r="J103" i="18"/>
  <c r="N103" i="15"/>
  <c r="C103" i="18"/>
  <c r="I103" i="18"/>
  <c r="P103" i="15"/>
  <c r="R103" i="15" s="1"/>
  <c r="H103" i="18"/>
  <c r="K103" i="18"/>
  <c r="E103" i="18"/>
  <c r="F103" i="18"/>
  <c r="D103" i="18"/>
  <c r="M103" i="18"/>
  <c r="G103" i="18"/>
  <c r="L103" i="18"/>
  <c r="B103" i="18"/>
  <c r="E46" i="18"/>
  <c r="M46" i="18"/>
  <c r="L46" i="18"/>
  <c r="D46" i="18"/>
  <c r="P46" i="15"/>
  <c r="R46" i="15" s="1"/>
  <c r="F46" i="18"/>
  <c r="C46" i="18"/>
  <c r="B23" i="34"/>
  <c r="C23" i="34" s="1"/>
  <c r="F23" i="34" s="1"/>
  <c r="G23" i="34" s="1"/>
  <c r="K46" i="18"/>
  <c r="G46" i="18"/>
  <c r="B46" i="18"/>
  <c r="N46" i="15"/>
  <c r="I46" i="18"/>
  <c r="H46" i="18"/>
  <c r="J46" i="18"/>
  <c r="C60" i="18"/>
  <c r="L60" i="18"/>
  <c r="I60" i="18"/>
  <c r="B60" i="18"/>
  <c r="K60" i="18"/>
  <c r="B25" i="34"/>
  <c r="C25" i="34" s="1"/>
  <c r="G25" i="34" s="1"/>
  <c r="N60" i="15"/>
  <c r="E60" i="18"/>
  <c r="M60" i="18"/>
  <c r="H60" i="18"/>
  <c r="F60" i="18"/>
  <c r="P60" i="15"/>
  <c r="R60" i="15" s="1"/>
  <c r="G60" i="18"/>
  <c r="D60" i="18"/>
  <c r="J60" i="18"/>
  <c r="J38" i="15"/>
  <c r="J39" i="15" s="1"/>
  <c r="J47" i="18"/>
  <c r="E47" i="18"/>
  <c r="I47" i="18"/>
  <c r="N47" i="15"/>
  <c r="K47" i="18"/>
  <c r="L47" i="18"/>
  <c r="G47" i="18"/>
  <c r="F47" i="18"/>
  <c r="C47" i="18"/>
  <c r="B24" i="34"/>
  <c r="C24" i="34" s="1"/>
  <c r="F24" i="34" s="1"/>
  <c r="G24" i="34" s="1"/>
  <c r="P47" i="15"/>
  <c r="R47" i="15" s="1"/>
  <c r="H47" i="18"/>
  <c r="D47" i="18"/>
  <c r="B47" i="18"/>
  <c r="M47" i="18"/>
  <c r="M71" i="15"/>
  <c r="M72" i="15" s="1"/>
  <c r="M25" i="27"/>
  <c r="N4" i="15"/>
  <c r="J4" i="18"/>
  <c r="B4" i="18"/>
  <c r="K4" i="18"/>
  <c r="M4" i="18"/>
  <c r="E4" i="18"/>
  <c r="L4" i="18"/>
  <c r="I4" i="18"/>
  <c r="P4" i="15"/>
  <c r="R4" i="15" s="1"/>
  <c r="C4" i="18"/>
  <c r="G4" i="18"/>
  <c r="F4" i="18"/>
  <c r="D4" i="18"/>
  <c r="H4" i="18"/>
  <c r="O148" i="15"/>
  <c r="O149" i="15" s="1"/>
  <c r="O134" i="15"/>
  <c r="O135" i="15"/>
  <c r="N145" i="18"/>
  <c r="N146" i="18"/>
  <c r="D71" i="12"/>
  <c r="P102" i="15"/>
  <c r="L102" i="18"/>
  <c r="J102" i="18"/>
  <c r="M102" i="18"/>
  <c r="N102" i="15"/>
  <c r="K102" i="18"/>
  <c r="I102" i="18"/>
  <c r="J9" i="30"/>
  <c r="K9" i="30" s="1"/>
  <c r="J12" i="30"/>
  <c r="K12" i="30" s="1"/>
  <c r="J13" i="30"/>
  <c r="K13" i="30" s="1"/>
  <c r="J10" i="30"/>
  <c r="K10" i="30" s="1"/>
  <c r="J4" i="30"/>
  <c r="K4" i="30" s="1"/>
  <c r="J5" i="30"/>
  <c r="K5" i="30" s="1"/>
  <c r="J14" i="30"/>
  <c r="K14" i="30" s="1"/>
  <c r="G40" i="14"/>
  <c r="J7" i="30"/>
  <c r="K7" i="30" s="1"/>
  <c r="C31" i="30"/>
  <c r="J11" i="30"/>
  <c r="K11" i="30" s="1"/>
  <c r="H16" i="30"/>
  <c r="J8" i="30"/>
  <c r="K8" i="30" s="1"/>
  <c r="I16" i="30"/>
  <c r="J6" i="30"/>
  <c r="K6" i="30" s="1"/>
  <c r="J15" i="30"/>
  <c r="K15" i="30" s="1"/>
  <c r="G16" i="30"/>
  <c r="H12" i="25" l="1"/>
  <c r="K98" i="18"/>
  <c r="G13" i="34"/>
  <c r="H5" i="25"/>
  <c r="H21" i="25" s="1"/>
  <c r="B125" i="18"/>
  <c r="G31" i="34"/>
  <c r="G99" i="15"/>
  <c r="H38" i="18"/>
  <c r="D4" i="25"/>
  <c r="D20" i="25" s="1"/>
  <c r="F6" i="25"/>
  <c r="F22" i="25" s="1"/>
  <c r="K71" i="18"/>
  <c r="D54" i="18"/>
  <c r="D88" i="18"/>
  <c r="K125" i="18"/>
  <c r="L98" i="18"/>
  <c r="J133" i="15"/>
  <c r="F7" i="25"/>
  <c r="I98" i="18"/>
  <c r="N22" i="15"/>
  <c r="B16" i="25" s="1"/>
  <c r="F10" i="25"/>
  <c r="E22" i="18"/>
  <c r="H14" i="25"/>
  <c r="G15" i="25"/>
  <c r="I23" i="15"/>
  <c r="D39" i="15"/>
  <c r="H11" i="25"/>
  <c r="G11" i="25"/>
  <c r="E39" i="15"/>
  <c r="B8" i="25"/>
  <c r="E13" i="25"/>
  <c r="C9" i="25"/>
  <c r="D23" i="15"/>
  <c r="C4" i="25"/>
  <c r="C20" i="25" s="1"/>
  <c r="C23" i="25" s="1"/>
  <c r="G5" i="25"/>
  <c r="G21" i="25" s="1"/>
  <c r="G23" i="25" s="1"/>
  <c r="C13" i="25"/>
  <c r="H6" i="25"/>
  <c r="H22" i="25" s="1"/>
  <c r="J99" i="15"/>
  <c r="E9" i="25"/>
  <c r="L55" i="15"/>
  <c r="D99" i="15"/>
  <c r="B99" i="15"/>
  <c r="D5" i="25"/>
  <c r="D21" i="25" s="1"/>
  <c r="C132" i="15"/>
  <c r="C148" i="15" s="1"/>
  <c r="K99" i="15"/>
  <c r="G27" i="34"/>
  <c r="I126" i="15"/>
  <c r="E5" i="25"/>
  <c r="E21" i="25" s="1"/>
  <c r="E112" i="15"/>
  <c r="E125" i="18"/>
  <c r="F15" i="25"/>
  <c r="H9" i="25"/>
  <c r="L22" i="18"/>
  <c r="I125" i="18"/>
  <c r="H39" i="15"/>
  <c r="B7" i="25"/>
  <c r="E126" i="15"/>
  <c r="C88" i="18"/>
  <c r="I111" i="18"/>
  <c r="E15" i="25"/>
  <c r="D8" i="25"/>
  <c r="K22" i="18"/>
  <c r="C22" i="18"/>
  <c r="B38" i="18"/>
  <c r="J88" i="18"/>
  <c r="M54" i="18"/>
  <c r="D71" i="18"/>
  <c r="N98" i="15"/>
  <c r="G16" i="25" s="1"/>
  <c r="G98" i="18"/>
  <c r="L54" i="18"/>
  <c r="J98" i="18"/>
  <c r="F98" i="18"/>
  <c r="E11" i="25"/>
  <c r="G111" i="18"/>
  <c r="C98" i="18"/>
  <c r="C111" i="18"/>
  <c r="E6" i="25"/>
  <c r="E22" i="25" s="1"/>
  <c r="G54" i="18"/>
  <c r="H88" i="18"/>
  <c r="H10" i="25"/>
  <c r="G8" i="25"/>
  <c r="H98" i="18"/>
  <c r="F88" i="18"/>
  <c r="H99" i="15"/>
  <c r="M88" i="18"/>
  <c r="C14" i="25"/>
  <c r="J72" i="15"/>
  <c r="I88" i="18"/>
  <c r="F25" i="34"/>
  <c r="F11" i="25"/>
  <c r="F5" i="25"/>
  <c r="F21" i="25" s="1"/>
  <c r="G89" i="15"/>
  <c r="D15" i="25"/>
  <c r="D126" i="15"/>
  <c r="J54" i="18"/>
  <c r="J22" i="18"/>
  <c r="G125" i="18"/>
  <c r="E111" i="18"/>
  <c r="I71" i="18"/>
  <c r="D125" i="18"/>
  <c r="I54" i="18"/>
  <c r="M98" i="18"/>
  <c r="K38" i="18"/>
  <c r="K88" i="18"/>
  <c r="E71" i="18"/>
  <c r="B22" i="18"/>
  <c r="M38" i="18"/>
  <c r="B54" i="18"/>
  <c r="G88" i="18"/>
  <c r="J38" i="18"/>
  <c r="N71" i="15"/>
  <c r="E16" i="25" s="1"/>
  <c r="F38" i="18"/>
  <c r="F54" i="18"/>
  <c r="E54" i="18"/>
  <c r="D98" i="18"/>
  <c r="N38" i="15"/>
  <c r="C16" i="25" s="1"/>
  <c r="F111" i="18"/>
  <c r="D111" i="18"/>
  <c r="C71" i="18"/>
  <c r="C54" i="18"/>
  <c r="C23" i="15"/>
  <c r="G22" i="18"/>
  <c r="I38" i="18"/>
  <c r="G38" i="18"/>
  <c r="M39" i="15"/>
  <c r="M126" i="15"/>
  <c r="H4" i="25"/>
  <c r="H20" i="25" s="1"/>
  <c r="B23" i="15"/>
  <c r="D38" i="18"/>
  <c r="H54" i="18"/>
  <c r="H125" i="18"/>
  <c r="H111" i="18"/>
  <c r="N54" i="15"/>
  <c r="D16" i="25" s="1"/>
  <c r="N88" i="15"/>
  <c r="F16" i="25" s="1"/>
  <c r="D7" i="25"/>
  <c r="C38" i="18"/>
  <c r="N125" i="15"/>
  <c r="K54" i="18"/>
  <c r="E38" i="18"/>
  <c r="E98" i="18"/>
  <c r="B88" i="18"/>
  <c r="L125" i="18"/>
  <c r="J71" i="18"/>
  <c r="P125" i="15"/>
  <c r="B98" i="18"/>
  <c r="F71" i="18"/>
  <c r="F22" i="18"/>
  <c r="G23" i="15"/>
  <c r="E88" i="18"/>
  <c r="J125" i="18"/>
  <c r="L88" i="18"/>
  <c r="D22" i="18"/>
  <c r="B71" i="18"/>
  <c r="M71" i="18"/>
  <c r="K111" i="18"/>
  <c r="D13" i="25"/>
  <c r="H71" i="18"/>
  <c r="G26" i="34"/>
  <c r="F125" i="18"/>
  <c r="J89" i="15"/>
  <c r="I132" i="15"/>
  <c r="I134" i="15" s="1"/>
  <c r="I135" i="15" s="1"/>
  <c r="C125" i="18"/>
  <c r="G71" i="18"/>
  <c r="B111" i="18"/>
  <c r="M125" i="18"/>
  <c r="L71" i="18"/>
  <c r="L38" i="18"/>
  <c r="I22" i="18"/>
  <c r="B72" i="15"/>
  <c r="H22" i="18"/>
  <c r="M22" i="18"/>
  <c r="B23" i="25"/>
  <c r="N111" i="15"/>
  <c r="H16" i="25" s="1"/>
  <c r="B89" i="15"/>
  <c r="R115" i="15"/>
  <c r="B132" i="15"/>
  <c r="B148" i="15" s="1"/>
  <c r="B13" i="25"/>
  <c r="P88" i="15"/>
  <c r="F132" i="15"/>
  <c r="F148" i="15" s="1"/>
  <c r="C8" i="25"/>
  <c r="H13" i="25"/>
  <c r="B10" i="25"/>
  <c r="B133" i="15"/>
  <c r="E14" i="25"/>
  <c r="M111" i="18"/>
  <c r="H133" i="15"/>
  <c r="L132" i="15"/>
  <c r="L148" i="15" s="1"/>
  <c r="J132" i="15"/>
  <c r="J134" i="15" s="1"/>
  <c r="P98" i="15"/>
  <c r="G55" i="15"/>
  <c r="G132" i="15"/>
  <c r="G148" i="15" s="1"/>
  <c r="P111" i="15"/>
  <c r="P71" i="15"/>
  <c r="C133" i="15"/>
  <c r="G126" i="15"/>
  <c r="B14" i="25"/>
  <c r="H72" i="15"/>
  <c r="P22" i="15"/>
  <c r="L111" i="18"/>
  <c r="P38" i="15"/>
  <c r="D12" i="25"/>
  <c r="H15" i="25"/>
  <c r="H132" i="15"/>
  <c r="H134" i="15" s="1"/>
  <c r="F13" i="25"/>
  <c r="P54" i="15"/>
  <c r="E8" i="25"/>
  <c r="E99" i="15"/>
  <c r="M23" i="15"/>
  <c r="C12" i="25"/>
  <c r="D132" i="15"/>
  <c r="D148" i="15" s="1"/>
  <c r="D55" i="15"/>
  <c r="F126" i="15"/>
  <c r="K126" i="15"/>
  <c r="F112" i="15"/>
  <c r="L126" i="15"/>
  <c r="L89" i="15"/>
  <c r="F89" i="15"/>
  <c r="B38" i="34"/>
  <c r="B57" i="34" s="1"/>
  <c r="J111" i="18"/>
  <c r="E132" i="15"/>
  <c r="E134" i="15" s="1"/>
  <c r="E135" i="15" s="1"/>
  <c r="I39" i="15"/>
  <c r="M132" i="15"/>
  <c r="M148" i="15" s="1"/>
  <c r="L99" i="15"/>
  <c r="K132" i="15"/>
  <c r="K148" i="15" s="1"/>
  <c r="C39" i="15"/>
  <c r="D10" i="25"/>
  <c r="J23" i="15"/>
  <c r="D11" i="25"/>
  <c r="E7" i="25"/>
  <c r="F4" i="34"/>
  <c r="C38" i="34"/>
  <c r="B58" i="34" s="1"/>
  <c r="R102" i="15"/>
  <c r="C24" i="3"/>
  <c r="D135" i="18"/>
  <c r="D140" i="18" s="1"/>
  <c r="D143" i="18" s="1"/>
  <c r="C24" i="4"/>
  <c r="E135" i="18"/>
  <c r="E140" i="18" s="1"/>
  <c r="E143" i="18" s="1"/>
  <c r="J16" i="30"/>
  <c r="K16" i="30"/>
  <c r="F23" i="25" l="1"/>
  <c r="D23" i="25"/>
  <c r="G6" i="22"/>
  <c r="H23" i="25"/>
  <c r="C134" i="15"/>
  <c r="C135" i="15" s="1"/>
  <c r="G10" i="22"/>
  <c r="K134" i="15"/>
  <c r="K135" i="15" s="1"/>
  <c r="K37" i="22" s="1"/>
  <c r="M134" i="15"/>
  <c r="M135" i="15" s="1"/>
  <c r="M37" i="22" s="1"/>
  <c r="I4" i="25"/>
  <c r="I20" i="25" s="1"/>
  <c r="D131" i="18"/>
  <c r="D144" i="18" s="1"/>
  <c r="D145" i="18" s="1"/>
  <c r="F131" i="18"/>
  <c r="F144" i="18" s="1"/>
  <c r="F145" i="18" s="1"/>
  <c r="G11" i="22"/>
  <c r="I9" i="25"/>
  <c r="I16" i="25"/>
  <c r="E23" i="25"/>
  <c r="B134" i="15"/>
  <c r="B135" i="15" s="1"/>
  <c r="I13" i="25"/>
  <c r="G134" i="15"/>
  <c r="G135" i="15" s="1"/>
  <c r="H131" i="18"/>
  <c r="H144" i="18" s="1"/>
  <c r="H145" i="18" s="1"/>
  <c r="I12" i="25"/>
  <c r="P132" i="15"/>
  <c r="P148" i="15" s="1"/>
  <c r="R148" i="15" s="1"/>
  <c r="I131" i="18"/>
  <c r="I144" i="18" s="1"/>
  <c r="I145" i="18" s="1"/>
  <c r="G5" i="22"/>
  <c r="G8" i="22"/>
  <c r="I5" i="25"/>
  <c r="I21" i="25" s="1"/>
  <c r="I15" i="25"/>
  <c r="B131" i="18"/>
  <c r="B144" i="18" s="1"/>
  <c r="B145" i="18" s="1"/>
  <c r="C131" i="18"/>
  <c r="C144" i="18" s="1"/>
  <c r="C145" i="18" s="1"/>
  <c r="M131" i="18"/>
  <c r="M144" i="18" s="1"/>
  <c r="M145" i="18" s="1"/>
  <c r="G131" i="18"/>
  <c r="G144" i="18" s="1"/>
  <c r="G145" i="18" s="1"/>
  <c r="E131" i="18"/>
  <c r="E144" i="18" s="1"/>
  <c r="E145" i="18" s="1"/>
  <c r="K131" i="18"/>
  <c r="K144" i="18" s="1"/>
  <c r="K145" i="18" s="1"/>
  <c r="I148" i="15"/>
  <c r="I6" i="25"/>
  <c r="I22" i="25" s="1"/>
  <c r="I11" i="25"/>
  <c r="G9" i="22"/>
  <c r="L131" i="18"/>
  <c r="L144" i="18" s="1"/>
  <c r="L145" i="18" s="1"/>
  <c r="G7" i="22"/>
  <c r="P133" i="15"/>
  <c r="R133" i="15" s="1"/>
  <c r="I14" i="25"/>
  <c r="J135" i="15"/>
  <c r="J131" i="18"/>
  <c r="J144" i="18" s="1"/>
  <c r="J145" i="18" s="1"/>
  <c r="F134" i="15"/>
  <c r="F135" i="15" s="1"/>
  <c r="I8" i="25"/>
  <c r="I7" i="25"/>
  <c r="I10" i="25"/>
  <c r="L134" i="15"/>
  <c r="L135" i="15" s="1"/>
  <c r="L37" i="22" s="1"/>
  <c r="D134" i="15"/>
  <c r="D135" i="15" s="1"/>
  <c r="H135" i="15"/>
  <c r="H148" i="15"/>
  <c r="E148" i="15"/>
  <c r="N133" i="15"/>
  <c r="N132" i="15"/>
  <c r="J148" i="15"/>
  <c r="G4" i="34"/>
  <c r="F38" i="34"/>
  <c r="B30" i="14"/>
  <c r="Q44" i="4"/>
  <c r="B29" i="14"/>
  <c r="Q44" i="3"/>
  <c r="C26" i="4"/>
  <c r="C26" i="3"/>
  <c r="P10" i="13" s="1"/>
  <c r="D146" i="18" l="1"/>
  <c r="I23" i="25"/>
  <c r="E146" i="18"/>
  <c r="G12" i="22"/>
  <c r="N148" i="15"/>
  <c r="N134" i="15"/>
  <c r="N135" i="15" s="1"/>
  <c r="P134" i="15"/>
  <c r="R134" i="15" s="1"/>
  <c r="G38" i="34"/>
  <c r="B61" i="34" s="1"/>
  <c r="B60" i="34"/>
  <c r="P11" i="13"/>
  <c r="P135" i="15" l="1"/>
  <c r="H135" i="18"/>
  <c r="H140" i="18" s="1"/>
  <c r="H143" i="18" s="1"/>
  <c r="H146" i="18" s="1"/>
  <c r="C24" i="7"/>
  <c r="C26" i="7" s="1"/>
  <c r="P14" i="13" s="1"/>
  <c r="F135" i="18"/>
  <c r="F140" i="18" s="1"/>
  <c r="F143" i="18" s="1"/>
  <c r="F146" i="18" s="1"/>
  <c r="C24" i="5"/>
  <c r="G135" i="18"/>
  <c r="G140" i="18" s="1"/>
  <c r="G143" i="18" s="1"/>
  <c r="G146" i="18" s="1"/>
  <c r="C24" i="6"/>
  <c r="C26" i="6" s="1"/>
  <c r="C24" i="9"/>
  <c r="C26" i="9" s="1"/>
  <c r="P16" i="13" s="1"/>
  <c r="J135" i="18"/>
  <c r="J140" i="18" s="1"/>
  <c r="J143" i="18" s="1"/>
  <c r="J146" i="18" s="1"/>
  <c r="L135" i="18"/>
  <c r="L140" i="18" s="1"/>
  <c r="L143" i="18" s="1"/>
  <c r="L146" i="18" s="1"/>
  <c r="C24" i="11"/>
  <c r="C26" i="11" s="1"/>
  <c r="P18" i="13" s="1"/>
  <c r="C24" i="12"/>
  <c r="C26" i="12" s="1"/>
  <c r="P19" i="13" s="1"/>
  <c r="M135" i="18"/>
  <c r="M140" i="18" s="1"/>
  <c r="M143" i="18" s="1"/>
  <c r="M146" i="18" s="1"/>
  <c r="C24" i="8"/>
  <c r="C26" i="8" s="1"/>
  <c r="P15" i="13" s="1"/>
  <c r="I135" i="18"/>
  <c r="I140" i="18" s="1"/>
  <c r="I143" i="18" s="1"/>
  <c r="I146" i="18" s="1"/>
  <c r="C24" i="10"/>
  <c r="C26" i="10" s="1"/>
  <c r="P17" i="13" s="1"/>
  <c r="P26" i="13" s="1"/>
  <c r="N28" i="13" s="1"/>
  <c r="K135" i="18"/>
  <c r="K140" i="18" s="1"/>
  <c r="K143" i="18" s="1"/>
  <c r="K146" i="18" s="1"/>
  <c r="B31" i="14" l="1"/>
  <c r="Q44" i="5"/>
  <c r="B37" i="14"/>
  <c r="C32" i="13"/>
  <c r="G31" i="13"/>
  <c r="G28" i="13"/>
  <c r="E32" i="13"/>
  <c r="K28" i="13"/>
  <c r="B36" i="14"/>
  <c r="K32" i="13"/>
  <c r="D31" i="13"/>
  <c r="H32" i="13"/>
  <c r="B31" i="13"/>
  <c r="F32" i="13"/>
  <c r="J28" i="13"/>
  <c r="B28" i="13"/>
  <c r="H31" i="13"/>
  <c r="O28" i="13"/>
  <c r="L31" i="13"/>
  <c r="E28" i="13"/>
  <c r="B32" i="13"/>
  <c r="N32" i="13" s="1"/>
  <c r="F28" i="13"/>
  <c r="K31" i="13"/>
  <c r="H28" i="13"/>
  <c r="C31" i="13"/>
  <c r="C28" i="13"/>
  <c r="M30" i="13"/>
  <c r="N30" i="13" s="1"/>
  <c r="I31" i="13"/>
  <c r="J32" i="13"/>
  <c r="J31" i="13"/>
  <c r="F31" i="13"/>
  <c r="E31" i="13"/>
  <c r="G32" i="13"/>
  <c r="M28" i="13"/>
  <c r="D28" i="13"/>
  <c r="D32" i="13"/>
  <c r="B33" i="14"/>
  <c r="B35" i="14"/>
  <c r="C26" i="5"/>
  <c r="P12" i="13" s="1"/>
  <c r="B34" i="14"/>
  <c r="P13" i="13"/>
  <c r="B32" i="14"/>
  <c r="B38" i="14"/>
  <c r="E138" i="15"/>
  <c r="M30" i="30"/>
  <c r="P33" i="30"/>
  <c r="Q23" i="30"/>
  <c r="Q24" i="30"/>
  <c r="Q27" i="30"/>
  <c r="E141" i="15"/>
  <c r="L13" i="30"/>
  <c r="M12" i="30"/>
  <c r="F139" i="15"/>
  <c r="I38" i="22"/>
  <c r="J142" i="15"/>
  <c r="Q31" i="30"/>
  <c r="O15" i="30"/>
  <c r="O24" i="30"/>
  <c r="O28" i="30"/>
  <c r="Q30" i="30"/>
  <c r="N33" i="30"/>
  <c r="B23" i="22"/>
  <c r="N29" i="30"/>
  <c r="B138" i="15"/>
  <c r="G139" i="15"/>
  <c r="M5" i="30"/>
  <c r="L5" i="30"/>
  <c r="B3" i="21"/>
  <c r="M31" i="30"/>
  <c r="P11" i="30"/>
  <c r="R4" i="30"/>
  <c r="N14" i="30"/>
  <c r="O22" i="30"/>
  <c r="O25" i="30"/>
  <c r="O8" i="30"/>
  <c r="F42" i="22"/>
  <c r="E14" i="31"/>
  <c r="M20" i="30"/>
  <c r="P12" i="30"/>
  <c r="Q28" i="30"/>
  <c r="F141" i="15"/>
  <c r="O26" i="30"/>
  <c r="P25" i="30"/>
  <c r="E139" i="15"/>
  <c r="O29" i="30"/>
  <c r="M33" i="30"/>
  <c r="O6" i="30"/>
  <c r="D142" i="15"/>
  <c r="R8" i="30"/>
  <c r="P24" i="30"/>
  <c r="O30" i="30"/>
  <c r="K143" i="15"/>
  <c r="M6" i="30"/>
  <c r="B143" i="15"/>
  <c r="N31" i="30"/>
  <c r="E11" i="31"/>
  <c r="I141" i="15"/>
  <c r="M26" i="30"/>
  <c r="M141" i="15"/>
  <c r="P32" i="30"/>
  <c r="S30" i="30"/>
  <c r="E6" i="31"/>
  <c r="B141" i="15"/>
  <c r="N12" i="30"/>
  <c r="B7" i="22"/>
  <c r="Q29" i="30"/>
  <c r="R10" i="30"/>
  <c r="D42" i="22"/>
  <c r="O5" i="30"/>
  <c r="M10" i="30"/>
  <c r="O11" i="30"/>
  <c r="M4" i="30"/>
  <c r="N10" i="30"/>
  <c r="E42" i="22"/>
  <c r="M13" i="30"/>
  <c r="B6" i="22"/>
  <c r="K139" i="15"/>
  <c r="R14" i="30"/>
  <c r="N22" i="30"/>
  <c r="E143" i="15"/>
  <c r="B17" i="22"/>
  <c r="S21" i="30"/>
  <c r="L7" i="30"/>
  <c r="O23" i="30"/>
  <c r="F142" i="15"/>
  <c r="N11" i="30"/>
  <c r="Q26" i="30"/>
  <c r="I139" i="15"/>
  <c r="G38" i="22"/>
  <c r="M25" i="30"/>
  <c r="M9" i="30"/>
  <c r="S32" i="30"/>
  <c r="P21" i="30"/>
  <c r="B2" i="21"/>
  <c r="M32" i="30"/>
  <c r="J139" i="15"/>
  <c r="H38" i="22"/>
  <c r="H142" i="15"/>
  <c r="O14" i="30"/>
  <c r="P13" i="30"/>
  <c r="F138" i="15"/>
  <c r="P23" i="30"/>
  <c r="D139" i="15"/>
  <c r="G142" i="15"/>
  <c r="R9" i="30"/>
  <c r="O12" i="30"/>
  <c r="E13" i="31"/>
  <c r="N8" i="30"/>
  <c r="R13" i="30"/>
  <c r="K42" i="22"/>
  <c r="P28" i="30"/>
  <c r="G143" i="15"/>
  <c r="C142" i="15"/>
  <c r="L6" i="30"/>
  <c r="D138" i="15"/>
  <c r="J143" i="15"/>
  <c r="P29" i="30"/>
  <c r="M14" i="30"/>
  <c r="I138" i="15"/>
  <c r="E4" i="31"/>
  <c r="B16" i="22"/>
  <c r="M23" i="30"/>
  <c r="E8" i="31"/>
  <c r="S25" i="30"/>
  <c r="Q21" i="30"/>
  <c r="M29" i="30"/>
  <c r="O10" i="30"/>
  <c r="I143" i="15"/>
  <c r="N4" i="30"/>
  <c r="L142" i="15"/>
  <c r="L8" i="30"/>
  <c r="N20" i="30"/>
  <c r="E12" i="31"/>
  <c r="G138" i="15"/>
  <c r="L15" i="30"/>
  <c r="P31" i="30"/>
  <c r="E142" i="15"/>
  <c r="E38" i="22"/>
  <c r="E9" i="31"/>
  <c r="K141" i="15"/>
  <c r="G42" i="22"/>
  <c r="O9" i="30"/>
  <c r="B42" i="22"/>
  <c r="S27" i="30"/>
  <c r="C138" i="15"/>
  <c r="P15" i="30"/>
  <c r="S28" i="30"/>
  <c r="P22" i="30"/>
  <c r="N13" i="30"/>
  <c r="N23" i="30"/>
  <c r="E7" i="31"/>
  <c r="I142" i="15"/>
  <c r="F38" i="22"/>
  <c r="L4" i="30"/>
  <c r="M24" i="30"/>
  <c r="B9" i="22"/>
  <c r="O27" i="30"/>
  <c r="O21" i="30"/>
  <c r="D143" i="15"/>
  <c r="P26" i="30"/>
  <c r="H139" i="15"/>
  <c r="P6" i="30"/>
  <c r="N15" i="30"/>
  <c r="Q32" i="30"/>
  <c r="N9" i="30"/>
  <c r="M139" i="15"/>
  <c r="P27" i="30"/>
  <c r="P4" i="30"/>
  <c r="L9" i="30"/>
  <c r="M142" i="15"/>
  <c r="K142" i="15"/>
  <c r="O4" i="30"/>
  <c r="I42" i="22"/>
  <c r="N7" i="30"/>
  <c r="P9" i="30"/>
  <c r="P5" i="30"/>
  <c r="H138" i="15"/>
  <c r="M27" i="30"/>
  <c r="P14" i="30"/>
  <c r="R12" i="30"/>
  <c r="H141" i="15"/>
  <c r="S26" i="30"/>
  <c r="L141" i="15"/>
  <c r="F143" i="15"/>
  <c r="Q22" i="30"/>
  <c r="L143" i="15"/>
  <c r="S31" i="30"/>
  <c r="D141" i="15"/>
  <c r="P10" i="30"/>
  <c r="O13" i="30"/>
  <c r="O33" i="30"/>
  <c r="P8" i="30"/>
  <c r="Q33" i="30"/>
  <c r="O20" i="30"/>
  <c r="L14" i="30"/>
  <c r="L138" i="15"/>
  <c r="P20" i="30"/>
  <c r="H143" i="15"/>
  <c r="N26" i="30"/>
  <c r="D38" i="22"/>
  <c r="S29" i="30"/>
  <c r="L12" i="30"/>
  <c r="P30" i="30"/>
  <c r="N25" i="30"/>
  <c r="J138" i="15"/>
  <c r="B4" i="21"/>
  <c r="M138" i="15"/>
  <c r="C143" i="15"/>
  <c r="M8" i="30"/>
  <c r="B5" i="22"/>
  <c r="L11" i="30"/>
  <c r="R15" i="30"/>
  <c r="M7" i="30"/>
  <c r="R7" i="30"/>
  <c r="R5" i="30"/>
  <c r="R11" i="30"/>
  <c r="R6" i="30"/>
  <c r="K138" i="15"/>
  <c r="E5" i="31"/>
  <c r="C42" i="22"/>
  <c r="N30" i="30"/>
  <c r="B142" i="15"/>
  <c r="M21" i="30"/>
  <c r="B8" i="22"/>
  <c r="M15" i="30"/>
  <c r="J38" i="22"/>
  <c r="N24" i="30"/>
  <c r="C141" i="15"/>
  <c r="J141" i="15"/>
  <c r="S23" i="30"/>
  <c r="M22" i="30"/>
  <c r="S22" i="30"/>
  <c r="M11" i="30"/>
  <c r="J42" i="22"/>
  <c r="O7" i="30"/>
  <c r="N32" i="30"/>
  <c r="N28" i="30"/>
  <c r="P7" i="30"/>
  <c r="N6" i="30"/>
  <c r="S24" i="30"/>
  <c r="G141" i="15"/>
  <c r="L139" i="15"/>
  <c r="H42" i="22"/>
  <c r="B10" i="22"/>
  <c r="S33" i="30"/>
  <c r="M42" i="22"/>
  <c r="O31" i="30"/>
  <c r="Q20" i="30"/>
  <c r="L42" i="22"/>
  <c r="N5" i="30"/>
  <c r="N21" i="30"/>
  <c r="O32" i="30"/>
  <c r="E10" i="31"/>
  <c r="Q25" i="30"/>
  <c r="L10" i="30"/>
  <c r="M28" i="30"/>
  <c r="M143" i="15"/>
  <c r="N27" i="30"/>
  <c r="C18" i="1" l="1"/>
  <c r="F11" i="22"/>
  <c r="C11" i="22"/>
  <c r="D11" i="22"/>
  <c r="H11" i="22" s="1"/>
  <c r="G28" i="30"/>
  <c r="C18" i="7"/>
  <c r="C32" i="7" s="1"/>
  <c r="E33" i="14" s="1"/>
  <c r="C18" i="11"/>
  <c r="C37" i="14" s="1"/>
  <c r="L18" i="13"/>
  <c r="I18" i="13" s="1"/>
  <c r="F6" i="22"/>
  <c r="C6" i="22"/>
  <c r="D6" i="22"/>
  <c r="H6" i="22" s="1"/>
  <c r="L11" i="13"/>
  <c r="I11" i="13" s="1"/>
  <c r="C18" i="8"/>
  <c r="C32" i="8" s="1"/>
  <c r="E34" i="14" s="1"/>
  <c r="L8" i="13"/>
  <c r="I8" i="13" s="1"/>
  <c r="I21" i="13" s="1"/>
  <c r="I22" i="13" s="1"/>
  <c r="G21" i="30"/>
  <c r="G27" i="30"/>
  <c r="D18" i="7"/>
  <c r="H33" i="14" s="1"/>
  <c r="D18" i="11"/>
  <c r="D32" i="11" s="1"/>
  <c r="J37" i="14" s="1"/>
  <c r="T21" i="30"/>
  <c r="U21" i="30" s="1"/>
  <c r="T20" i="30"/>
  <c r="U20" i="30" s="1"/>
  <c r="D18" i="4"/>
  <c r="D32" i="4" s="1"/>
  <c r="J30" i="14" s="1"/>
  <c r="G23" i="30"/>
  <c r="I144" i="15"/>
  <c r="I147" i="15" s="1"/>
  <c r="I149" i="15" s="1"/>
  <c r="D32" i="2"/>
  <c r="J28" i="14" s="1"/>
  <c r="O16" i="30"/>
  <c r="C18" i="12"/>
  <c r="C38" i="14" s="1"/>
  <c r="C18" i="6"/>
  <c r="C32" i="6" s="1"/>
  <c r="E32" i="14" s="1"/>
  <c r="C18" i="3"/>
  <c r="P34" i="30"/>
  <c r="G22" i="30"/>
  <c r="N138" i="15"/>
  <c r="P138" i="15"/>
  <c r="R138" i="15" s="1"/>
  <c r="O34" i="30"/>
  <c r="G26" i="30"/>
  <c r="L14" i="13"/>
  <c r="I14" i="13" s="1"/>
  <c r="C18" i="10"/>
  <c r="M34" i="30"/>
  <c r="L12" i="13"/>
  <c r="I12" i="13" s="1"/>
  <c r="G25" i="30"/>
  <c r="D18" i="9"/>
  <c r="D32" i="9" s="1"/>
  <c r="J35" i="14" s="1"/>
  <c r="D18" i="3"/>
  <c r="D32" i="3" s="1"/>
  <c r="J29" i="14" s="1"/>
  <c r="F5" i="22"/>
  <c r="C5" i="22"/>
  <c r="D5" i="22"/>
  <c r="H5" i="22" s="1"/>
  <c r="B12" i="22"/>
  <c r="D12" i="22" s="1"/>
  <c r="G19" i="30"/>
  <c r="T33" i="30"/>
  <c r="U33" i="30" s="1"/>
  <c r="L13" i="13"/>
  <c r="I13" i="13" s="1"/>
  <c r="D8" i="22"/>
  <c r="H8" i="22" s="1"/>
  <c r="C8" i="22"/>
  <c r="F8" i="22"/>
  <c r="L19" i="13"/>
  <c r="I19" i="13" s="1"/>
  <c r="P16" i="30"/>
  <c r="G24" i="30"/>
  <c r="K144" i="15"/>
  <c r="K147" i="15" s="1"/>
  <c r="K149" i="15" s="1"/>
  <c r="G29" i="30"/>
  <c r="L17" i="13"/>
  <c r="I17" i="13" s="1"/>
  <c r="I26" i="13" s="1"/>
  <c r="I27" i="13" s="1"/>
  <c r="P143" i="15"/>
  <c r="R143" i="15" s="1"/>
  <c r="N143" i="15"/>
  <c r="Q34" i="30"/>
  <c r="G20" i="30"/>
  <c r="L10" i="13"/>
  <c r="I10" i="13" s="1"/>
  <c r="C18" i="4"/>
  <c r="E144" i="15"/>
  <c r="E147" i="15" s="1"/>
  <c r="E149" i="15" s="1"/>
  <c r="L16" i="30"/>
  <c r="T32" i="30"/>
  <c r="U32" i="30" s="1"/>
  <c r="N141" i="15"/>
  <c r="P141" i="15"/>
  <c r="R141" i="15" s="1"/>
  <c r="L144" i="15"/>
  <c r="L147" i="15" s="1"/>
  <c r="L149" i="15" s="1"/>
  <c r="J144" i="15"/>
  <c r="J147" i="15" s="1"/>
  <c r="J149" i="15" s="1"/>
  <c r="L9" i="13"/>
  <c r="I9" i="13" s="1"/>
  <c r="D18" i="12"/>
  <c r="H38" i="14" s="1"/>
  <c r="D18" i="8"/>
  <c r="D32" i="8" s="1"/>
  <c r="J34" i="14" s="1"/>
  <c r="B135" i="18"/>
  <c r="B140" i="18" s="1"/>
  <c r="B143" i="18" s="1"/>
  <c r="B146" i="18" s="1"/>
  <c r="C24" i="1"/>
  <c r="N34" i="30"/>
  <c r="N16" i="30"/>
  <c r="L16" i="13"/>
  <c r="I16" i="13" s="1"/>
  <c r="C18" i="9"/>
  <c r="C7" i="22"/>
  <c r="D7" i="22"/>
  <c r="H7" i="22" s="1"/>
  <c r="F7" i="22"/>
  <c r="F9" i="22"/>
  <c r="C9" i="22"/>
  <c r="D9" i="22"/>
  <c r="H9" i="22" s="1"/>
  <c r="L15" i="13"/>
  <c r="I15" i="13" s="1"/>
  <c r="D18" i="10"/>
  <c r="H36" i="14" s="1"/>
  <c r="D18" i="6"/>
  <c r="D32" i="6" s="1"/>
  <c r="J32" i="14" s="1"/>
  <c r="D10" i="22"/>
  <c r="H10" i="22" s="1"/>
  <c r="F10" i="22"/>
  <c r="C10" i="22"/>
  <c r="P142" i="15"/>
  <c r="R142" i="15" s="1"/>
  <c r="N142" i="15"/>
  <c r="D144" i="15"/>
  <c r="D147" i="15" s="1"/>
  <c r="D149" i="15" s="1"/>
  <c r="C135" i="18"/>
  <c r="C140" i="18" s="1"/>
  <c r="C143" i="18" s="1"/>
  <c r="C146" i="18" s="1"/>
  <c r="C24" i="2"/>
  <c r="M144" i="15"/>
  <c r="M147" i="15" s="1"/>
  <c r="M149" i="15" s="1"/>
  <c r="D18" i="5"/>
  <c r="D32" i="5" s="1"/>
  <c r="J31" i="14" s="1"/>
  <c r="D18" i="1"/>
  <c r="D32" i="1" s="1"/>
  <c r="J27" i="14" s="1"/>
  <c r="C18" i="5"/>
  <c r="F144" i="15"/>
  <c r="F147" i="15" s="1"/>
  <c r="F149" i="15" s="1"/>
  <c r="G30" i="30"/>
  <c r="H144" i="15"/>
  <c r="H147" i="15" s="1"/>
  <c r="H149" i="15" s="1"/>
  <c r="G144" i="15"/>
  <c r="G147" i="15" s="1"/>
  <c r="G149" i="15" s="1"/>
  <c r="M16" i="30"/>
  <c r="E37" i="22"/>
  <c r="R22" i="30"/>
  <c r="H37" i="22"/>
  <c r="Q10" i="30"/>
  <c r="Q4" i="30"/>
  <c r="R23" i="30"/>
  <c r="B15" i="22"/>
  <c r="R33" i="30"/>
  <c r="Q45" i="1"/>
  <c r="D37" i="22"/>
  <c r="Q11" i="30"/>
  <c r="C139" i="15"/>
  <c r="R28" i="30"/>
  <c r="R26" i="30"/>
  <c r="R29" i="30"/>
  <c r="B139" i="15"/>
  <c r="R32" i="30"/>
  <c r="Q7" i="30"/>
  <c r="Q5" i="30"/>
  <c r="G37" i="22"/>
  <c r="R27" i="30"/>
  <c r="Q12" i="30"/>
  <c r="Q6" i="30"/>
  <c r="R30" i="30"/>
  <c r="I37" i="22"/>
  <c r="Q45" i="3"/>
  <c r="Q15" i="30"/>
  <c r="Q8" i="30"/>
  <c r="Q14" i="30"/>
  <c r="R25" i="30"/>
  <c r="R20" i="30"/>
  <c r="J37" i="22"/>
  <c r="Q13" i="30"/>
  <c r="C37" i="22"/>
  <c r="R24" i="30"/>
  <c r="R21" i="30"/>
  <c r="B37" i="22"/>
  <c r="Q9" i="30"/>
  <c r="F37" i="22"/>
  <c r="B18" i="22"/>
  <c r="R31" i="30"/>
  <c r="C32" i="5" l="1"/>
  <c r="E31" i="14" s="1"/>
  <c r="C32" i="4"/>
  <c r="E30" i="14" s="1"/>
  <c r="C26" i="2"/>
  <c r="Q44" i="2"/>
  <c r="C26" i="1"/>
  <c r="P8" i="13" s="1"/>
  <c r="Q44" i="1"/>
  <c r="C27" i="14"/>
  <c r="C36" i="14"/>
  <c r="C17" i="22"/>
  <c r="C144" i="15"/>
  <c r="C147" i="15" s="1"/>
  <c r="C149" i="15" s="1"/>
  <c r="B144" i="15"/>
  <c r="B147" i="15" s="1"/>
  <c r="B149" i="15" s="1"/>
  <c r="N139" i="15"/>
  <c r="N144" i="15" s="1"/>
  <c r="N147" i="15" s="1"/>
  <c r="N149" i="15" s="1"/>
  <c r="P139" i="15"/>
  <c r="R139" i="15" s="1"/>
  <c r="L38" i="22"/>
  <c r="L26" i="13"/>
  <c r="L27" i="13" s="1"/>
  <c r="D32" i="10"/>
  <c r="J36" i="14" s="1"/>
  <c r="C32" i="12"/>
  <c r="E38" i="14" s="1"/>
  <c r="I32" i="13"/>
  <c r="I28" i="13"/>
  <c r="C32" i="10"/>
  <c r="E36" i="14" s="1"/>
  <c r="M15" i="13"/>
  <c r="C32" i="11"/>
  <c r="E37" i="14" s="1"/>
  <c r="H37" i="14"/>
  <c r="B28" i="14"/>
  <c r="C12" i="22"/>
  <c r="H35" i="14"/>
  <c r="C32" i="1"/>
  <c r="E27" i="14" s="1"/>
  <c r="G31" i="30"/>
  <c r="K38" i="22"/>
  <c r="H12" i="22"/>
  <c r="F12" i="22"/>
  <c r="C18" i="22"/>
  <c r="B19" i="22"/>
  <c r="A19" i="22" s="1"/>
  <c r="T26" i="30"/>
  <c r="U26" i="30" s="1"/>
  <c r="S4" i="30"/>
  <c r="E19" i="30"/>
  <c r="F19" i="30" s="1"/>
  <c r="H19" i="30" s="1"/>
  <c r="T31" i="30"/>
  <c r="U31" i="30" s="1"/>
  <c r="T30" i="30"/>
  <c r="U30" i="30" s="1"/>
  <c r="E27" i="30"/>
  <c r="F27" i="30" s="1"/>
  <c r="H27" i="30" s="1"/>
  <c r="S12" i="30"/>
  <c r="T27" i="30"/>
  <c r="U27" i="30" s="1"/>
  <c r="S15" i="30"/>
  <c r="E30" i="30"/>
  <c r="F30" i="30" s="1"/>
  <c r="H30" i="30" s="1"/>
  <c r="S7" i="30"/>
  <c r="E22" i="30"/>
  <c r="F22" i="30" s="1"/>
  <c r="H22" i="30" s="1"/>
  <c r="S8" i="30"/>
  <c r="E23" i="30"/>
  <c r="F23" i="30" s="1"/>
  <c r="H23" i="30" s="1"/>
  <c r="S13" i="30"/>
  <c r="E28" i="30"/>
  <c r="F28" i="30" s="1"/>
  <c r="H28" i="30" s="1"/>
  <c r="T29" i="30"/>
  <c r="U29" i="30" s="1"/>
  <c r="T22" i="30"/>
  <c r="U22" i="30" s="1"/>
  <c r="S5" i="30"/>
  <c r="E20" i="30"/>
  <c r="F20" i="30" s="1"/>
  <c r="H20" i="30" s="1"/>
  <c r="T28" i="30"/>
  <c r="U28" i="30" s="1"/>
  <c r="T25" i="30"/>
  <c r="U25" i="30" s="1"/>
  <c r="T24" i="30"/>
  <c r="U24" i="30" s="1"/>
  <c r="E26" i="30"/>
  <c r="F26" i="30" s="1"/>
  <c r="H26" i="30" s="1"/>
  <c r="S11" i="30"/>
  <c r="E29" i="30"/>
  <c r="F29" i="30" s="1"/>
  <c r="H29" i="30" s="1"/>
  <c r="S14" i="30"/>
  <c r="T23" i="30"/>
  <c r="U23" i="30" s="1"/>
  <c r="E24" i="30"/>
  <c r="F24" i="30" s="1"/>
  <c r="H24" i="30" s="1"/>
  <c r="S9" i="30"/>
  <c r="S10" i="30"/>
  <c r="E25" i="30"/>
  <c r="F25" i="30" s="1"/>
  <c r="H25" i="30" s="1"/>
  <c r="E21" i="30"/>
  <c r="F21" i="30" s="1"/>
  <c r="H21" i="30" s="1"/>
  <c r="S6" i="30"/>
  <c r="C32" i="2"/>
  <c r="E28" i="14" s="1"/>
  <c r="C32" i="9"/>
  <c r="E35" i="14" s="1"/>
  <c r="C33" i="14"/>
  <c r="H27" i="14"/>
  <c r="C35" i="14"/>
  <c r="D32" i="12"/>
  <c r="J38" i="14" s="1"/>
  <c r="C32" i="3"/>
  <c r="E29" i="14" s="1"/>
  <c r="M38" i="22"/>
  <c r="M13" i="13"/>
  <c r="D32" i="7"/>
  <c r="J33" i="14" s="1"/>
  <c r="B27" i="14"/>
  <c r="L21" i="13"/>
  <c r="L22" i="13" s="1"/>
  <c r="Q45" i="5"/>
  <c r="B38" i="22"/>
  <c r="C38" i="22"/>
  <c r="Q45" i="4"/>
  <c r="P9" i="13" l="1"/>
  <c r="P21" i="13" s="1"/>
  <c r="Q46" i="1"/>
  <c r="P144" i="15"/>
  <c r="P147" i="15" s="1"/>
  <c r="R147" i="15" s="1"/>
  <c r="C40" i="14"/>
  <c r="L32" i="13"/>
  <c r="L28" i="13"/>
  <c r="S16" i="30"/>
  <c r="B40" i="14"/>
  <c r="B42" i="14"/>
  <c r="H40" i="14"/>
  <c r="H31" i="30"/>
  <c r="T34" i="30"/>
  <c r="F31" i="30"/>
  <c r="E31" i="30"/>
  <c r="Q43" i="2" l="1"/>
  <c r="Q46" i="2" s="1"/>
  <c r="E23" i="13"/>
  <c r="M23" i="13"/>
  <c r="D23" i="13"/>
  <c r="K23" i="13"/>
  <c r="G23" i="13"/>
  <c r="J23" i="13"/>
  <c r="B23" i="13"/>
  <c r="N23" i="13" s="1"/>
  <c r="F23" i="13"/>
  <c r="O23" i="13"/>
  <c r="I23" i="13"/>
  <c r="C23" i="13"/>
  <c r="L23" i="13"/>
  <c r="M32" i="13"/>
  <c r="H23" i="13"/>
  <c r="P149" i="15"/>
  <c r="Q43" i="3" l="1"/>
  <c r="Q46" i="3" s="1"/>
  <c r="D36" i="5"/>
  <c r="D36" i="6"/>
  <c r="D36" i="4"/>
  <c r="D36" i="2"/>
  <c r="D36" i="3"/>
  <c r="D36" i="1"/>
  <c r="D36" i="7"/>
  <c r="D36" i="8" s="1"/>
  <c r="D36" i="9" s="1"/>
  <c r="D36" i="10" s="1"/>
  <c r="D36" i="11" s="1"/>
  <c r="D36" i="12" s="1"/>
  <c r="D35" i="1"/>
  <c r="Q43" i="4" l="1"/>
  <c r="Q46" i="4" s="1"/>
  <c r="Q43" i="5" s="1"/>
  <c r="Q46" i="5" s="1"/>
  <c r="D39" i="1"/>
  <c r="D35" i="2"/>
  <c r="D39" i="2" l="1"/>
  <c r="D35" i="3"/>
  <c r="D39" i="3" l="1"/>
  <c r="D35" i="4"/>
  <c r="D39" i="4" l="1"/>
  <c r="D35" i="5"/>
  <c r="D39" i="5" l="1"/>
  <c r="D35" i="6"/>
  <c r="D39" i="6" l="1"/>
  <c r="D35" i="7"/>
  <c r="D39" i="7" l="1"/>
  <c r="D35" i="8"/>
  <c r="D39" i="8" l="1"/>
  <c r="D35" i="9"/>
  <c r="D39" i="9" l="1"/>
  <c r="D35" i="10"/>
  <c r="D35" i="11" l="1"/>
  <c r="D39" i="10"/>
  <c r="D39" i="11" l="1"/>
  <c r="D35" i="12"/>
  <c r="D39" i="12" s="1"/>
  <c r="D28" i="1" l="1"/>
  <c r="D29" i="1" s="1"/>
  <c r="C28" i="1"/>
  <c r="C29" i="1" s="1"/>
  <c r="B40" i="22"/>
  <c r="B39" i="22"/>
  <c r="B153" i="15"/>
  <c r="B152" i="15"/>
  <c r="E29" i="1" l="1"/>
  <c r="B43" i="22"/>
  <c r="B45" i="22" s="1"/>
  <c r="C28" i="2"/>
  <c r="C29" i="2" s="1"/>
  <c r="D27" i="14"/>
  <c r="C31" i="1"/>
  <c r="F27" i="14" s="1"/>
  <c r="C30" i="1"/>
  <c r="D28" i="2"/>
  <c r="D29" i="2" s="1"/>
  <c r="D30" i="1"/>
  <c r="D31" i="1"/>
  <c r="K27" i="14" s="1"/>
  <c r="I27" i="14"/>
  <c r="C152" i="15"/>
  <c r="C39" i="22"/>
  <c r="C153" i="15"/>
  <c r="C40" i="22"/>
  <c r="C43" i="22" l="1"/>
  <c r="C45" i="22" s="1"/>
  <c r="C28" i="3"/>
  <c r="C31" i="2"/>
  <c r="F28" i="14" s="1"/>
  <c r="C30" i="2"/>
  <c r="D28" i="14"/>
  <c r="D28" i="3"/>
  <c r="D29" i="3" s="1"/>
  <c r="I28" i="14"/>
  <c r="D31" i="2"/>
  <c r="K28" i="14" s="1"/>
  <c r="D30" i="2"/>
  <c r="D40" i="22"/>
  <c r="D153" i="15"/>
  <c r="D28" i="4" l="1"/>
  <c r="D29" i="4" s="1"/>
  <c r="D31" i="3"/>
  <c r="K29" i="14" s="1"/>
  <c r="I29" i="14"/>
  <c r="D30" i="3"/>
  <c r="C29" i="3"/>
  <c r="E153" i="15"/>
  <c r="D152" i="15"/>
  <c r="D39" i="22"/>
  <c r="D43" i="22" l="1"/>
  <c r="D45" i="22" s="1"/>
  <c r="C28" i="4"/>
  <c r="C31" i="3"/>
  <c r="F29" i="14" s="1"/>
  <c r="C30" i="3"/>
  <c r="D29" i="14"/>
  <c r="D31" i="4"/>
  <c r="K30" i="14" s="1"/>
  <c r="I30" i="14"/>
  <c r="D30" i="4"/>
  <c r="D28" i="5"/>
  <c r="D29" i="5" s="1"/>
  <c r="F153" i="15"/>
  <c r="E40" i="22"/>
  <c r="D31" i="5" l="1"/>
  <c r="K31" i="14" s="1"/>
  <c r="I31" i="14"/>
  <c r="D30" i="5"/>
  <c r="D28" i="6"/>
  <c r="D29" i="6" s="1"/>
  <c r="C29" i="4"/>
  <c r="G153" i="15"/>
  <c r="E152" i="15"/>
  <c r="E39" i="22"/>
  <c r="E43" i="22" l="1"/>
  <c r="E45" i="22" s="1"/>
  <c r="C28" i="5"/>
  <c r="C30" i="4"/>
  <c r="D30" i="14"/>
  <c r="C31" i="4"/>
  <c r="F30" i="14" s="1"/>
  <c r="D31" i="6"/>
  <c r="K32" i="14" s="1"/>
  <c r="D30" i="6"/>
  <c r="I32" i="14"/>
  <c r="D28" i="7"/>
  <c r="D29" i="7" s="1"/>
  <c r="F40" i="22"/>
  <c r="H153" i="15"/>
  <c r="D30" i="7" l="1"/>
  <c r="D31" i="7"/>
  <c r="K33" i="14" s="1"/>
  <c r="D28" i="8"/>
  <c r="D29" i="8" s="1"/>
  <c r="I33" i="14"/>
  <c r="C29" i="5"/>
  <c r="I153" i="15"/>
  <c r="F152" i="15"/>
  <c r="F39" i="22"/>
  <c r="F43" i="22" l="1"/>
  <c r="F45" i="22" s="1"/>
  <c r="C28" i="6"/>
  <c r="C31" i="5"/>
  <c r="F31" i="14" s="1"/>
  <c r="D31" i="14"/>
  <c r="C30" i="5"/>
  <c r="D31" i="8"/>
  <c r="K34" i="14" s="1"/>
  <c r="D28" i="9"/>
  <c r="D29" i="9" s="1"/>
  <c r="D30" i="8"/>
  <c r="I34" i="14"/>
  <c r="G40" i="22"/>
  <c r="J153" i="15"/>
  <c r="I35" i="14" l="1"/>
  <c r="D30" i="9"/>
  <c r="D31" i="9"/>
  <c r="K35" i="14" s="1"/>
  <c r="D28" i="10"/>
  <c r="D29" i="10" s="1"/>
  <c r="C29" i="6"/>
  <c r="K153" i="15"/>
  <c r="G152" i="15"/>
  <c r="G39" i="22"/>
  <c r="G43" i="22" l="1"/>
  <c r="G45" i="22" s="1"/>
  <c r="I36" i="14"/>
  <c r="D31" i="10"/>
  <c r="K36" i="14" s="1"/>
  <c r="D30" i="10"/>
  <c r="D28" i="11"/>
  <c r="D29" i="11" s="1"/>
  <c r="C28" i="7"/>
  <c r="C31" i="6"/>
  <c r="F32" i="14" s="1"/>
  <c r="D32" i="14"/>
  <c r="C30" i="6"/>
  <c r="L153" i="15"/>
  <c r="H40" i="22"/>
  <c r="D31" i="11" l="1"/>
  <c r="K37" i="14" s="1"/>
  <c r="D30" i="11"/>
  <c r="I37" i="14"/>
  <c r="D28" i="12"/>
  <c r="D29" i="12" s="1"/>
  <c r="C29" i="7"/>
  <c r="H152" i="15"/>
  <c r="M153" i="15"/>
  <c r="H39" i="22"/>
  <c r="H43" i="22" l="1"/>
  <c r="H45" i="22" s="1"/>
  <c r="C31" i="7"/>
  <c r="F33" i="14" s="1"/>
  <c r="C30" i="7"/>
  <c r="C28" i="8"/>
  <c r="D33" i="14"/>
  <c r="D31" i="12"/>
  <c r="K38" i="14" s="1"/>
  <c r="D30" i="12"/>
  <c r="I38" i="14"/>
  <c r="I40" i="22"/>
  <c r="I40" i="14" l="1"/>
  <c r="G42" i="14"/>
  <c r="K40" i="14"/>
  <c r="H42" i="14"/>
  <c r="C29" i="8"/>
  <c r="I39" i="22"/>
  <c r="I152" i="15"/>
  <c r="I43" i="22" l="1"/>
  <c r="I45" i="22" s="1"/>
  <c r="C31" i="8"/>
  <c r="F34" i="14" s="1"/>
  <c r="C28" i="9"/>
  <c r="D34" i="14"/>
  <c r="C30" i="8"/>
  <c r="J40" i="22"/>
  <c r="C29" i="9" l="1"/>
  <c r="J39" i="22"/>
  <c r="J152" i="15"/>
  <c r="J43" i="22" l="1"/>
  <c r="J45" i="22" s="1"/>
  <c r="D35" i="14"/>
  <c r="C31" i="9"/>
  <c r="C30" i="9"/>
  <c r="C28" i="10"/>
  <c r="C29" i="10" s="1"/>
  <c r="B24" i="22"/>
  <c r="B32" i="22"/>
  <c r="K152" i="15"/>
  <c r="K39" i="22" l="1"/>
  <c r="K43" i="22" s="1"/>
  <c r="K45" i="22" s="1"/>
  <c r="K40" i="22"/>
  <c r="B34" i="22"/>
  <c r="B26" i="22"/>
  <c r="C31" i="10"/>
  <c r="F36" i="14" s="1"/>
  <c r="C30" i="10"/>
  <c r="D36" i="14"/>
  <c r="C28" i="11"/>
  <c r="C29" i="11" s="1"/>
  <c r="F35" i="14"/>
  <c r="L152" i="15"/>
  <c r="L40" i="22" l="1"/>
  <c r="L39" i="22"/>
  <c r="L43" i="22" s="1"/>
  <c r="L45" i="22" s="1"/>
  <c r="C31" i="11"/>
  <c r="F37" i="14" s="1"/>
  <c r="C30" i="11"/>
  <c r="D37" i="14"/>
  <c r="C28" i="12"/>
  <c r="C29" i="12" s="1"/>
  <c r="M152" i="15"/>
  <c r="M40" i="22" l="1"/>
  <c r="M39" i="22"/>
  <c r="M43" i="22" s="1"/>
  <c r="M45" i="22" s="1"/>
  <c r="C31" i="12"/>
  <c r="F38" i="14" s="1"/>
  <c r="D38" i="14"/>
  <c r="D40" i="14" s="1"/>
  <c r="C30" i="12"/>
  <c r="F40" i="14" l="1"/>
  <c r="C4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Desktop</author>
    <author>Lily Kramer</author>
  </authors>
  <commentList>
    <comment ref="C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Desktop:</t>
        </r>
        <r>
          <rPr>
            <sz val="9"/>
            <color indexed="81"/>
            <rFont val="Tahoma"/>
            <family val="2"/>
          </rPr>
          <t xml:space="preserve">
נכון ל-03.12.16</t>
        </r>
      </text>
    </comment>
    <comment ref="Q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Desktop:</t>
        </r>
        <r>
          <rPr>
            <sz val="9"/>
            <color indexed="81"/>
            <rFont val="Tahoma"/>
            <family val="2"/>
          </rPr>
          <t xml:space="preserve">
נכון ל-03.12.16</t>
        </r>
      </text>
    </comment>
    <comment ref="Q3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Lily Kramer:</t>
        </r>
        <r>
          <rPr>
            <sz val="9"/>
            <color indexed="81"/>
            <rFont val="Tahoma"/>
            <family val="2"/>
          </rPr>
          <t xml:space="preserve">
נכון ל-03.01.17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tc={08399451-B676-4941-B860-DF37F96795B0}</author>
  </authors>
  <commentList>
    <comment ref="T9" authorId="0" shapeId="0" xr:uid="{08399451-B676-4941-B860-DF37F96795B0}">
      <text>
        <t>[Threaded comment]
Your version of Excel allows you to read this threaded comment; however, any edits to it will get removed if the file is opened in a newer version of Excel. Learn more: https://go.microsoft.com/fwlink/?linkid=870924
Comment:
    שעבוד של 5000 שח על הפקדון - 10250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<sst xmlns="http://schemas.openxmlformats.org/spreadsheetml/2006/main" count="7392" uniqueCount="739">
  <si>
    <t>ינואר</t>
  </si>
  <si>
    <t>דיסקונט</t>
  </si>
  <si>
    <t>הפועלים</t>
  </si>
  <si>
    <t>תאריך</t>
  </si>
  <si>
    <t>נסיעות</t>
  </si>
  <si>
    <t>בגדים</t>
  </si>
  <si>
    <t>בריאות/יופי</t>
  </si>
  <si>
    <t>בית ורכב</t>
  </si>
  <si>
    <t>אחר</t>
  </si>
  <si>
    <t>קבוע אחר</t>
  </si>
  <si>
    <t>קבוע בית</t>
  </si>
  <si>
    <t>פקדון</t>
  </si>
  <si>
    <t>תשלומים</t>
  </si>
  <si>
    <t>תאריך סיום</t>
  </si>
  <si>
    <t>יתרה</t>
  </si>
  <si>
    <t>כרטיסי אשראי</t>
  </si>
  <si>
    <t>כ"א לאומי לילי</t>
  </si>
  <si>
    <t>כ"א קאל יניב</t>
  </si>
  <si>
    <t>הלוואה</t>
  </si>
  <si>
    <t>עמלות</t>
  </si>
  <si>
    <t>העברה</t>
  </si>
  <si>
    <t>מזומן</t>
  </si>
  <si>
    <t>כספומט</t>
  </si>
  <si>
    <t>חסכון</t>
  </si>
  <si>
    <t>סה"כ</t>
  </si>
  <si>
    <t>הכנסות</t>
  </si>
  <si>
    <t>קצבה</t>
  </si>
  <si>
    <t>אחרות</t>
  </si>
  <si>
    <t>מצב חשבון</t>
  </si>
  <si>
    <t>יתרה חודש קודם</t>
  </si>
  <si>
    <t>מצב עדכני</t>
  </si>
  <si>
    <t>אשראי</t>
  </si>
  <si>
    <t>יתרת אשראי</t>
  </si>
  <si>
    <t>רווח/הפסד</t>
  </si>
  <si>
    <t>יתרה חודשית</t>
  </si>
  <si>
    <t>החזר חודשי</t>
  </si>
  <si>
    <t>הלוואות</t>
  </si>
  <si>
    <t>כולל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</si>
  <si>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</si>
  <si>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</si>
  <si>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</si>
  <si>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</si>
  <si>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</si>
  <si>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</si>
  <si>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</si>
  <si>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</si>
  <si>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</si>
  <si>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</si>
  <si>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</si>
  <si>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הוצאות</t>
  </si>
  <si>
    <t>% הוצאות</t>
  </si>
  <si>
    <t>% הכנסות</t>
  </si>
  <si>
    <t>ממוצע שנתי</t>
  </si>
  <si>
    <t>ממוצע</t>
  </si>
  <si>
    <t>נתונים חודשיים</t>
  </si>
  <si>
    <t>יעדים חודשיים</t>
  </si>
  <si>
    <t>גבול עליות</t>
  </si>
  <si>
    <t>במונחי כסף</t>
  </si>
  <si>
    <t>תקשורת</t>
  </si>
  <si>
    <t>קבועים</t>
  </si>
  <si>
    <t>ממוצע שנתי 2014</t>
  </si>
  <si>
    <t>סופר</t>
  </si>
  <si>
    <t>טסט יונדאי</t>
  </si>
  <si>
    <t>בילוי</t>
  </si>
  <si>
    <t>מסעדות</t>
  </si>
  <si>
    <t>קטגוריה 1: תחזוקת דירה ותקשורת</t>
  </si>
  <si>
    <t>סיכום והוצאות</t>
  </si>
  <si>
    <t xml:space="preserve">סעיף הוצאה </t>
  </si>
  <si>
    <t>משכנתא</t>
  </si>
  <si>
    <t>שכר דירה</t>
  </si>
  <si>
    <t>ארנונה</t>
  </si>
  <si>
    <t>מים</t>
  </si>
  <si>
    <t>הכנסות בן זוג</t>
  </si>
  <si>
    <t>חשמל</t>
  </si>
  <si>
    <t>גז/נפט</t>
  </si>
  <si>
    <t>טלפון (נייח)</t>
  </si>
  <si>
    <t>טלפונים ניידים</t>
  </si>
  <si>
    <t>כבלים</t>
  </si>
  <si>
    <t>הכנסות בת זוג</t>
  </si>
  <si>
    <t>אינטרנט</t>
  </si>
  <si>
    <t>הכנסות מנכסים</t>
  </si>
  <si>
    <t>ועד בית/ישוב</t>
  </si>
  <si>
    <t>קצבת ילדים לחודש</t>
  </si>
  <si>
    <t>עוזרת בית</t>
  </si>
  <si>
    <t>הכנסה אחרת</t>
  </si>
  <si>
    <t>גינון</t>
  </si>
  <si>
    <t>ביטוח דירה</t>
  </si>
  <si>
    <t>רכישות לבית</t>
  </si>
  <si>
    <t>סיכום תקציב</t>
  </si>
  <si>
    <t>קטגוריה 2: מזון וקניות</t>
  </si>
  <si>
    <t>יתרה (זכות/חובה)</t>
  </si>
  <si>
    <t>מזון וטואלטיקה</t>
  </si>
  <si>
    <t>סיגריות</t>
  </si>
  <si>
    <t>טיפוח ויופי</t>
  </si>
  <si>
    <t>קוסמטיקה</t>
  </si>
  <si>
    <t>ביגוד והנעלה</t>
  </si>
  <si>
    <t>קניות שונות</t>
  </si>
  <si>
    <t>מזומן ללא מעקב</t>
  </si>
  <si>
    <t>קטגוריה 3: רכב ונסיעות</t>
  </si>
  <si>
    <t>דלק</t>
  </si>
  <si>
    <t>טיפולים ותיקונים</t>
  </si>
  <si>
    <t>אגרות (כולל טסט)</t>
  </si>
  <si>
    <t>ביטוח רכב</t>
  </si>
  <si>
    <t>חניה</t>
  </si>
  <si>
    <t>רכישות לאוטו</t>
  </si>
  <si>
    <t>קטגוריה 4: ילדים וחינוך</t>
  </si>
  <si>
    <t>גנים</t>
  </si>
  <si>
    <t>בתי ספר</t>
  </si>
  <si>
    <t>ספרים ועזרי לימוד</t>
  </si>
  <si>
    <t>שיעורים פרטיים</t>
  </si>
  <si>
    <t>תחבורה ונסיעות</t>
  </si>
  <si>
    <t>חוגים וקייטנות</t>
  </si>
  <si>
    <t>מטפלת / שמרטף</t>
  </si>
  <si>
    <t>צעצועים ומתנות</t>
  </si>
  <si>
    <t>מוצרי תינוקות</t>
  </si>
  <si>
    <t>דמי כיס</t>
  </si>
  <si>
    <t>ריהוט ומצרכים</t>
  </si>
  <si>
    <t>קטגוריה 5: תרבות ופנאי</t>
  </si>
  <si>
    <t>חופשות בחו"ל</t>
  </si>
  <si>
    <t>חופשות בארץ</t>
  </si>
  <si>
    <t>מועדוני ספורט ובריאות</t>
  </si>
  <si>
    <t>בילוים</t>
  </si>
  <si>
    <t>עיתונים ומנויים שונים</t>
  </si>
  <si>
    <t>אירועים ומתנות</t>
  </si>
  <si>
    <t>לימודים וקורסים</t>
  </si>
  <si>
    <t>קטגוריה 6: בריאות וטיפולים</t>
  </si>
  <si>
    <t>קופ"ח + משלים</t>
  </si>
  <si>
    <t>ביטוח בריאות פרטי</t>
  </si>
  <si>
    <t>רופאים מקצועיים</t>
  </si>
  <si>
    <t>תרופות</t>
  </si>
  <si>
    <t>קטגוריה 7: ביטוחים ופיננסים</t>
  </si>
  <si>
    <t>קופות גמל</t>
  </si>
  <si>
    <t>ניירות ערך</t>
  </si>
  <si>
    <t>ביטוחי חיים (ריסק)</t>
  </si>
  <si>
    <t>ביטוחים אחרים</t>
  </si>
  <si>
    <t>החזר הלוואות</t>
  </si>
  <si>
    <t>כ"א לאומי לילי חו"ל</t>
  </si>
  <si>
    <t>טסט סיריון</t>
  </si>
  <si>
    <t>מוניות</t>
  </si>
  <si>
    <t>אוכל יניב</t>
  </si>
  <si>
    <t>אוכל לילי</t>
  </si>
  <si>
    <t>סכום</t>
  </si>
  <si>
    <t>איך</t>
  </si>
  <si>
    <t>#</t>
  </si>
  <si>
    <t>סוג</t>
  </si>
  <si>
    <t>רגילה</t>
  </si>
  <si>
    <t>ריבית</t>
  </si>
  <si>
    <t>סכום התחלתי</t>
  </si>
  <si>
    <t>15.07.2041</t>
  </si>
  <si>
    <t>פריים</t>
  </si>
  <si>
    <t>משתנה</t>
  </si>
  <si>
    <t>קרן שווה</t>
  </si>
  <si>
    <t>לא צמודה</t>
  </si>
  <si>
    <t>15.07.2036</t>
  </si>
  <si>
    <t>P+1.2%</t>
  </si>
  <si>
    <t>קל"צ</t>
  </si>
  <si>
    <t>קבועה</t>
  </si>
  <si>
    <t>שפיצר</t>
  </si>
  <si>
    <t>קבועה צמוד</t>
  </si>
  <si>
    <t>צמודה</t>
  </si>
  <si>
    <t>P+1.5%</t>
  </si>
  <si>
    <t>05.05.2020</t>
  </si>
  <si>
    <t>מסגרת אשראי דיסקונט</t>
  </si>
  <si>
    <t>מסגרת אשראי הפועלים</t>
  </si>
  <si>
    <t>סיום</t>
  </si>
  <si>
    <t>ל-ו 1</t>
  </si>
  <si>
    <t>ל-ו 2</t>
  </si>
  <si>
    <t>י-ק 1</t>
  </si>
  <si>
    <t>י-ק 2</t>
  </si>
  <si>
    <t>ל-ח 1</t>
  </si>
  <si>
    <t>ל-ח 2</t>
  </si>
  <si>
    <t>ל-ל 1</t>
  </si>
  <si>
    <t>ל-ל 2</t>
  </si>
  <si>
    <t>הל-ד</t>
  </si>
  <si>
    <t>הל-ה</t>
  </si>
  <si>
    <t>ריכוז נתונים</t>
  </si>
  <si>
    <t>תוכניות חסכון</t>
  </si>
  <si>
    <t>י-מ 1</t>
  </si>
  <si>
    <t>י-מ 2</t>
  </si>
  <si>
    <t>חש-ד</t>
  </si>
  <si>
    <t>חש-ה</t>
  </si>
  <si>
    <t>רצוי</t>
  </si>
  <si>
    <t>נשאר</t>
  </si>
  <si>
    <t>מדרגה 1</t>
  </si>
  <si>
    <t>ריבית מתואמת 1</t>
  </si>
  <si>
    <t>מדרגה 2</t>
  </si>
  <si>
    <t>ריבית מתואמת 2</t>
  </si>
  <si>
    <t>10ביס</t>
  </si>
  <si>
    <t>שחרור פקדון</t>
  </si>
  <si>
    <t>הפקדת פקדון</t>
  </si>
  <si>
    <t>חודש</t>
  </si>
  <si>
    <t>06</t>
  </si>
  <si>
    <t>ניצול פקדון</t>
  </si>
  <si>
    <t>07</t>
  </si>
  <si>
    <t>08</t>
  </si>
  <si>
    <t>09</t>
  </si>
  <si>
    <t>10</t>
  </si>
  <si>
    <t>11</t>
  </si>
  <si>
    <t>12</t>
  </si>
  <si>
    <t>תופים</t>
  </si>
  <si>
    <t>שורקות</t>
  </si>
  <si>
    <t>04</t>
  </si>
  <si>
    <t>05</t>
  </si>
  <si>
    <t>מועד שחרור</t>
  </si>
  <si>
    <t>מנוצל</t>
  </si>
  <si>
    <t>1</t>
  </si>
  <si>
    <t>3</t>
  </si>
  <si>
    <t>4</t>
  </si>
  <si>
    <t>5</t>
  </si>
  <si>
    <t>צ'ק</t>
  </si>
  <si>
    <t>לא לחישוב</t>
  </si>
  <si>
    <t>01</t>
  </si>
  <si>
    <t>02</t>
  </si>
  <si>
    <t>03</t>
  </si>
  <si>
    <t>קטגוריה</t>
  </si>
  <si>
    <t>2: מזון וקניות</t>
  </si>
  <si>
    <t>3: רכב ונסיעות</t>
  </si>
  <si>
    <t>4: ילדים וחינוך</t>
  </si>
  <si>
    <t>5: תרבות ופנאי</t>
  </si>
  <si>
    <t>6: בריאות וטיפולים</t>
  </si>
  <si>
    <t>7: ביטוחים ופיננסים</t>
  </si>
  <si>
    <t>1: תחזוקת דירה ותקשורת</t>
  </si>
  <si>
    <t>בגדי חורף</t>
  </si>
  <si>
    <t>בגדי קיץ</t>
  </si>
  <si>
    <t>הוצאות עתידיות</t>
  </si>
  <si>
    <t>אוכל</t>
  </si>
  <si>
    <t>שונה</t>
  </si>
  <si>
    <t>סבא</t>
  </si>
  <si>
    <t>20000 יורו</t>
  </si>
  <si>
    <t>בית2</t>
  </si>
  <si>
    <t>12-16</t>
  </si>
  <si>
    <t>מינוס</t>
  </si>
  <si>
    <t>ניצול חודשי</t>
  </si>
  <si>
    <t>נכסים</t>
  </si>
  <si>
    <t>נכס (דירה, בית וכו)</t>
  </si>
  <si>
    <t>פקדונות</t>
  </si>
  <si>
    <t>קרן השתלמות</t>
  </si>
  <si>
    <t>פלוס</t>
  </si>
  <si>
    <t>חריגה</t>
  </si>
  <si>
    <t>%</t>
  </si>
  <si>
    <t>התחייבות</t>
  </si>
  <si>
    <t>מאזן</t>
  </si>
  <si>
    <t>סך הכנסות</t>
  </si>
  <si>
    <t>סה"כ  סך הכנסות לחודש</t>
  </si>
  <si>
    <t xml:space="preserve"> סך הכנסות לחודש</t>
  </si>
  <si>
    <t>סך הוצאות</t>
  </si>
  <si>
    <t>סך הוצאות (1-7)</t>
  </si>
  <si>
    <t xml:space="preserve"> סך הוצאות לחודש</t>
  </si>
  <si>
    <t>הכנסות ממשכורות</t>
  </si>
  <si>
    <t>הכנסות קצבה</t>
  </si>
  <si>
    <t>הכנסות אחרות</t>
  </si>
  <si>
    <t>הלוואות ופקדונות</t>
  </si>
  <si>
    <t>מצב נוכחי</t>
  </si>
  <si>
    <t>הוצאות חודשיות</t>
  </si>
  <si>
    <t>סך דירה ותקשורת</t>
  </si>
  <si>
    <t>סך מזון וקניות</t>
  </si>
  <si>
    <t>סך רכב ונסיעות</t>
  </si>
  <si>
    <t>סך חינוך וילדים</t>
  </si>
  <si>
    <t>סך תרבות ופנאי</t>
  </si>
  <si>
    <t>סך בריאות וטיפולים</t>
  </si>
  <si>
    <t>סך ביטוחים ופיננסים</t>
  </si>
  <si>
    <t>4: חינוך וילדים</t>
  </si>
  <si>
    <t>מנוצל (גרף)</t>
  </si>
  <si>
    <t>0-29000</t>
  </si>
  <si>
    <t>29000.01-35000</t>
  </si>
  <si>
    <t>נוכחי מול צפי</t>
  </si>
  <si>
    <t>שינוי לעומת חודש קודם</t>
  </si>
  <si>
    <t>6</t>
  </si>
  <si>
    <t>7</t>
  </si>
  <si>
    <t>8</t>
  </si>
  <si>
    <t>9</t>
  </si>
  <si>
    <t>מצב חשבון דיסקונט</t>
  </si>
  <si>
    <t>איזון נדרש</t>
  </si>
  <si>
    <t>מצב חדש</t>
  </si>
  <si>
    <t>בית (אורן+מיכה)</t>
  </si>
  <si>
    <t>הוצאות לעסק</t>
  </si>
  <si>
    <t>מסעדות ומשלוחים</t>
  </si>
  <si>
    <t>בר מים</t>
  </si>
  <si>
    <t>קנסות ותשלומים</t>
  </si>
  <si>
    <t>מכשירים</t>
  </si>
  <si>
    <t>השכרת רכב</t>
  </si>
  <si>
    <t>תחבורה ציבורית</t>
  </si>
  <si>
    <t>בילוי בחול</t>
  </si>
  <si>
    <t>שם משפחה</t>
  </si>
  <si>
    <t>שם פרטי</t>
  </si>
  <si>
    <t>מקצוע</t>
  </si>
  <si>
    <t>קבועות</t>
  </si>
  <si>
    <t>שוטף</t>
  </si>
  <si>
    <t>אדי ויידה</t>
  </si>
  <si>
    <t>קרמר אדי ויידה</t>
  </si>
  <si>
    <t>מי</t>
  </si>
  <si>
    <t>חודש חשבון</t>
  </si>
  <si>
    <t>שולם</t>
  </si>
  <si>
    <t>טרם שולם</t>
  </si>
  <si>
    <t>נשאר להחזיר</t>
  </si>
  <si>
    <t>P+1.35%</t>
  </si>
  <si>
    <t>15.11.2022</t>
  </si>
  <si>
    <t>12-17</t>
  </si>
  <si>
    <t>ביוב</t>
  </si>
  <si>
    <t>X</t>
  </si>
  <si>
    <t>סכום לתשלום</t>
  </si>
  <si>
    <t>זמני</t>
  </si>
  <si>
    <t>קבלה מס</t>
  </si>
  <si>
    <t>עבור</t>
  </si>
  <si>
    <t>כתובת</t>
  </si>
  <si>
    <t>חריגה/עודף</t>
  </si>
  <si>
    <t>אחזקת בית ותיקונים</t>
  </si>
  <si>
    <t>מנויים דיגטליים</t>
  </si>
  <si>
    <t>ריבית עו"ש</t>
  </si>
  <si>
    <t>תרומות</t>
  </si>
  <si>
    <t>אגרות כבישים</t>
  </si>
  <si>
    <t>אוניברסיטה</t>
  </si>
  <si>
    <t>י-ח</t>
  </si>
  <si>
    <t>בלת"ם</t>
  </si>
  <si>
    <t>בלת"מ</t>
  </si>
  <si>
    <t>הוצאות צפויות</t>
  </si>
  <si>
    <t>הערה</t>
  </si>
  <si>
    <t>טיפול</t>
  </si>
  <si>
    <t>הכנסות לילי</t>
  </si>
  <si>
    <t>הכנסות יניב</t>
  </si>
  <si>
    <t>פתוח</t>
  </si>
  <si>
    <t>ייעוץ</t>
  </si>
  <si>
    <t>סכום חודשי</t>
  </si>
  <si>
    <t>סוג הוצאה</t>
  </si>
  <si>
    <t>מותרות</t>
  </si>
  <si>
    <t>קטגוריה 8: עסק</t>
  </si>
  <si>
    <t>מע"מ</t>
  </si>
  <si>
    <t>מס הכנסה</t>
  </si>
  <si>
    <t>פנסיה</t>
  </si>
  <si>
    <t>ביטוח לאומי</t>
  </si>
  <si>
    <t>רו"ח</t>
  </si>
  <si>
    <t>שיווק</t>
  </si>
  <si>
    <t>הוצאות שוטפות</t>
  </si>
  <si>
    <t>רכישות לעסק</t>
  </si>
  <si>
    <t>סך עסק</t>
  </si>
  <si>
    <t>משכורת</t>
  </si>
  <si>
    <t>העברה בין חשבונות</t>
  </si>
  <si>
    <t>משכורת יניב</t>
  </si>
  <si>
    <t>משכורת לילי</t>
  </si>
  <si>
    <t>עסק</t>
  </si>
  <si>
    <t>2do</t>
  </si>
  <si>
    <t>אחרת</t>
  </si>
  <si>
    <t>הוצאות עסק</t>
  </si>
  <si>
    <t>תלמידים</t>
  </si>
  <si>
    <t>ייעוצים</t>
  </si>
  <si>
    <t>הוצאות בפועל</t>
  </si>
  <si>
    <t>הוצאות ב-%</t>
  </si>
  <si>
    <t>רווח נקי</t>
  </si>
  <si>
    <t>שארית</t>
  </si>
  <si>
    <t>הכנסות י.</t>
  </si>
  <si>
    <t>הכנסות ל.</t>
  </si>
  <si>
    <t>לאומי</t>
  </si>
  <si>
    <t>חש-ל</t>
  </si>
  <si>
    <t>הל-ל</t>
  </si>
  <si>
    <t>ממוצע הוצאות</t>
  </si>
  <si>
    <t>ביטוח לאומי 2020</t>
  </si>
  <si>
    <t>קיבוץ/שוטף</t>
  </si>
  <si>
    <t>סה"כ הוצאות</t>
  </si>
  <si>
    <t>חובה/זכות</t>
  </si>
  <si>
    <t>מצב חשבון לאומי</t>
  </si>
  <si>
    <t>2</t>
  </si>
  <si>
    <t>שם פקדון</t>
  </si>
  <si>
    <t>צבירה</t>
  </si>
  <si>
    <t>תאריך שחרור</t>
  </si>
  <si>
    <t xml:space="preserve">נכון תאריך </t>
  </si>
  <si>
    <t>השתלמות יניב ישן</t>
  </si>
  <si>
    <t>השתלמות יניב חדש</t>
  </si>
  <si>
    <t>השתלמות לילי ישן</t>
  </si>
  <si>
    <t>השתלמות לילי חדש</t>
  </si>
  <si>
    <t>נזיל</t>
  </si>
  <si>
    <t>פקדון חסכונות</t>
  </si>
  <si>
    <t>פקדון 500</t>
  </si>
  <si>
    <t>פקדון 1500</t>
  </si>
  <si>
    <t>סכום בעוד שנה</t>
  </si>
  <si>
    <t>בנייה</t>
  </si>
  <si>
    <t>ניתן לחסוך</t>
  </si>
  <si>
    <t>כן</t>
  </si>
  <si>
    <t xml:space="preserve">      </t>
  </si>
  <si>
    <t>לצמצם</t>
  </si>
  <si>
    <t>בלתם</t>
  </si>
  <si>
    <t>אחר2</t>
  </si>
  <si>
    <t>עידן פרוכטמן</t>
  </si>
  <si>
    <t>ריקוד יעל</t>
  </si>
  <si>
    <t>ריקוד ליה</t>
  </si>
  <si>
    <t>עלמה בלס</t>
  </si>
  <si>
    <t>ג'קי</t>
  </si>
  <si>
    <t>מועד נזילה 31/01/2027</t>
  </si>
  <si>
    <t>מועד נזילה 29/01/2026</t>
  </si>
  <si>
    <t>שווח קרקע</t>
  </si>
  <si>
    <t>זכות בנייה</t>
  </si>
  <si>
    <t>תשלום למטר</t>
  </si>
  <si>
    <t>תשלום מיידי:</t>
  </si>
  <si>
    <t>מע"מ (33%)</t>
  </si>
  <si>
    <t>מטר מעל 120</t>
  </si>
  <si>
    <t>אריאל מלכה</t>
  </si>
  <si>
    <t>33% למטר</t>
  </si>
  <si>
    <t>1)</t>
  </si>
  <si>
    <t>2)</t>
  </si>
  <si>
    <t>3)</t>
  </si>
  <si>
    <t>ל-פ 1</t>
  </si>
  <si>
    <t>ל-פ 2</t>
  </si>
  <si>
    <t>15.07.24</t>
  </si>
  <si>
    <t>לא</t>
  </si>
  <si>
    <t>ניתאי לוי</t>
  </si>
  <si>
    <t>תשלומים חודשיים ותשלומים קבועים שנתיים</t>
  </si>
  <si>
    <t>סוזוקי</t>
  </si>
  <si>
    <t>מנויים</t>
  </si>
  <si>
    <t>16.08</t>
  </si>
  <si>
    <t>Canva</t>
  </si>
  <si>
    <t>קרקע בנות</t>
  </si>
  <si>
    <t>אופנה</t>
  </si>
  <si>
    <t>יצירה</t>
  </si>
  <si>
    <t>משחק</t>
  </si>
  <si>
    <t>12.09</t>
  </si>
  <si>
    <t>Bitdefender</t>
  </si>
  <si>
    <t>29.02.26</t>
  </si>
  <si>
    <t>סיריון</t>
  </si>
  <si>
    <t>חובה - סיריון</t>
  </si>
  <si>
    <t>13.01.26</t>
  </si>
  <si>
    <t>17.12.25</t>
  </si>
  <si>
    <t>ביטוחים ופיננסים</t>
  </si>
  <si>
    <t>בריאות וטיפולים</t>
  </si>
  <si>
    <t>תרבות ופנאי</t>
  </si>
  <si>
    <t>ילדים וחינוך</t>
  </si>
  <si>
    <t>רכב ונסיעות</t>
  </si>
  <si>
    <t>מזון וקניות</t>
  </si>
  <si>
    <t>תחזוקת דירה ותקשורת</t>
  </si>
  <si>
    <t>אמצעי</t>
  </si>
  <si>
    <t>בילוים בחו"ל</t>
  </si>
  <si>
    <t>ביטוח חו"ל</t>
  </si>
  <si>
    <t>22.10.25</t>
  </si>
  <si>
    <t>קבוע</t>
  </si>
  <si>
    <t>תוכנות מחשב</t>
  </si>
  <si>
    <t>שמו"צ</t>
  </si>
  <si>
    <t>איי רובוט</t>
  </si>
  <si>
    <t>ליאב</t>
  </si>
  <si>
    <t>טסט סוזוקי</t>
  </si>
  <si>
    <t>פקדון 2000</t>
  </si>
  <si>
    <t>גידול/דעיכה חודשי</t>
  </si>
  <si>
    <t>איראל דביר</t>
  </si>
  <si>
    <t>11.11.25</t>
  </si>
  <si>
    <t>ChatCPT</t>
  </si>
  <si>
    <t>12.03.26</t>
  </si>
  <si>
    <t>מחשב</t>
  </si>
  <si>
    <t>מייבש</t>
  </si>
  <si>
    <t>18.01.26</t>
  </si>
  <si>
    <t>Spotify</t>
  </si>
  <si>
    <t>דוח שנתי יניב</t>
  </si>
  <si>
    <t>Microsoft</t>
  </si>
  <si>
    <t>פניות במסגרת אשראי</t>
  </si>
  <si>
    <t>לילי ויזה</t>
  </si>
  <si>
    <t>יניב כאל</t>
  </si>
  <si>
    <t>לילי פלייקארד</t>
  </si>
  <si>
    <t>מנורה</t>
  </si>
  <si>
    <t>הראל</t>
  </si>
  <si>
    <t>כללית</t>
  </si>
  <si>
    <t>מגדל</t>
  </si>
  <si>
    <t>19.12.25</t>
  </si>
  <si>
    <t>תיקון רכב</t>
  </si>
  <si>
    <t>01.11</t>
  </si>
  <si>
    <t>02.11</t>
  </si>
  <si>
    <t>03.11</t>
  </si>
  <si>
    <t>04.11</t>
  </si>
  <si>
    <t>05.11</t>
  </si>
  <si>
    <t>החזר 2024</t>
  </si>
  <si>
    <t>06.11</t>
  </si>
  <si>
    <t>07.11</t>
  </si>
  <si>
    <t>08.11</t>
  </si>
  <si>
    <t>10.11</t>
  </si>
  <si>
    <t>11.11</t>
  </si>
  <si>
    <t>12.11</t>
  </si>
  <si>
    <t>13.11</t>
  </si>
  <si>
    <t>14.11</t>
  </si>
  <si>
    <t>15.11</t>
  </si>
  <si>
    <t>16.11</t>
  </si>
  <si>
    <t>17.11</t>
  </si>
  <si>
    <t>18.11</t>
  </si>
  <si>
    <t>19.11</t>
  </si>
  <si>
    <t>20.11</t>
  </si>
  <si>
    <t>21.11</t>
  </si>
  <si>
    <t>22.11</t>
  </si>
  <si>
    <t>23.11</t>
  </si>
  <si>
    <t>24.11</t>
  </si>
  <si>
    <t>25.11</t>
  </si>
  <si>
    <t>26.11</t>
  </si>
  <si>
    <t>27.11</t>
  </si>
  <si>
    <t>28.11</t>
  </si>
  <si>
    <t>29.11</t>
  </si>
  <si>
    <t>30.11</t>
  </si>
  <si>
    <t>11.02.26</t>
  </si>
  <si>
    <t>ביטוח מכנת כביסה</t>
  </si>
  <si>
    <t>01.12</t>
  </si>
  <si>
    <t>02.12</t>
  </si>
  <si>
    <t>03.12</t>
  </si>
  <si>
    <t>04.12</t>
  </si>
  <si>
    <t>05.12</t>
  </si>
  <si>
    <t>06.12</t>
  </si>
  <si>
    <t>07.12</t>
  </si>
  <si>
    <t>08.12</t>
  </si>
  <si>
    <t>09.12</t>
  </si>
  <si>
    <t>10.12</t>
  </si>
  <si>
    <t>11.12</t>
  </si>
  <si>
    <t>13.12</t>
  </si>
  <si>
    <t>14.12</t>
  </si>
  <si>
    <t>15.12</t>
  </si>
  <si>
    <t>16.12</t>
  </si>
  <si>
    <t>17.12</t>
  </si>
  <si>
    <t>18.12</t>
  </si>
  <si>
    <t>21.03.26</t>
  </si>
  <si>
    <t>02.12.25</t>
  </si>
  <si>
    <t>30.12.25</t>
  </si>
  <si>
    <t>31.12.25</t>
  </si>
  <si>
    <t>04.01.26</t>
  </si>
  <si>
    <t>05.01.26</t>
  </si>
  <si>
    <t>02.01.26</t>
  </si>
  <si>
    <t>06.01.26</t>
  </si>
  <si>
    <t>03.01.26</t>
  </si>
  <si>
    <t>01.01</t>
  </si>
  <si>
    <t>02.01</t>
  </si>
  <si>
    <t>28.02.26</t>
  </si>
  <si>
    <t>פרקט</t>
  </si>
  <si>
    <t>דלת קו 0</t>
  </si>
  <si>
    <t>02.03.26</t>
  </si>
  <si>
    <t>מועדון AI</t>
  </si>
  <si>
    <t>One</t>
  </si>
  <si>
    <t>31.12</t>
  </si>
  <si>
    <t>22.12</t>
  </si>
  <si>
    <t>23.12</t>
  </si>
  <si>
    <t>24.12</t>
  </si>
  <si>
    <t>25.12</t>
  </si>
  <si>
    <t>26.12</t>
  </si>
  <si>
    <t>27.12</t>
  </si>
  <si>
    <t>28.12</t>
  </si>
  <si>
    <t>29.12</t>
  </si>
  <si>
    <t>30.12</t>
  </si>
  <si>
    <t>19.12</t>
  </si>
  <si>
    <t>21.12</t>
  </si>
  <si>
    <t>ביט</t>
  </si>
  <si>
    <t>יעל חן</t>
  </si>
  <si>
    <t>08.01.26</t>
  </si>
  <si>
    <t>יולי כוכבי</t>
  </si>
  <si>
    <t>28.01.26</t>
  </si>
  <si>
    <t>06.01</t>
  </si>
  <si>
    <t>07.01</t>
  </si>
  <si>
    <t>04.01</t>
  </si>
  <si>
    <t>05.01</t>
  </si>
  <si>
    <t>08.01</t>
  </si>
  <si>
    <t>09.01</t>
  </si>
  <si>
    <t>10.01</t>
  </si>
  <si>
    <t>11.01.26</t>
  </si>
  <si>
    <t>12.01.26</t>
  </si>
  <si>
    <t>14.01.26</t>
  </si>
  <si>
    <t>12.01</t>
  </si>
  <si>
    <t>07.04.26</t>
  </si>
  <si>
    <t>11.01</t>
  </si>
  <si>
    <t>13.01</t>
  </si>
  <si>
    <t>14.01</t>
  </si>
  <si>
    <t>15.01</t>
  </si>
  <si>
    <t>18.01</t>
  </si>
  <si>
    <t>16.01</t>
  </si>
  <si>
    <t>19.01</t>
  </si>
  <si>
    <t>23.01</t>
  </si>
  <si>
    <t>17.01</t>
  </si>
  <si>
    <t>20.01</t>
  </si>
  <si>
    <t>22.01</t>
  </si>
  <si>
    <t>21.01</t>
  </si>
  <si>
    <t>25.01</t>
  </si>
  <si>
    <t>26.01</t>
  </si>
  <si>
    <t>27.01</t>
  </si>
  <si>
    <t>מנורות</t>
  </si>
  <si>
    <t>דירה</t>
  </si>
  <si>
    <t>04.02.26</t>
  </si>
  <si>
    <t>01.02</t>
  </si>
  <si>
    <t>02.02</t>
  </si>
  <si>
    <t>28.01</t>
  </si>
  <si>
    <t>29.01</t>
  </si>
  <si>
    <t>30.01</t>
  </si>
  <si>
    <t>בינה מלאכותית בגובה העיני</t>
  </si>
  <si>
    <t>כלל</t>
  </si>
  <si>
    <t>26.04</t>
  </si>
  <si>
    <t>03.02.26</t>
  </si>
  <si>
    <t>05.02.26</t>
  </si>
  <si>
    <t>27.01.26</t>
  </si>
  <si>
    <t>03.02</t>
  </si>
  <si>
    <t>04.02</t>
  </si>
  <si>
    <t>05.02</t>
  </si>
  <si>
    <t>06.02</t>
  </si>
  <si>
    <t>08.02</t>
  </si>
  <si>
    <t>08.05.26</t>
  </si>
  <si>
    <t>קורס PBI</t>
  </si>
  <si>
    <t>09.02</t>
  </si>
  <si>
    <t>10.02</t>
  </si>
  <si>
    <t>11.02</t>
  </si>
  <si>
    <t>12.02</t>
  </si>
  <si>
    <t>13.02</t>
  </si>
  <si>
    <t>15.02</t>
  </si>
  <si>
    <t>16.02</t>
  </si>
  <si>
    <t>18.02</t>
  </si>
  <si>
    <t>19.02</t>
  </si>
  <si>
    <t>20.02</t>
  </si>
  <si>
    <t>21.02</t>
  </si>
  <si>
    <t>23.02</t>
  </si>
  <si>
    <t>24.02</t>
  </si>
  <si>
    <t>25.02</t>
  </si>
  <si>
    <t>26.02</t>
  </si>
  <si>
    <t>27.02</t>
  </si>
  <si>
    <t>22.02</t>
  </si>
  <si>
    <t>02.03</t>
  </si>
  <si>
    <t>03.03</t>
  </si>
  <si>
    <t>ז. זהבי</t>
  </si>
  <si>
    <t>10.01.27</t>
  </si>
  <si>
    <t>חשבונית ירוקה</t>
  </si>
  <si>
    <t>10.06.26</t>
  </si>
  <si>
    <t>טיסה לגרמניה</t>
  </si>
  <si>
    <t>14.02</t>
  </si>
  <si>
    <t>22.02.26</t>
  </si>
  <si>
    <t>17.02.26</t>
  </si>
  <si>
    <t>26.02.26</t>
  </si>
  <si>
    <t>08.03.26</t>
  </si>
  <si>
    <t>04.03.26</t>
  </si>
  <si>
    <t>05.06.26</t>
  </si>
  <si>
    <t>06.03</t>
  </si>
  <si>
    <t>15.03</t>
  </si>
  <si>
    <t>14.03</t>
  </si>
  <si>
    <t>09.03</t>
  </si>
  <si>
    <t>04.03</t>
  </si>
  <si>
    <t>05.03</t>
  </si>
  <si>
    <t>10.03</t>
  </si>
  <si>
    <t>12.03</t>
  </si>
  <si>
    <t>13.03</t>
  </si>
  <si>
    <t>17.03</t>
  </si>
  <si>
    <t>20.03</t>
  </si>
  <si>
    <t>08.03</t>
  </si>
  <si>
    <t>01.03</t>
  </si>
  <si>
    <t>11.03</t>
  </si>
  <si>
    <t>יעל פרידמן</t>
  </si>
  <si>
    <t>09.03.26</t>
  </si>
  <si>
    <t>V</t>
  </si>
  <si>
    <t>רגיל</t>
  </si>
  <si>
    <t>חודש קודם</t>
  </si>
  <si>
    <t>17.02</t>
  </si>
  <si>
    <t>31.03</t>
  </si>
  <si>
    <t>30.03</t>
  </si>
  <si>
    <t>29.03</t>
  </si>
  <si>
    <t>28.03</t>
  </si>
  <si>
    <t>26.03</t>
  </si>
  <si>
    <t>25.03</t>
  </si>
  <si>
    <t>24.03</t>
  </si>
  <si>
    <t>23.03</t>
  </si>
  <si>
    <t>22.03</t>
  </si>
  <si>
    <t>19.03</t>
  </si>
  <si>
    <t>27.03</t>
  </si>
  <si>
    <t>04.04.26</t>
  </si>
  <si>
    <t>06.04</t>
  </si>
  <si>
    <t>02.04</t>
  </si>
  <si>
    <t>04.04</t>
  </si>
  <si>
    <t>05.04</t>
  </si>
  <si>
    <t>30.04.26</t>
  </si>
  <si>
    <t>01.04</t>
  </si>
  <si>
    <t>03.04</t>
  </si>
  <si>
    <t>08.04</t>
  </si>
  <si>
    <t>07.04</t>
  </si>
  <si>
    <t>09.04</t>
  </si>
  <si>
    <t>סיכום חודשים 1-3 (ינואר-מרץ)</t>
  </si>
  <si>
    <t>סעיף הוצאה</t>
  </si>
  <si>
    <t>חריגה שנתית</t>
  </si>
  <si>
    <t>חיסכון שנתי</t>
  </si>
  <si>
    <t>הערות</t>
  </si>
  <si>
    <t>קל</t>
  </si>
  <si>
    <t>ביטול/החלפת כבלים</t>
  </si>
  <si>
    <t>הפחתת מסעדות ומשלוחים</t>
  </si>
  <si>
    <t>בינוני</t>
  </si>
  <si>
    <t>בדיקת ביטוח בריאות פרטי</t>
  </si>
  <si>
    <t>ייעול הוצאות מזון</t>
  </si>
  <si>
    <t>קשה</t>
  </si>
  <si>
    <t>חיסכון בחשמל ומים</t>
  </si>
  <si>
    <t>ריכוז קניות + מבצעים</t>
  </si>
  <si>
    <t>לקנות בהנחות ולפי רשימה</t>
  </si>
  <si>
    <t>סה"כ פוטנציאל חיסכון</t>
  </si>
  <si>
    <t>פוטנציאל חיסכון שנתי:</t>
  </si>
  <si>
    <t>ממוצע חודשי (ינו-מרץ)</t>
  </si>
  <si>
    <t>תחזית שנתית</t>
  </si>
  <si>
    <t>רצוי חודשי</t>
  </si>
  <si>
    <t>רצוי שנתי</t>
  </si>
  <si>
    <t>% חריגה</t>
  </si>
  <si>
    <t>המלצות חיסכון (מבוסס על תחזית שנתית)</t>
  </si>
  <si>
    <t>המלצה</t>
  </si>
  <si>
    <t>חיסכון חודשי</t>
  </si>
  <si>
    <t>קושי</t>
  </si>
  <si>
    <t>מעבר לחבילת סלולר זולה</t>
  </si>
  <si>
    <t>שימוש חכם, נורות LED</t>
  </si>
  <si>
    <t>תחזית הוצאות שנתית (אם ימשיך כך):</t>
  </si>
  <si>
    <t>רצוי שנתי:</t>
  </si>
  <si>
    <t>חריגה שנתית צפויה:</t>
  </si>
  <si>
    <t>% חריגה מהרצוי:</t>
  </si>
  <si>
    <t>ניתוח אנומליות - מבוסס על ינואר-מרץ בלבד + תחזית שנתית</t>
  </si>
  <si>
    <t>בילויים</t>
  </si>
  <si>
    <t>בדיקת חוגים וקייטנות - האם כולם נחוצים?</t>
  </si>
  <si>
    <t>הוצאה משמעותית מאוד - 3,324₪ לעומת רצוי 1,800₪</t>
  </si>
  <si>
    <t>1,033₪ לעומת רצוי 400₪ - לבדוק כפילויות</t>
  </si>
  <si>
    <t>8,791₪ לעומת רצוי 5,000₪ - תכנון ארוחות</t>
  </si>
  <si>
    <t>הפחתת קניות שונות</t>
  </si>
  <si>
    <t>2,801₪ לעומת רצוי 1,500₪</t>
  </si>
  <si>
    <t>הפחתת מכשירים</t>
  </si>
  <si>
    <t>1,999₪ לעומת רצוי 300₪</t>
  </si>
  <si>
    <t>1,180₪ לעומת רצוי 500₪</t>
  </si>
  <si>
    <t>134₪ לעומת רצוי 130₪ - קטן אבל קל לתקן</t>
  </si>
  <si>
    <t>220₪ לעומת רצוי 175₪</t>
  </si>
  <si>
    <t>📊 סיכום התחזית השנתית</t>
  </si>
  <si>
    <t>ממוצע הוצאות חודשי (ינואר-מרץ):</t>
  </si>
  <si>
    <t>13.04</t>
  </si>
  <si>
    <t>15.04</t>
  </si>
  <si>
    <t>16.04</t>
  </si>
  <si>
    <t>10.04</t>
  </si>
  <si>
    <t>12.04</t>
  </si>
  <si>
    <t>11.04</t>
  </si>
  <si>
    <t>14.04</t>
  </si>
  <si>
    <t>17.04</t>
  </si>
  <si>
    <t>18.04</t>
  </si>
  <si>
    <t>18.06.26</t>
  </si>
  <si>
    <t>19.04</t>
  </si>
  <si>
    <t>22.04</t>
  </si>
  <si>
    <t>19.05.26</t>
  </si>
  <si>
    <t>פלפון יעל</t>
  </si>
  <si>
    <t>טיסה לוינה</t>
  </si>
  <si>
    <t>29.04.26</t>
  </si>
  <si>
    <t>אושר</t>
  </si>
  <si>
    <t>14.04.26</t>
  </si>
  <si>
    <t>30.04</t>
  </si>
  <si>
    <t>20.04</t>
  </si>
  <si>
    <t>21.04</t>
  </si>
  <si>
    <t>23.04</t>
  </si>
  <si>
    <t>24.04</t>
  </si>
  <si>
    <t>25.04</t>
  </si>
  <si>
    <t>27.04</t>
  </si>
  <si>
    <t>28.04</t>
  </si>
  <si>
    <t>29.04</t>
  </si>
  <si>
    <t>27.05.26</t>
  </si>
  <si>
    <t>תיקון סיריון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</si>
</sst>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_ ;[Red]\-0.00\ "/>
    <numFmt numFmtId="165" formatCode="0.00_ ;\-0.00\ "/>
    <numFmt numFmtId="166" formatCode="0.00_);[Red]\(0.00\)"/>
    <numFmt numFmtId="167" formatCode="0.0_ ;[Red]\-0.0\ "/>
    <numFmt numFmtId="168" formatCode="0_ ;[Red]\-0\ "/>
    <numFmt numFmtId="169" formatCode="#,##0.00_ ;[Red]\-#,##0.00\ "/>
    <numFmt numFmtId="170" formatCode="#,##0\ \₪"/>
  </numFmts>
  <fonts count="28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Open Sans Hebrew"/>
    </font>
    <font>
      <b/>
      <sz val="10"/>
      <name val="Open Sans Hebrew"/>
    </font>
    <font>
      <b/>
      <sz val="10"/>
      <color theme="0"/>
      <name val="Open Sans Hebrew"/>
    </font>
    <font>
      <sz val="10"/>
      <color theme="1"/>
      <name val="Open Sans Hebrew"/>
    </font>
    <font>
      <sz val="10"/>
      <color theme="0"/>
      <name val="Open Sans Hebrew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 Hebrew"/>
    </font>
    <font>
      <sz val="12"/>
      <color theme="1"/>
      <name val="Open Sans Hebrew"/>
      <family val="2"/>
      <scheme val="minor"/>
    </font>
    <font>
      <sz val="8"/>
      <name val="Arial"/>
      <family val="2"/>
    </font>
    <font>
      <sz val="10"/>
      <name val="Open"/>
    </font>
    <font>
      <b/>
      <sz val="10"/>
      <color theme="0"/>
      <name val="Open"/>
    </font>
    <font>
      <sz val="11"/>
      <color rgb="FF000000"/>
      <name val="Calibri"/>
      <family val="2"/>
    </font>
    <font>
      <b/>
      <sz val="10"/>
      <color theme="5"/>
      <name val="Open Sans Hebrew"/>
    </font>
    <font>
      <sz val="10"/>
      <color theme="4"/>
      <name val="Open Sans Hebrew"/>
    </font>
    <font>
      <b/>
      <sz val="10"/>
      <color theme="0"/>
      <name val="Arial"/>
      <family val="2"/>
    </font>
    <font>
      <b/>
      <sz val="10"/>
      <color theme="4"/>
      <name val="Open Sans Hebrew"/>
    </font>
    <font>
      <sz val="10"/>
      <color rgb="FF162752"/>
      <name val="Open Sans Hebrew"/>
    </font>
    <font>
      <b/>
      <sz val="10"/>
      <color rgb="FFFFFFFF"/>
      <name val="Open Sans Hebrew"/>
    </font>
    <font>
      <b/>
      <sz val="10"/>
      <color rgb="FF162752"/>
      <name val="Open Sans Hebrew"/>
    </font>
    <font>
      <b/>
      <sz val="10"/>
      <color rgb="FFFFFFFF"/>
      <name val="Arial"/>
      <family val="2"/>
    </font>
    <font>
      <b/>
      <sz val="14"/>
      <name val="Arial"/>
      <family val="2"/>
    </font>
    <font>
      <sz val="10"/>
      <color rgb="FFFF0000"/>
      <name val="Open Sans Hebrew"/>
    </font>
  </fonts>
  <fills count="25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4"/>
        <bgColor indexed="42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indexed="43"/>
        <bgColor indexed="9"/>
      </patternFill>
    </fill>
    <fill>
      <patternFill patternType="solid">
        <fgColor rgb="FFF1A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1856"/>
        <bgColor indexed="64"/>
      </patternFill>
    </fill>
    <fill>
      <patternFill patternType="solid">
        <fgColor rgb="FFF1A838"/>
        <bgColor indexed="29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29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958B"/>
        <bgColor rgb="FFFF8080"/>
      </patternFill>
    </fill>
    <fill>
      <patternFill patternType="solid">
        <fgColor rgb="FF85B1BE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  <bgColor indexed="29"/>
      </patternFill>
    </fill>
    <fill>
      <patternFill patternType="solid">
        <fgColor theme="7"/>
        <bgColor indexed="64"/>
      </patternFill>
    </fill>
    <fill>
      <patternFill patternType="solid">
        <fgColor rgb="FFA6CBCE"/>
        <bgColor indexed="64"/>
      </patternFill>
    </fill>
  </fills>
  <borders count="19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medium">
        <color theme="0" tint="-0.499984740745262"/>
      </left>
      <right style="thin">
        <color rgb="FFC01856"/>
      </right>
      <top style="medium">
        <color theme="0" tint="-0.499984740745262"/>
      </top>
      <bottom style="thin">
        <color theme="0"/>
      </bottom>
      <diagonal/>
    </border>
    <border>
      <left style="thin">
        <color rgb="FFC01856"/>
      </left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thin">
        <color theme="0"/>
      </left>
      <right style="medium">
        <color theme="0" tint="-0.499984740745262"/>
      </right>
      <top style="thin">
        <color theme="0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rgb="FFF1A838"/>
      </right>
      <top style="thin">
        <color theme="0"/>
      </top>
      <bottom style="medium">
        <color theme="0" tint="-0.499984740745262"/>
      </bottom>
      <diagonal/>
    </border>
    <border>
      <left style="thin">
        <color rgb="FFF1A838"/>
      </left>
      <right style="medium">
        <color theme="0" tint="-0.499984740745262"/>
      </right>
      <top style="thin">
        <color theme="0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/>
      </bottom>
      <diagonal/>
    </border>
    <border>
      <left/>
      <right/>
      <top style="medium">
        <color theme="0" tint="-0.499984740745262"/>
      </top>
      <bottom style="thin">
        <color theme="0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indexed="64"/>
      </bottom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 tint="-0.499984740745262"/>
      </left>
      <right/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/>
      </bottom>
      <diagonal/>
    </border>
    <border>
      <left style="medium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/>
      <bottom style="thin">
        <color theme="0"/>
      </bottom>
      <diagonal/>
    </border>
    <border>
      <left style="thin">
        <color theme="0"/>
      </left>
      <right style="medium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/>
      </right>
      <top/>
      <bottom style="thin">
        <color theme="0"/>
      </bottom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 style="thin">
        <color theme="0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rgb="FFF1A838"/>
      </right>
      <top/>
      <bottom style="medium">
        <color theme="0" tint="-0.499984740745262"/>
      </bottom>
      <diagonal/>
    </border>
    <border>
      <left style="thin">
        <color rgb="FFF1A838"/>
      </left>
      <right style="thin">
        <color rgb="FFF1A838"/>
      </right>
      <top/>
      <bottom style="medium">
        <color theme="0" tint="-0.499984740745262"/>
      </bottom>
      <diagonal/>
    </border>
    <border>
      <left style="thin">
        <color rgb="FFF1A838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medium">
        <color theme="0" tint="-0.499984740745262"/>
      </left>
      <right style="thin">
        <color theme="0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medium">
        <color theme="5"/>
      </right>
      <top/>
      <bottom style="medium">
        <color theme="0" tint="-0.499984740745262"/>
      </bottom>
      <diagonal/>
    </border>
    <border>
      <left style="medium">
        <color theme="5"/>
      </left>
      <right style="medium">
        <color theme="5"/>
      </right>
      <top/>
      <bottom style="medium">
        <color theme="0" tint="-0.499984740745262"/>
      </bottom>
      <diagonal/>
    </border>
    <border>
      <left style="medium">
        <color theme="5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5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5"/>
      </left>
      <right style="medium">
        <color theme="5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/>
      </top>
      <bottom style="thin">
        <color theme="0"/>
      </bottom>
      <diagonal/>
    </border>
    <border>
      <left style="medium">
        <color theme="6"/>
      </left>
      <right style="medium">
        <color theme="6"/>
      </right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0"/>
      </top>
      <bottom style="medium">
        <color theme="0" tint="-0.499984740745262"/>
      </bottom>
      <diagonal/>
    </border>
    <border>
      <left style="thin">
        <color rgb="FFF1A838"/>
      </left>
      <right/>
      <top style="thin">
        <color theme="0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/>
      </top>
      <bottom style="medium">
        <color theme="0" tint="-0.499984740745262"/>
      </bottom>
      <diagonal/>
    </border>
    <border>
      <left style="medium">
        <color theme="6"/>
      </left>
      <right style="medium">
        <color theme="0" tint="-0.499984740745262"/>
      </right>
      <top style="thin">
        <color theme="0"/>
      </top>
      <bottom style="medium">
        <color theme="0" tint="-0.499984740745262"/>
      </bottom>
      <diagonal/>
    </border>
    <border>
      <left style="medium">
        <color theme="6"/>
      </left>
      <right style="medium">
        <color theme="6"/>
      </right>
      <top style="thin">
        <color theme="0"/>
      </top>
      <bottom style="medium">
        <color theme="0" tint="-0.499984740745262"/>
      </bottom>
      <diagonal/>
    </border>
    <border>
      <left style="medium">
        <color theme="6"/>
      </left>
      <right style="medium">
        <color theme="6"/>
      </right>
      <top style="thin">
        <color rgb="FFFFFFFF"/>
      </top>
      <bottom style="thin">
        <color theme="0"/>
      </bottom>
      <diagonal/>
    </border>
    <border>
      <left style="medium">
        <color theme="0" tint="-0.499984740745262"/>
      </left>
      <right/>
      <top style="thin">
        <color theme="0"/>
      </top>
      <bottom style="medium">
        <color theme="0" tint="-0.499984740745262"/>
      </bottom>
      <diagonal/>
    </border>
    <border>
      <left style="thin">
        <color theme="5"/>
      </left>
      <right style="thin">
        <color theme="5"/>
      </right>
      <top style="medium">
        <color theme="0" tint="-0.499984740745262"/>
      </top>
      <bottom style="thin">
        <color theme="0"/>
      </bottom>
      <diagonal/>
    </border>
    <border>
      <left style="thin">
        <color theme="5"/>
      </left>
      <right style="thin">
        <color theme="5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6"/>
      </right>
      <top style="thin">
        <color theme="0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/>
      </top>
      <bottom style="thin">
        <color theme="0"/>
      </bottom>
      <diagonal/>
    </border>
    <border>
      <left style="medium">
        <color theme="5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FFFFFF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FFFFFF"/>
      </bottom>
      <diagonal/>
    </border>
    <border>
      <left style="thin">
        <color rgb="FFF1A838"/>
      </left>
      <right/>
      <top style="thin">
        <color rgb="FFFFFFFF"/>
      </top>
      <bottom style="medium">
        <color rgb="FF808080"/>
      </bottom>
      <diagonal/>
    </border>
    <border>
      <left style="medium">
        <color rgb="FFE2958B"/>
      </left>
      <right style="medium">
        <color rgb="FFE2958B"/>
      </right>
      <top style="thin">
        <color rgb="FFFFFFFF"/>
      </top>
      <bottom style="medium">
        <color rgb="FF808080"/>
      </bottom>
      <diagonal/>
    </border>
    <border>
      <left style="medium">
        <color rgb="FFE2958B"/>
      </left>
      <right style="medium">
        <color rgb="FF808080"/>
      </right>
      <top style="thin">
        <color rgb="FFFFFFFF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E2958B"/>
      </left>
      <right style="medium">
        <color rgb="FFE2958B"/>
      </right>
      <top style="thin">
        <color rgb="FFFFFFFF"/>
      </top>
      <bottom style="thin">
        <color rgb="FFFFFFFF"/>
      </bottom>
      <diagonal/>
    </border>
    <border>
      <left/>
      <right style="medium">
        <color rgb="FF808080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medium">
        <color rgb="FF808080"/>
      </right>
      <top style="thin">
        <color rgb="FFFFFFFF"/>
      </top>
      <bottom style="thin">
        <color rgb="FFFFFFFF"/>
      </bottom>
      <diagonal/>
    </border>
    <border>
      <left style="thin">
        <color rgb="FFE2958B"/>
      </left>
      <right style="thin">
        <color rgb="FFE2958B"/>
      </right>
      <top style="thin">
        <color rgb="FFFFFFFF"/>
      </top>
      <bottom style="medium">
        <color rgb="FF808080"/>
      </bottom>
      <diagonal/>
    </border>
    <border>
      <left/>
      <right style="medium">
        <color rgb="FF808080"/>
      </right>
      <top style="thin">
        <color rgb="FFFFFFFF"/>
      </top>
      <bottom style="medium">
        <color rgb="FF808080"/>
      </bottom>
      <diagonal/>
    </border>
    <border>
      <left style="thin">
        <color rgb="FFFFFFFF"/>
      </left>
      <right style="thin">
        <color rgb="FFFFFFFF"/>
      </right>
      <top style="medium">
        <color rgb="FF808080"/>
      </top>
      <bottom style="thin">
        <color rgb="FFFFFFFF"/>
      </bottom>
      <diagonal/>
    </border>
    <border>
      <left style="thin">
        <color rgb="FFFFFFFF"/>
      </left>
      <right style="medium">
        <color rgb="FF808080"/>
      </right>
      <top style="medium">
        <color rgb="FF80808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80808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808080"/>
      </bottom>
      <diagonal/>
    </border>
    <border>
      <left style="thin">
        <color rgb="FFFFFFFF"/>
      </left>
      <right style="medium">
        <color rgb="FF808080"/>
      </right>
      <top style="thin">
        <color rgb="FFFFFFFF"/>
      </top>
      <bottom style="medium">
        <color rgb="FF80808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85B1BE"/>
      </left>
      <right style="thin">
        <color rgb="FF85B1BE"/>
      </right>
      <top style="medium">
        <color rgb="FF808080"/>
      </top>
      <bottom/>
      <diagonal/>
    </border>
    <border>
      <left style="thin">
        <color rgb="FF85B1BE"/>
      </left>
      <right style="thin">
        <color rgb="FF85B1BE"/>
      </right>
      <top style="medium">
        <color rgb="FF808080"/>
      </top>
      <bottom style="thin">
        <color rgb="FFFFFFFF"/>
      </bottom>
      <diagonal/>
    </border>
    <border>
      <left/>
      <right style="medium">
        <color rgb="FF808080"/>
      </right>
      <top style="medium">
        <color rgb="FF808080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FFFFFF"/>
      </top>
      <bottom style="thin">
        <color rgb="FF80808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808080"/>
      </left>
      <right style="thin">
        <color rgb="FFC01856"/>
      </right>
      <top style="medium">
        <color rgb="FF808080"/>
      </top>
      <bottom style="thin">
        <color rgb="FFFFFFFF"/>
      </bottom>
      <diagonal/>
    </border>
    <border>
      <left style="thin">
        <color rgb="FFC01856"/>
      </left>
      <right style="medium">
        <color rgb="FF808080"/>
      </right>
      <top style="medium">
        <color rgb="FF808080"/>
      </top>
      <bottom style="thin">
        <color rgb="FFFFFFFF"/>
      </bottom>
      <diagonal/>
    </border>
    <border>
      <left style="medium">
        <color rgb="FF808080"/>
      </left>
      <right style="thin">
        <color rgb="FF808080"/>
      </right>
      <top style="thin">
        <color rgb="FFFFFFFF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FFFFFF"/>
      </bottom>
      <diagonal/>
    </border>
    <border>
      <left style="medium">
        <color rgb="FF808080"/>
      </left>
      <right style="thin">
        <color rgb="FFE2958B"/>
      </right>
      <top style="thin">
        <color rgb="FFFFFFFF"/>
      </top>
      <bottom style="medium">
        <color rgb="FF808080"/>
      </bottom>
      <diagonal/>
    </border>
  </borders>
  <cellStyleXfs count="6">
    <xf numFmtId="0" fontId="0" fillId="0" borderId="0"/>
    <xf numFmtId="9" fontId="2" fillId="0" borderId="0" applyFill="0" applyBorder="0" applyAlignment="0" applyProtection="0"/>
    <xf numFmtId="0" fontId="13" fillId="0" borderId="0"/>
    <xf numFmtId="0" fontId="13" fillId="0" borderId="0"/>
    <xf numFmtId="0" fontId="17" fillId="0" borderId="0" applyBorder="0"/>
    <xf numFmtId="43" fontId="2" fillId="0" borderId="0" applyFont="0" applyFill="0" applyBorder="0" applyAlignment="0" applyProtection="0"/>
  </cellStyleXfs>
  <cellXfs count="493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1" fillId="2" borderId="6" xfId="0" applyNumberFormat="1" applyFont="1" applyFill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164" fontId="1" fillId="3" borderId="2" xfId="0" applyNumberFormat="1" applyFont="1" applyFill="1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164" fontId="0" fillId="0" borderId="6" xfId="0" applyNumberFormat="1" applyBorder="1" applyAlignment="1">
      <alignment horizontal="right" readingOrder="2"/>
    </xf>
    <xf numFmtId="10" fontId="0" fillId="0" borderId="1" xfId="0" applyNumberFormat="1" applyBorder="1"/>
    <xf numFmtId="164" fontId="0" fillId="0" borderId="7" xfId="0" applyNumberFormat="1" applyBorder="1" applyAlignment="1">
      <alignment horizontal="right" readingOrder="2"/>
    </xf>
    <xf numFmtId="0" fontId="0" fillId="0" borderId="3" xfId="0" applyBorder="1"/>
    <xf numFmtId="164" fontId="0" fillId="0" borderId="6" xfId="0" applyNumberFormat="1" applyBorder="1"/>
    <xf numFmtId="164" fontId="0" fillId="0" borderId="1" xfId="0" applyNumberFormat="1" applyBorder="1" applyAlignment="1">
      <alignment horizontal="right"/>
    </xf>
    <xf numFmtId="10" fontId="0" fillId="0" borderId="1" xfId="1" applyNumberFormat="1" applyFont="1" applyBorder="1"/>
    <xf numFmtId="10" fontId="0" fillId="0" borderId="4" xfId="1" applyNumberFormat="1" applyFont="1" applyBorder="1"/>
    <xf numFmtId="10" fontId="0" fillId="4" borderId="1" xfId="0" applyNumberFormat="1" applyFill="1" applyBorder="1"/>
    <xf numFmtId="10" fontId="0" fillId="5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164" fontId="0" fillId="0" borderId="4" xfId="0" applyNumberFormat="1" applyBorder="1" applyAlignment="1">
      <alignment horizontal="right"/>
    </xf>
    <xf numFmtId="164" fontId="1" fillId="2" borderId="4" xfId="0" applyNumberFormat="1" applyFont="1" applyFill="1" applyBorder="1"/>
    <xf numFmtId="10" fontId="0" fillId="0" borderId="10" xfId="0" applyNumberFormat="1" applyBorder="1"/>
    <xf numFmtId="0" fontId="0" fillId="0" borderId="11" xfId="0" applyBorder="1"/>
    <xf numFmtId="10" fontId="0" fillId="0" borderId="10" xfId="1" applyNumberFormat="1" applyFont="1" applyBorder="1"/>
    <xf numFmtId="164" fontId="0" fillId="0" borderId="22" xfId="0" applyNumberFormat="1" applyBorder="1" applyAlignment="1">
      <alignment horizontal="right"/>
    </xf>
    <xf numFmtId="164" fontId="0" fillId="0" borderId="22" xfId="0" applyNumberFormat="1" applyBorder="1"/>
    <xf numFmtId="164" fontId="0" fillId="0" borderId="23" xfId="0" applyNumberFormat="1" applyBorder="1"/>
    <xf numFmtId="0" fontId="5" fillId="8" borderId="12" xfId="0" applyFont="1" applyFill="1" applyBorder="1"/>
    <xf numFmtId="0" fontId="5" fillId="8" borderId="14" xfId="0" applyFont="1" applyFill="1" applyBorder="1"/>
    <xf numFmtId="0" fontId="5" fillId="8" borderId="0" xfId="0" applyFont="1" applyFill="1"/>
    <xf numFmtId="0" fontId="5" fillId="0" borderId="0" xfId="0" applyFont="1"/>
    <xf numFmtId="10" fontId="5" fillId="0" borderId="0" xfId="0" applyNumberFormat="1" applyFont="1"/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9" fontId="5" fillId="0" borderId="24" xfId="0" applyNumberFormat="1" applyFont="1" applyBorder="1" applyAlignment="1">
      <alignment horizontal="right"/>
    </xf>
    <xf numFmtId="164" fontId="5" fillId="0" borderId="26" xfId="0" applyNumberFormat="1" applyFont="1" applyBorder="1"/>
    <xf numFmtId="164" fontId="5" fillId="0" borderId="27" xfId="0" applyNumberFormat="1" applyFont="1" applyBorder="1"/>
    <xf numFmtId="164" fontId="5" fillId="0" borderId="31" xfId="0" applyNumberFormat="1" applyFont="1" applyBorder="1"/>
    <xf numFmtId="164" fontId="5" fillId="0" borderId="32" xfId="0" applyNumberFormat="1" applyFont="1" applyBorder="1"/>
    <xf numFmtId="164" fontId="5" fillId="0" borderId="48" xfId="0" applyNumberFormat="1" applyFont="1" applyBorder="1"/>
    <xf numFmtId="164" fontId="7" fillId="10" borderId="51" xfId="0" applyNumberFormat="1" applyFont="1" applyFill="1" applyBorder="1" applyAlignment="1">
      <alignment horizontal="right" vertical="center"/>
    </xf>
    <xf numFmtId="164" fontId="7" fillId="10" borderId="52" xfId="0" applyNumberFormat="1" applyFont="1" applyFill="1" applyBorder="1"/>
    <xf numFmtId="0" fontId="5" fillId="0" borderId="24" xfId="0" applyFont="1" applyBorder="1"/>
    <xf numFmtId="2" fontId="5" fillId="0" borderId="24" xfId="0" applyNumberFormat="1" applyFont="1" applyBorder="1"/>
    <xf numFmtId="2" fontId="8" fillId="0" borderId="26" xfId="0" applyNumberFormat="1" applyFont="1" applyBorder="1"/>
    <xf numFmtId="0" fontId="8" fillId="0" borderId="26" xfId="0" applyFont="1" applyBorder="1"/>
    <xf numFmtId="0" fontId="8" fillId="0" borderId="33" xfId="0" applyFont="1" applyBorder="1"/>
    <xf numFmtId="2" fontId="8" fillId="0" borderId="32" xfId="0" applyNumberFormat="1" applyFont="1" applyBorder="1"/>
    <xf numFmtId="164" fontId="7" fillId="10" borderId="58" xfId="0" applyNumberFormat="1" applyFont="1" applyFill="1" applyBorder="1"/>
    <xf numFmtId="0" fontId="7" fillId="9" borderId="64" xfId="0" applyFont="1" applyFill="1" applyBorder="1"/>
    <xf numFmtId="0" fontId="7" fillId="9" borderId="65" xfId="0" applyFont="1" applyFill="1" applyBorder="1"/>
    <xf numFmtId="0" fontId="7" fillId="9" borderId="66" xfId="0" applyFont="1" applyFill="1" applyBorder="1"/>
    <xf numFmtId="0" fontId="7" fillId="9" borderId="67" xfId="0" applyFont="1" applyFill="1" applyBorder="1"/>
    <xf numFmtId="0" fontId="7" fillId="9" borderId="68" xfId="0" applyFont="1" applyFill="1" applyBorder="1"/>
    <xf numFmtId="0" fontId="7" fillId="9" borderId="69" xfId="0" applyFont="1" applyFill="1" applyBorder="1"/>
    <xf numFmtId="164" fontId="7" fillId="10" borderId="72" xfId="0" applyNumberFormat="1" applyFont="1" applyFill="1" applyBorder="1"/>
    <xf numFmtId="0" fontId="8" fillId="0" borderId="32" xfId="0" applyFont="1" applyBorder="1"/>
    <xf numFmtId="0" fontId="8" fillId="0" borderId="77" xfId="0" applyFont="1" applyBorder="1"/>
    <xf numFmtId="0" fontId="8" fillId="0" borderId="58" xfId="0" applyFont="1" applyBorder="1"/>
    <xf numFmtId="2" fontId="9" fillId="0" borderId="0" xfId="0" applyNumberFormat="1" applyFont="1"/>
    <xf numFmtId="168" fontId="5" fillId="0" borderId="78" xfId="0" applyNumberFormat="1" applyFont="1" applyBorder="1" applyAlignment="1">
      <alignment readingOrder="2"/>
    </xf>
    <xf numFmtId="168" fontId="5" fillId="0" borderId="79" xfId="0" applyNumberFormat="1" applyFont="1" applyBorder="1" applyAlignment="1">
      <alignment readingOrder="2"/>
    </xf>
    <xf numFmtId="168" fontId="5" fillId="0" borderId="79" xfId="0" applyNumberFormat="1" applyFont="1" applyBorder="1" applyAlignment="1">
      <alignment horizontal="right" readingOrder="2"/>
    </xf>
    <xf numFmtId="168" fontId="5" fillId="0" borderId="80" xfId="0" applyNumberFormat="1" applyFont="1" applyBorder="1" applyAlignment="1">
      <alignment readingOrder="2"/>
    </xf>
    <xf numFmtId="168" fontId="5" fillId="0" borderId="81" xfId="0" applyNumberFormat="1" applyFont="1" applyBorder="1" applyAlignment="1">
      <alignment readingOrder="2"/>
    </xf>
    <xf numFmtId="164" fontId="5" fillId="0" borderId="82" xfId="0" applyNumberFormat="1" applyFont="1" applyBorder="1"/>
    <xf numFmtId="164" fontId="5" fillId="0" borderId="83" xfId="0" applyNumberFormat="1" applyFont="1" applyBorder="1"/>
    <xf numFmtId="164" fontId="5" fillId="0" borderId="84" xfId="0" applyNumberFormat="1" applyFont="1" applyBorder="1"/>
    <xf numFmtId="164" fontId="5" fillId="0" borderId="74" xfId="0" applyNumberFormat="1" applyFont="1" applyBorder="1"/>
    <xf numFmtId="2" fontId="5" fillId="0" borderId="0" xfId="0" applyNumberFormat="1" applyFont="1"/>
    <xf numFmtId="0" fontId="9" fillId="0" borderId="24" xfId="0" applyFont="1" applyBorder="1"/>
    <xf numFmtId="0" fontId="5" fillId="0" borderId="85" xfId="0" applyFont="1" applyBorder="1"/>
    <xf numFmtId="0" fontId="9" fillId="0" borderId="85" xfId="0" applyFont="1" applyBorder="1"/>
    <xf numFmtId="0" fontId="9" fillId="0" borderId="49" xfId="0" applyFont="1" applyBorder="1"/>
    <xf numFmtId="0" fontId="5" fillId="0" borderId="25" xfId="0" applyFont="1" applyBorder="1"/>
    <xf numFmtId="164" fontId="9" fillId="0" borderId="49" xfId="0" applyNumberFormat="1" applyFont="1" applyBorder="1"/>
    <xf numFmtId="168" fontId="5" fillId="0" borderId="86" xfId="0" applyNumberFormat="1" applyFont="1" applyBorder="1" applyAlignment="1">
      <alignment readingOrder="2"/>
    </xf>
    <xf numFmtId="164" fontId="5" fillId="0" borderId="87" xfId="0" applyNumberFormat="1" applyFont="1" applyBorder="1"/>
    <xf numFmtId="10" fontId="5" fillId="0" borderId="82" xfId="1" applyNumberFormat="1" applyFont="1" applyBorder="1"/>
    <xf numFmtId="168" fontId="5" fillId="0" borderId="88" xfId="0" applyNumberFormat="1" applyFont="1" applyBorder="1" applyAlignment="1">
      <alignment readingOrder="2"/>
    </xf>
    <xf numFmtId="164" fontId="5" fillId="0" borderId="89" xfId="0" applyNumberFormat="1" applyFont="1" applyBorder="1"/>
    <xf numFmtId="168" fontId="5" fillId="0" borderId="88" xfId="0" applyNumberFormat="1" applyFont="1" applyBorder="1" applyAlignment="1">
      <alignment horizontal="right" readingOrder="2"/>
    </xf>
    <xf numFmtId="168" fontId="5" fillId="0" borderId="90" xfId="0" applyNumberFormat="1" applyFont="1" applyBorder="1" applyAlignment="1">
      <alignment readingOrder="2"/>
    </xf>
    <xf numFmtId="164" fontId="5" fillId="0" borderId="91" xfId="0" applyNumberFormat="1" applyFont="1" applyBorder="1"/>
    <xf numFmtId="0" fontId="5" fillId="0" borderId="36" xfId="0" applyFont="1" applyBorder="1"/>
    <xf numFmtId="0" fontId="5" fillId="0" borderId="39" xfId="0" applyFont="1" applyBorder="1"/>
    <xf numFmtId="0" fontId="9" fillId="0" borderId="39" xfId="0" applyFont="1" applyBorder="1"/>
    <xf numFmtId="0" fontId="5" fillId="0" borderId="92" xfId="0" applyFont="1" applyBorder="1"/>
    <xf numFmtId="0" fontId="5" fillId="0" borderId="86" xfId="0" applyFont="1" applyBorder="1"/>
    <xf numFmtId="2" fontId="5" fillId="0" borderId="93" xfId="0" applyNumberFormat="1" applyFont="1" applyBorder="1"/>
    <xf numFmtId="0" fontId="8" fillId="0" borderId="92" xfId="0" applyFont="1" applyBorder="1"/>
    <xf numFmtId="2" fontId="5" fillId="0" borderId="83" xfId="0" applyNumberFormat="1" applyFont="1" applyBorder="1"/>
    <xf numFmtId="2" fontId="9" fillId="0" borderId="92" xfId="0" applyNumberFormat="1" applyFont="1" applyBorder="1"/>
    <xf numFmtId="2" fontId="5" fillId="0" borderId="94" xfId="0" applyNumberFormat="1" applyFont="1" applyBorder="1"/>
    <xf numFmtId="2" fontId="5" fillId="0" borderId="38" xfId="0" applyNumberFormat="1" applyFont="1" applyBorder="1"/>
    <xf numFmtId="2" fontId="5" fillId="0" borderId="95" xfId="0" applyNumberFormat="1" applyFont="1" applyBorder="1"/>
    <xf numFmtId="0" fontId="5" fillId="0" borderId="96" xfId="0" applyFont="1" applyBorder="1"/>
    <xf numFmtId="0" fontId="5" fillId="0" borderId="97" xfId="0" applyFont="1" applyBorder="1"/>
    <xf numFmtId="0" fontId="5" fillId="0" borderId="98" xfId="0" applyFont="1" applyBorder="1"/>
    <xf numFmtId="0" fontId="5" fillId="0" borderId="99" xfId="0" applyFont="1" applyBorder="1"/>
    <xf numFmtId="2" fontId="5" fillId="0" borderId="39" xfId="0" applyNumberFormat="1" applyFont="1" applyBorder="1"/>
    <xf numFmtId="0" fontId="5" fillId="0" borderId="100" xfId="0" applyFont="1" applyBorder="1"/>
    <xf numFmtId="2" fontId="5" fillId="0" borderId="101" xfId="0" applyNumberFormat="1" applyFont="1" applyBorder="1"/>
    <xf numFmtId="0" fontId="5" fillId="0" borderId="102" xfId="0" applyFont="1" applyBorder="1"/>
    <xf numFmtId="2" fontId="5" fillId="0" borderId="103" xfId="0" applyNumberFormat="1" applyFont="1" applyBorder="1"/>
    <xf numFmtId="2" fontId="5" fillId="0" borderId="104" xfId="0" applyNumberFormat="1" applyFont="1" applyBorder="1"/>
    <xf numFmtId="0" fontId="5" fillId="0" borderId="105" xfId="0" applyFont="1" applyBorder="1"/>
    <xf numFmtId="2" fontId="5" fillId="0" borderId="106" xfId="0" applyNumberFormat="1" applyFont="1" applyBorder="1"/>
    <xf numFmtId="2" fontId="5" fillId="0" borderId="107" xfId="0" applyNumberFormat="1" applyFont="1" applyBorder="1"/>
    <xf numFmtId="0" fontId="5" fillId="0" borderId="41" xfId="0" applyFont="1" applyBorder="1"/>
    <xf numFmtId="0" fontId="5" fillId="0" borderId="38" xfId="0" applyFont="1" applyBorder="1"/>
    <xf numFmtId="0" fontId="5" fillId="0" borderId="50" xfId="0" applyFont="1" applyBorder="1"/>
    <xf numFmtId="2" fontId="5" fillId="0" borderId="42" xfId="0" applyNumberFormat="1" applyFont="1" applyBorder="1"/>
    <xf numFmtId="2" fontId="5" fillId="0" borderId="43" xfId="0" applyNumberFormat="1" applyFont="1" applyBorder="1"/>
    <xf numFmtId="164" fontId="7" fillId="10" borderId="108" xfId="0" applyNumberFormat="1" applyFont="1" applyFill="1" applyBorder="1" applyAlignment="1">
      <alignment horizontal="right" vertical="center"/>
    </xf>
    <xf numFmtId="164" fontId="7" fillId="10" borderId="109" xfId="0" applyNumberFormat="1" applyFont="1" applyFill="1" applyBorder="1"/>
    <xf numFmtId="9" fontId="7" fillId="10" borderId="109" xfId="1" applyFont="1" applyFill="1" applyBorder="1"/>
    <xf numFmtId="10" fontId="5" fillId="0" borderId="91" xfId="1" applyNumberFormat="1" applyFont="1" applyBorder="1"/>
    <xf numFmtId="164" fontId="7" fillId="10" borderId="110" xfId="0" applyNumberFormat="1" applyFont="1" applyFill="1" applyBorder="1"/>
    <xf numFmtId="0" fontId="5" fillId="0" borderId="90" xfId="0" applyFont="1" applyBorder="1"/>
    <xf numFmtId="2" fontId="5" fillId="0" borderId="31" xfId="0" applyNumberFormat="1" applyFont="1" applyBorder="1"/>
    <xf numFmtId="168" fontId="5" fillId="0" borderId="55" xfId="0" applyNumberFormat="1" applyFont="1" applyBorder="1"/>
    <xf numFmtId="168" fontId="5" fillId="0" borderId="86" xfId="0" applyNumberFormat="1" applyFont="1" applyBorder="1"/>
    <xf numFmtId="168" fontId="5" fillId="0" borderId="88" xfId="0" applyNumberFormat="1" applyFont="1" applyBorder="1"/>
    <xf numFmtId="168" fontId="5" fillId="0" borderId="90" xfId="0" applyNumberFormat="1" applyFont="1" applyBorder="1"/>
    <xf numFmtId="2" fontId="5" fillId="0" borderId="48" xfId="0" applyNumberFormat="1" applyFont="1" applyBorder="1"/>
    <xf numFmtId="0" fontId="8" fillId="0" borderId="24" xfId="0" applyFont="1" applyBorder="1"/>
    <xf numFmtId="2" fontId="8" fillId="0" borderId="24" xfId="0" applyNumberFormat="1" applyFont="1" applyBorder="1"/>
    <xf numFmtId="49" fontId="5" fillId="0" borderId="24" xfId="0" applyNumberFormat="1" applyFont="1" applyBorder="1"/>
    <xf numFmtId="0" fontId="0" fillId="0" borderId="24" xfId="0" applyBorder="1"/>
    <xf numFmtId="0" fontId="8" fillId="0" borderId="25" xfId="0" applyFont="1" applyBorder="1"/>
    <xf numFmtId="0" fontId="8" fillId="0" borderId="85" xfId="0" applyFont="1" applyBorder="1"/>
    <xf numFmtId="0" fontId="8" fillId="0" borderId="39" xfId="0" applyFont="1" applyBorder="1"/>
    <xf numFmtId="0" fontId="10" fillId="0" borderId="24" xfId="0" applyFont="1" applyBorder="1"/>
    <xf numFmtId="14" fontId="10" fillId="0" borderId="24" xfId="0" applyNumberFormat="1" applyFont="1" applyBorder="1"/>
    <xf numFmtId="2" fontId="8" fillId="0" borderId="114" xfId="0" applyNumberFormat="1" applyFont="1" applyBorder="1"/>
    <xf numFmtId="0" fontId="10" fillId="0" borderId="0" xfId="0" applyFont="1"/>
    <xf numFmtId="2" fontId="5" fillId="0" borderId="0" xfId="0" applyNumberFormat="1" applyFont="1" applyAlignment="1">
      <alignment horizontal="right"/>
    </xf>
    <xf numFmtId="0" fontId="5" fillId="7" borderId="0" xfId="0" applyFont="1" applyFill="1"/>
    <xf numFmtId="0" fontId="0" fillId="0" borderId="0" xfId="0" applyAlignment="1">
      <alignment horizontal="right"/>
    </xf>
    <xf numFmtId="164" fontId="8" fillId="0" borderId="28" xfId="0" applyNumberFormat="1" applyFont="1" applyBorder="1"/>
    <xf numFmtId="0" fontId="8" fillId="0" borderId="0" xfId="0" applyFont="1"/>
    <xf numFmtId="0" fontId="15" fillId="0" borderId="0" xfId="0" applyFont="1"/>
    <xf numFmtId="0" fontId="5" fillId="0" borderId="70" xfId="0" applyFont="1" applyBorder="1"/>
    <xf numFmtId="0" fontId="5" fillId="0" borderId="111" xfId="0" applyFont="1" applyBorder="1"/>
    <xf numFmtId="0" fontId="7" fillId="9" borderId="111" xfId="0" applyFont="1" applyFill="1" applyBorder="1"/>
    <xf numFmtId="0" fontId="7" fillId="9" borderId="84" xfId="0" applyFont="1" applyFill="1" applyBorder="1"/>
    <xf numFmtId="0" fontId="7" fillId="9" borderId="112" xfId="0" applyFont="1" applyFill="1" applyBorder="1"/>
    <xf numFmtId="0" fontId="7" fillId="9" borderId="131" xfId="0" applyFont="1" applyFill="1" applyBorder="1"/>
    <xf numFmtId="0" fontId="16" fillId="9" borderId="78" xfId="0" applyFont="1" applyFill="1" applyBorder="1"/>
    <xf numFmtId="0" fontId="16" fillId="9" borderId="79" xfId="0" applyFont="1" applyFill="1" applyBorder="1"/>
    <xf numFmtId="0" fontId="16" fillId="9" borderId="80" xfId="0" applyFont="1" applyFill="1" applyBorder="1"/>
    <xf numFmtId="0" fontId="16" fillId="9" borderId="111" xfId="0" applyFont="1" applyFill="1" applyBorder="1"/>
    <xf numFmtId="0" fontId="7" fillId="9" borderId="78" xfId="0" applyFont="1" applyFill="1" applyBorder="1"/>
    <xf numFmtId="0" fontId="7" fillId="9" borderId="79" xfId="0" applyFont="1" applyFill="1" applyBorder="1"/>
    <xf numFmtId="0" fontId="7" fillId="9" borderId="80" xfId="0" applyFont="1" applyFill="1" applyBorder="1"/>
    <xf numFmtId="0" fontId="0" fillId="0" borderId="71" xfId="0" applyBorder="1"/>
    <xf numFmtId="0" fontId="0" fillId="0" borderId="112" xfId="0" applyBorder="1"/>
    <xf numFmtId="0" fontId="0" fillId="0" borderId="113" xfId="0" applyBorder="1"/>
    <xf numFmtId="0" fontId="7" fillId="9" borderId="65" xfId="0" applyFont="1" applyFill="1" applyBorder="1" applyAlignment="1">
      <alignment horizontal="center"/>
    </xf>
    <xf numFmtId="2" fontId="6" fillId="0" borderId="0" xfId="0" applyNumberFormat="1" applyFont="1"/>
    <xf numFmtId="2" fontId="6" fillId="0" borderId="128" xfId="0" applyNumberFormat="1" applyFont="1" applyBorder="1"/>
    <xf numFmtId="2" fontId="5" fillId="0" borderId="71" xfId="0" applyNumberFormat="1" applyFont="1" applyBorder="1"/>
    <xf numFmtId="2" fontId="16" fillId="9" borderId="79" xfId="0" applyNumberFormat="1" applyFont="1" applyFill="1" applyBorder="1"/>
    <xf numFmtId="2" fontId="5" fillId="0" borderId="70" xfId="0" applyNumberFormat="1" applyFont="1" applyBorder="1"/>
    <xf numFmtId="0" fontId="7" fillId="9" borderId="132" xfId="0" applyFont="1" applyFill="1" applyBorder="1"/>
    <xf numFmtId="0" fontId="6" fillId="0" borderId="133" xfId="0" applyFont="1" applyBorder="1"/>
    <xf numFmtId="2" fontId="5" fillId="0" borderId="134" xfId="0" applyNumberFormat="1" applyFont="1" applyBorder="1"/>
    <xf numFmtId="0" fontId="7" fillId="9" borderId="133" xfId="0" applyFont="1" applyFill="1" applyBorder="1"/>
    <xf numFmtId="0" fontId="5" fillId="0" borderId="135" xfId="0" applyFont="1" applyBorder="1"/>
    <xf numFmtId="0" fontId="16" fillId="9" borderId="81" xfId="0" applyFont="1" applyFill="1" applyBorder="1"/>
    <xf numFmtId="14" fontId="5" fillId="0" borderId="0" xfId="0" applyNumberFormat="1" applyFont="1"/>
    <xf numFmtId="0" fontId="5" fillId="0" borderId="15" xfId="0" applyFont="1" applyBorder="1"/>
    <xf numFmtId="14" fontId="5" fillId="0" borderId="15" xfId="0" applyNumberFormat="1" applyFont="1" applyBorder="1"/>
    <xf numFmtId="4" fontId="5" fillId="0" borderId="0" xfId="0" applyNumberFormat="1" applyFont="1"/>
    <xf numFmtId="0" fontId="12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64" fontId="6" fillId="0" borderId="32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2" fontId="12" fillId="0" borderId="32" xfId="0" applyNumberFormat="1" applyFont="1" applyBorder="1" applyAlignment="1">
      <alignment horizontal="center"/>
    </xf>
    <xf numFmtId="9" fontId="2" fillId="0" borderId="0" xfId="1" applyAlignment="1">
      <alignment horizontal="center"/>
    </xf>
    <xf numFmtId="49" fontId="5" fillId="0" borderId="25" xfId="0" applyNumberFormat="1" applyFont="1" applyBorder="1"/>
    <xf numFmtId="2" fontId="8" fillId="0" borderId="26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85" xfId="0" applyFont="1" applyBorder="1" applyAlignment="1">
      <alignment horizontal="center"/>
    </xf>
    <xf numFmtId="0" fontId="6" fillId="0" borderId="0" xfId="0" applyFont="1"/>
    <xf numFmtId="164" fontId="8" fillId="0" borderId="26" xfId="0" applyNumberFormat="1" applyFont="1" applyBorder="1"/>
    <xf numFmtId="165" fontId="8" fillId="0" borderId="32" xfId="0" applyNumberFormat="1" applyFont="1" applyBorder="1"/>
    <xf numFmtId="164" fontId="8" fillId="0" borderId="32" xfId="0" applyNumberFormat="1" applyFont="1" applyBorder="1"/>
    <xf numFmtId="1" fontId="5" fillId="0" borderId="0" xfId="0" applyNumberFormat="1" applyFont="1"/>
    <xf numFmtId="9" fontId="5" fillId="0" borderId="0" xfId="0" applyNumberFormat="1" applyFont="1" applyAlignment="1">
      <alignment horizontal="right" readingOrder="2"/>
    </xf>
    <xf numFmtId="0" fontId="5" fillId="0" borderId="0" xfId="0" applyFont="1" applyAlignment="1">
      <alignment horizontal="left" readingOrder="2"/>
    </xf>
    <xf numFmtId="164" fontId="8" fillId="0" borderId="35" xfId="0" applyNumberFormat="1" applyFont="1" applyBorder="1"/>
    <xf numFmtId="1" fontId="5" fillId="0" borderId="15" xfId="0" applyNumberFormat="1" applyFont="1" applyBorder="1"/>
    <xf numFmtId="164" fontId="8" fillId="0" borderId="24" xfId="0" applyNumberFormat="1" applyFont="1" applyBorder="1"/>
    <xf numFmtId="164" fontId="8" fillId="0" borderId="31" xfId="0" applyNumberFormat="1" applyFont="1" applyBorder="1"/>
    <xf numFmtId="164" fontId="8" fillId="0" borderId="44" xfId="0" applyNumberFormat="1" applyFont="1" applyBorder="1"/>
    <xf numFmtId="164" fontId="8" fillId="0" borderId="45" xfId="0" applyNumberFormat="1" applyFont="1" applyBorder="1"/>
    <xf numFmtId="165" fontId="8" fillId="0" borderId="26" xfId="0" applyNumberFormat="1" applyFont="1" applyBorder="1"/>
    <xf numFmtId="0" fontId="7" fillId="11" borderId="12" xfId="0" applyFont="1" applyFill="1" applyBorder="1"/>
    <xf numFmtId="0" fontId="7" fillId="11" borderId="13" xfId="0" applyFont="1" applyFill="1" applyBorder="1"/>
    <xf numFmtId="0" fontId="0" fillId="11" borderId="0" xfId="0" applyFill="1"/>
    <xf numFmtId="0" fontId="7" fillId="12" borderId="30" xfId="0" applyFont="1" applyFill="1" applyBorder="1"/>
    <xf numFmtId="0" fontId="7" fillId="12" borderId="136" xfId="0" applyFont="1" applyFill="1" applyBorder="1" applyAlignment="1">
      <alignment horizontal="right"/>
    </xf>
    <xf numFmtId="1" fontId="18" fillId="12" borderId="137" xfId="0" applyNumberFormat="1" applyFont="1" applyFill="1" applyBorder="1"/>
    <xf numFmtId="0" fontId="7" fillId="12" borderId="137" xfId="0" applyFont="1" applyFill="1" applyBorder="1"/>
    <xf numFmtId="0" fontId="7" fillId="12" borderId="138" xfId="0" applyFont="1" applyFill="1" applyBorder="1"/>
    <xf numFmtId="0" fontId="7" fillId="12" borderId="139" xfId="0" applyFont="1" applyFill="1" applyBorder="1" applyAlignment="1">
      <alignment vertical="top" wrapText="1"/>
    </xf>
    <xf numFmtId="0" fontId="7" fillId="12" borderId="140" xfId="0" applyFont="1" applyFill="1" applyBorder="1" applyAlignment="1">
      <alignment vertical="top" wrapText="1"/>
    </xf>
    <xf numFmtId="49" fontId="7" fillId="11" borderId="55" xfId="0" applyNumberFormat="1" applyFont="1" applyFill="1" applyBorder="1"/>
    <xf numFmtId="164" fontId="7" fillId="13" borderId="51" xfId="0" applyNumberFormat="1" applyFont="1" applyFill="1" applyBorder="1" applyAlignment="1">
      <alignment horizontal="right" vertical="center"/>
    </xf>
    <xf numFmtId="0" fontId="7" fillId="12" borderId="29" xfId="0" applyFont="1" applyFill="1" applyBorder="1"/>
    <xf numFmtId="164" fontId="8" fillId="0" borderId="25" xfId="0" applyNumberFormat="1" applyFont="1" applyBorder="1"/>
    <xf numFmtId="164" fontId="8" fillId="0" borderId="53" xfId="0" applyNumberFormat="1" applyFont="1" applyBorder="1"/>
    <xf numFmtId="164" fontId="8" fillId="0" borderId="54" xfId="0" applyNumberFormat="1" applyFont="1" applyBorder="1"/>
    <xf numFmtId="49" fontId="12" fillId="11" borderId="56" xfId="0" applyNumberFormat="1" applyFont="1" applyFill="1" applyBorder="1"/>
    <xf numFmtId="49" fontId="8" fillId="0" borderId="41" xfId="0" applyNumberFormat="1" applyFont="1" applyBorder="1" applyAlignment="1">
      <alignment horizontal="right"/>
    </xf>
    <xf numFmtId="168" fontId="8" fillId="0" borderId="24" xfId="0" applyNumberFormat="1" applyFont="1" applyBorder="1"/>
    <xf numFmtId="168" fontId="8" fillId="0" borderId="38" xfId="0" applyNumberFormat="1" applyFont="1" applyBorder="1"/>
    <xf numFmtId="164" fontId="12" fillId="0" borderId="33" xfId="0" applyNumberFormat="1" applyFont="1" applyBorder="1" applyAlignment="1">
      <alignment horizontal="right" vertical="center"/>
    </xf>
    <xf numFmtId="164" fontId="12" fillId="0" borderId="34" xfId="0" applyNumberFormat="1" applyFont="1" applyBorder="1" applyAlignment="1">
      <alignment horizontal="right" vertical="center"/>
    </xf>
    <xf numFmtId="165" fontId="8" fillId="0" borderId="28" xfId="0" applyNumberFormat="1" applyFont="1" applyBorder="1"/>
    <xf numFmtId="164" fontId="8" fillId="0" borderId="24" xfId="0" applyNumberFormat="1" applyFont="1" applyBorder="1" applyAlignment="1">
      <alignment horizontal="right"/>
    </xf>
    <xf numFmtId="164" fontId="12" fillId="0" borderId="36" xfId="0" applyNumberFormat="1" applyFont="1" applyBorder="1" applyAlignment="1">
      <alignment horizontal="right" vertical="center"/>
    </xf>
    <xf numFmtId="164" fontId="12" fillId="0" borderId="36" xfId="0" applyNumberFormat="1" applyFont="1" applyBorder="1"/>
    <xf numFmtId="164" fontId="8" fillId="0" borderId="126" xfId="0" applyNumberFormat="1" applyFont="1" applyBorder="1"/>
    <xf numFmtId="164" fontId="12" fillId="0" borderId="46" xfId="0" applyNumberFormat="1" applyFont="1" applyBorder="1" applyAlignment="1">
      <alignment horizontal="right" vertical="center"/>
    </xf>
    <xf numFmtId="164" fontId="8" fillId="0" borderId="47" xfId="0" applyNumberFormat="1" applyFont="1" applyBorder="1"/>
    <xf numFmtId="164" fontId="8" fillId="0" borderId="48" xfId="0" applyNumberFormat="1" applyFont="1" applyBorder="1"/>
    <xf numFmtId="164" fontId="8" fillId="0" borderId="37" xfId="0" applyNumberFormat="1" applyFont="1" applyBorder="1"/>
    <xf numFmtId="164" fontId="8" fillId="0" borderId="40" xfId="0" applyNumberFormat="1" applyFont="1" applyBorder="1"/>
    <xf numFmtId="164" fontId="12" fillId="0" borderId="24" xfId="0" applyNumberFormat="1" applyFont="1" applyBorder="1"/>
    <xf numFmtId="164" fontId="12" fillId="0" borderId="38" xfId="0" applyNumberFormat="1" applyFont="1" applyBorder="1"/>
    <xf numFmtId="164" fontId="12" fillId="0" borderId="41" xfId="0" applyNumberFormat="1" applyFont="1" applyBorder="1" applyAlignment="1">
      <alignment horizontal="right" vertical="center"/>
    </xf>
    <xf numFmtId="164" fontId="8" fillId="0" borderId="38" xfId="0" applyNumberFormat="1" applyFont="1" applyBorder="1"/>
    <xf numFmtId="164" fontId="8" fillId="0" borderId="42" xfId="0" applyNumberFormat="1" applyFont="1" applyBorder="1"/>
    <xf numFmtId="164" fontId="8" fillId="0" borderId="43" xfId="0" applyNumberFormat="1" applyFont="1" applyBorder="1"/>
    <xf numFmtId="164" fontId="12" fillId="0" borderId="36" xfId="0" applyNumberFormat="1" applyFont="1" applyBorder="1" applyAlignment="1">
      <alignment horizontal="right"/>
    </xf>
    <xf numFmtId="164" fontId="8" fillId="0" borderId="36" xfId="0" applyNumberFormat="1" applyFont="1" applyBorder="1"/>
    <xf numFmtId="164" fontId="8" fillId="0" borderId="27" xfId="0" applyNumberFormat="1" applyFont="1" applyBorder="1"/>
    <xf numFmtId="165" fontId="8" fillId="0" borderId="24" xfId="0" applyNumberFormat="1" applyFont="1" applyBorder="1"/>
    <xf numFmtId="167" fontId="8" fillId="0" borderId="24" xfId="0" applyNumberFormat="1" applyFont="1" applyBorder="1"/>
    <xf numFmtId="168" fontId="8" fillId="0" borderId="24" xfId="0" applyNumberFormat="1" applyFont="1" applyBorder="1" applyAlignment="1">
      <alignment horizontal="right"/>
    </xf>
    <xf numFmtId="168" fontId="8" fillId="0" borderId="127" xfId="0" applyNumberFormat="1" applyFont="1" applyBorder="1"/>
    <xf numFmtId="164" fontId="7" fillId="13" borderId="141" xfId="0" applyNumberFormat="1" applyFont="1" applyFill="1" applyBorder="1"/>
    <xf numFmtId="164" fontId="7" fillId="13" borderId="142" xfId="0" applyNumberFormat="1" applyFont="1" applyFill="1" applyBorder="1"/>
    <xf numFmtId="164" fontId="7" fillId="13" borderId="144" xfId="0" applyNumberFormat="1" applyFont="1" applyFill="1" applyBorder="1"/>
    <xf numFmtId="164" fontId="7" fillId="13" borderId="145" xfId="0" applyNumberFormat="1" applyFont="1" applyFill="1" applyBorder="1"/>
    <xf numFmtId="164" fontId="7" fillId="13" borderId="143" xfId="0" applyNumberFormat="1" applyFont="1" applyFill="1" applyBorder="1"/>
    <xf numFmtId="164" fontId="7" fillId="13" borderId="146" xfId="0" applyNumberFormat="1" applyFont="1" applyFill="1" applyBorder="1"/>
    <xf numFmtId="164" fontId="7" fillId="13" borderId="147" xfId="0" applyNumberFormat="1" applyFont="1" applyFill="1" applyBorder="1"/>
    <xf numFmtId="164" fontId="7" fillId="13" borderId="88" xfId="0" applyNumberFormat="1" applyFont="1" applyFill="1" applyBorder="1" applyAlignment="1">
      <alignment horizontal="right" vertical="center"/>
    </xf>
    <xf numFmtId="164" fontId="7" fillId="13" borderId="148" xfId="0" applyNumberFormat="1" applyFont="1" applyFill="1" applyBorder="1"/>
    <xf numFmtId="164" fontId="7" fillId="13" borderId="149" xfId="0" applyNumberFormat="1" applyFont="1" applyFill="1" applyBorder="1" applyAlignment="1">
      <alignment horizontal="right" vertical="center"/>
    </xf>
    <xf numFmtId="0" fontId="7" fillId="12" borderId="57" xfId="0" applyFont="1" applyFill="1" applyBorder="1"/>
    <xf numFmtId="0" fontId="7" fillId="12" borderId="150" xfId="0" applyFont="1" applyFill="1" applyBorder="1"/>
    <xf numFmtId="0" fontId="7" fillId="12" borderId="55" xfId="0" applyFont="1" applyFill="1" applyBorder="1"/>
    <xf numFmtId="0" fontId="7" fillId="12" borderId="151" xfId="0" applyFont="1" applyFill="1" applyBorder="1"/>
    <xf numFmtId="164" fontId="8" fillId="0" borderId="127" xfId="0" applyNumberFormat="1" applyFont="1" applyBorder="1"/>
    <xf numFmtId="164" fontId="8" fillId="0" borderId="152" xfId="0" applyNumberFormat="1" applyFont="1" applyBorder="1"/>
    <xf numFmtId="164" fontId="8" fillId="0" borderId="34" xfId="0" applyNumberFormat="1" applyFont="1" applyBorder="1"/>
    <xf numFmtId="165" fontId="8" fillId="0" borderId="34" xfId="0" applyNumberFormat="1" applyFont="1" applyBorder="1"/>
    <xf numFmtId="164" fontId="7" fillId="13" borderId="153" xfId="0" applyNumberFormat="1" applyFont="1" applyFill="1" applyBorder="1"/>
    <xf numFmtId="0" fontId="7" fillId="12" borderId="81" xfId="0" applyFont="1" applyFill="1" applyBorder="1" applyAlignment="1">
      <alignment vertical="top" wrapText="1"/>
    </xf>
    <xf numFmtId="49" fontId="12" fillId="11" borderId="154" xfId="0" applyNumberFormat="1" applyFont="1" applyFill="1" applyBorder="1"/>
    <xf numFmtId="168" fontId="8" fillId="0" borderId="155" xfId="0" applyNumberFormat="1" applyFont="1" applyBorder="1"/>
    <xf numFmtId="0" fontId="7" fillId="12" borderId="156" xfId="0" applyFont="1" applyFill="1" applyBorder="1" applyAlignment="1">
      <alignment vertical="top" wrapText="1"/>
    </xf>
    <xf numFmtId="164" fontId="8" fillId="0" borderId="49" xfId="0" applyNumberFormat="1" applyFont="1" applyBorder="1"/>
    <xf numFmtId="164" fontId="8" fillId="0" borderId="127" xfId="0" applyNumberFormat="1" applyFont="1" applyBorder="1" applyAlignment="1">
      <alignment horizontal="right"/>
    </xf>
    <xf numFmtId="164" fontId="19" fillId="0" borderId="24" xfId="0" applyNumberFormat="1" applyFont="1" applyBorder="1"/>
    <xf numFmtId="0" fontId="7" fillId="12" borderId="157" xfId="0" applyFont="1" applyFill="1" applyBorder="1" applyAlignment="1">
      <alignment vertical="top"/>
    </xf>
    <xf numFmtId="0" fontId="7" fillId="14" borderId="0" xfId="0" applyFont="1" applyFill="1"/>
    <xf numFmtId="0" fontId="7" fillId="15" borderId="0" xfId="0" applyFont="1" applyFill="1"/>
    <xf numFmtId="165" fontId="7" fillId="10" borderId="110" xfId="0" applyNumberFormat="1" applyFont="1" applyFill="1" applyBorder="1"/>
    <xf numFmtId="0" fontId="0" fillId="0" borderId="158" xfId="0" applyBorder="1"/>
    <xf numFmtId="0" fontId="20" fillId="12" borderId="158" xfId="0" applyFont="1" applyFill="1" applyBorder="1"/>
    <xf numFmtId="0" fontId="7" fillId="15" borderId="158" xfId="0" applyFont="1" applyFill="1" applyBorder="1" applyAlignment="1">
      <alignment vertical="top" wrapText="1"/>
    </xf>
    <xf numFmtId="164" fontId="8" fillId="0" borderId="39" xfId="0" applyNumberFormat="1" applyFont="1" applyBorder="1"/>
    <xf numFmtId="164" fontId="7" fillId="14" borderId="158" xfId="0" applyNumberFormat="1" applyFont="1" applyFill="1" applyBorder="1"/>
    <xf numFmtId="164" fontId="8" fillId="0" borderId="85" xfId="0" applyNumberFormat="1" applyFont="1" applyBorder="1"/>
    <xf numFmtId="164" fontId="7" fillId="14" borderId="159" xfId="0" applyNumberFormat="1" applyFont="1" applyFill="1" applyBorder="1"/>
    <xf numFmtId="0" fontId="5" fillId="0" borderId="158" xfId="0" applyFont="1" applyBorder="1"/>
    <xf numFmtId="0" fontId="7" fillId="12" borderId="158" xfId="0" applyFont="1" applyFill="1" applyBorder="1" applyAlignment="1">
      <alignment horizontal="center"/>
    </xf>
    <xf numFmtId="49" fontId="7" fillId="12" borderId="158" xfId="0" applyNumberFormat="1" applyFont="1" applyFill="1" applyBorder="1" applyAlignment="1">
      <alignment horizontal="center"/>
    </xf>
    <xf numFmtId="1" fontId="6" fillId="0" borderId="158" xfId="0" applyNumberFormat="1" applyFont="1" applyBorder="1"/>
    <xf numFmtId="164" fontId="7" fillId="14" borderId="12" xfId="0" applyNumberFormat="1" applyFont="1" applyFill="1" applyBorder="1"/>
    <xf numFmtId="164" fontId="21" fillId="0" borderId="161" xfId="0" applyNumberFormat="1" applyFont="1" applyBorder="1"/>
    <xf numFmtId="1" fontId="5" fillId="0" borderId="160" xfId="0" applyNumberFormat="1" applyFont="1" applyBorder="1"/>
    <xf numFmtId="164" fontId="19" fillId="0" borderId="26" xfId="0" applyNumberFormat="1" applyFont="1" applyBorder="1"/>
    <xf numFmtId="165" fontId="19" fillId="0" borderId="26" xfId="0" applyNumberFormat="1" applyFont="1" applyBorder="1"/>
    <xf numFmtId="164" fontId="22" fillId="0" borderId="162" xfId="0" applyNumberFormat="1" applyFont="1" applyBorder="1"/>
    <xf numFmtId="164" fontId="22" fillId="0" borderId="163" xfId="0" applyNumberFormat="1" applyFont="1" applyBorder="1"/>
    <xf numFmtId="164" fontId="22" fillId="0" borderId="164" xfId="0" applyNumberFormat="1" applyFont="1" applyBorder="1"/>
    <xf numFmtId="164" fontId="22" fillId="0" borderId="165" xfId="0" applyNumberFormat="1" applyFont="1" applyBorder="1"/>
    <xf numFmtId="164" fontId="22" fillId="0" borderId="166" xfId="0" applyNumberFormat="1" applyFont="1" applyBorder="1"/>
    <xf numFmtId="165" fontId="22" fillId="0" borderId="164" xfId="0" applyNumberFormat="1" applyFont="1" applyBorder="1"/>
    <xf numFmtId="165" fontId="22" fillId="0" borderId="166" xfId="0" applyNumberFormat="1" applyFont="1" applyBorder="1"/>
    <xf numFmtId="164" fontId="22" fillId="0" borderId="126" xfId="0" applyNumberFormat="1" applyFont="1" applyBorder="1"/>
    <xf numFmtId="165" fontId="22" fillId="0" borderId="126" xfId="0" applyNumberFormat="1" applyFont="1" applyBorder="1"/>
    <xf numFmtId="164" fontId="22" fillId="0" borderId="167" xfId="0" applyNumberFormat="1" applyFont="1" applyBorder="1"/>
    <xf numFmtId="164" fontId="23" fillId="16" borderId="168" xfId="0" applyNumberFormat="1" applyFont="1" applyFill="1" applyBorder="1"/>
    <xf numFmtId="164" fontId="23" fillId="16" borderId="169" xfId="0" applyNumberFormat="1" applyFont="1" applyFill="1" applyBorder="1"/>
    <xf numFmtId="164" fontId="23" fillId="16" borderId="170" xfId="0" applyNumberFormat="1" applyFont="1" applyFill="1" applyBorder="1"/>
    <xf numFmtId="164" fontId="22" fillId="0" borderId="171" xfId="0" applyNumberFormat="1" applyFont="1" applyBorder="1"/>
    <xf numFmtId="164" fontId="22" fillId="0" borderId="172" xfId="0" applyNumberFormat="1" applyFont="1" applyBorder="1"/>
    <xf numFmtId="164" fontId="23" fillId="16" borderId="173" xfId="0" applyNumberFormat="1" applyFont="1" applyFill="1" applyBorder="1"/>
    <xf numFmtId="164" fontId="23" fillId="16" borderId="174" xfId="0" applyNumberFormat="1" applyFont="1" applyFill="1" applyBorder="1"/>
    <xf numFmtId="164" fontId="22" fillId="0" borderId="175" xfId="0" applyNumberFormat="1" applyFont="1" applyBorder="1"/>
    <xf numFmtId="164" fontId="22" fillId="0" borderId="176" xfId="0" applyNumberFormat="1" applyFont="1" applyBorder="1"/>
    <xf numFmtId="164" fontId="23" fillId="16" borderId="177" xfId="0" applyNumberFormat="1" applyFont="1" applyFill="1" applyBorder="1"/>
    <xf numFmtId="164" fontId="23" fillId="16" borderId="178" xfId="0" applyNumberFormat="1" applyFont="1" applyFill="1" applyBorder="1"/>
    <xf numFmtId="164" fontId="22" fillId="0" borderId="179" xfId="0" applyNumberFormat="1" applyFont="1" applyBorder="1"/>
    <xf numFmtId="164" fontId="22" fillId="0" borderId="180" xfId="0" applyNumberFormat="1" applyFont="1" applyBorder="1"/>
    <xf numFmtId="164" fontId="22" fillId="0" borderId="181" xfId="0" applyNumberFormat="1" applyFont="1" applyBorder="1"/>
    <xf numFmtId="164" fontId="24" fillId="0" borderId="181" xfId="0" applyNumberFormat="1" applyFont="1" applyBorder="1"/>
    <xf numFmtId="164" fontId="24" fillId="0" borderId="182" xfId="0" applyNumberFormat="1" applyFont="1" applyBorder="1"/>
    <xf numFmtId="164" fontId="22" fillId="0" borderId="182" xfId="0" applyNumberFormat="1" applyFont="1" applyBorder="1"/>
    <xf numFmtId="164" fontId="22" fillId="0" borderId="183" xfId="0" applyNumberFormat="1" applyFont="1" applyBorder="1"/>
    <xf numFmtId="164" fontId="22" fillId="0" borderId="184" xfId="0" applyNumberFormat="1" applyFont="1" applyBorder="1"/>
    <xf numFmtId="164" fontId="22" fillId="0" borderId="185" xfId="0" applyNumberFormat="1" applyFont="1" applyBorder="1"/>
    <xf numFmtId="0" fontId="23" fillId="17" borderId="186" xfId="0" applyFont="1" applyFill="1" applyBorder="1"/>
    <xf numFmtId="0" fontId="23" fillId="17" borderId="187" xfId="0" applyFont="1" applyFill="1" applyBorder="1"/>
    <xf numFmtId="0" fontId="23" fillId="17" borderId="188" xfId="0" applyFont="1" applyFill="1" applyBorder="1"/>
    <xf numFmtId="164" fontId="22" fillId="0" borderId="189" xfId="0" applyNumberFormat="1" applyFont="1" applyBorder="1"/>
    <xf numFmtId="0" fontId="22" fillId="0" borderId="181" xfId="0" applyFont="1" applyBorder="1"/>
    <xf numFmtId="164" fontId="22" fillId="0" borderId="190" xfId="0" applyNumberFormat="1" applyFont="1" applyBorder="1"/>
    <xf numFmtId="0" fontId="23" fillId="17" borderId="191" xfId="0" applyFont="1" applyFill="1" applyBorder="1"/>
    <xf numFmtId="0" fontId="23" fillId="17" borderId="192" xfId="0" applyFont="1" applyFill="1" applyBorder="1"/>
    <xf numFmtId="164" fontId="22" fillId="0" borderId="193" xfId="0" applyNumberFormat="1" applyFont="1" applyBorder="1"/>
    <xf numFmtId="164" fontId="22" fillId="0" borderId="194" xfId="0" applyNumberFormat="1" applyFont="1" applyBorder="1"/>
    <xf numFmtId="165" fontId="22" fillId="0" borderId="194" xfId="0" applyNumberFormat="1" applyFont="1" applyBorder="1"/>
    <xf numFmtId="164" fontId="23" fillId="16" borderId="195" xfId="0" applyNumberFormat="1" applyFont="1" applyFill="1" applyBorder="1"/>
    <xf numFmtId="164" fontId="24" fillId="0" borderId="185" xfId="0" applyNumberFormat="1" applyFont="1" applyBorder="1"/>
    <xf numFmtId="165" fontId="23" fillId="16" borderId="169" xfId="0" applyNumberFormat="1" applyFont="1" applyFill="1" applyBorder="1"/>
    <xf numFmtId="164" fontId="19" fillId="0" borderId="44" xfId="0" applyNumberFormat="1" applyFont="1" applyBorder="1"/>
    <xf numFmtId="164" fontId="5" fillId="0" borderId="24" xfId="0" applyNumberFormat="1" applyFont="1" applyBorder="1"/>
    <xf numFmtId="164" fontId="5" fillId="0" borderId="44" xfId="0" applyNumberFormat="1" applyFont="1" applyBorder="1"/>
    <xf numFmtId="165" fontId="7" fillId="13" borderId="147" xfId="0" applyNumberFormat="1" applyFont="1" applyFill="1" applyBorder="1"/>
    <xf numFmtId="0" fontId="7" fillId="12" borderId="81" xfId="0" applyFont="1" applyFill="1" applyBorder="1" applyAlignment="1">
      <alignment horizontal="center" vertical="top" wrapText="1"/>
    </xf>
    <xf numFmtId="49" fontId="12" fillId="11" borderId="154" xfId="0" applyNumberFormat="1" applyFont="1" applyFill="1" applyBorder="1" applyAlignment="1">
      <alignment horizontal="center"/>
    </xf>
    <xf numFmtId="168" fontId="8" fillId="0" borderId="155" xfId="0" applyNumberFormat="1" applyFont="1" applyBorder="1" applyAlignment="1">
      <alignment horizontal="center"/>
    </xf>
    <xf numFmtId="168" fontId="8" fillId="0" borderId="38" xfId="0" applyNumberFormat="1" applyFont="1" applyBorder="1" applyAlignment="1">
      <alignment horizontal="center"/>
    </xf>
    <xf numFmtId="169" fontId="8" fillId="0" borderId="24" xfId="5" applyNumberFormat="1" applyFont="1" applyBorder="1"/>
    <xf numFmtId="4" fontId="6" fillId="0" borderId="0" xfId="0" applyNumberFormat="1" applyFont="1"/>
    <xf numFmtId="0" fontId="25" fillId="18" borderId="0" xfId="0" applyFont="1" applyFill="1"/>
    <xf numFmtId="0" fontId="25" fillId="19" borderId="0" xfId="0" applyFont="1" applyFill="1"/>
    <xf numFmtId="3" fontId="0" fillId="0" borderId="0" xfId="0" applyNumberFormat="1"/>
    <xf numFmtId="0" fontId="26" fillId="0" borderId="0" xfId="0" applyFont="1"/>
    <xf numFmtId="0" fontId="1" fillId="20" borderId="0" xfId="0" applyFont="1" applyFill="1"/>
    <xf numFmtId="0" fontId="0" fillId="20" borderId="0" xfId="0" applyFill="1"/>
    <xf numFmtId="3" fontId="0" fillId="20" borderId="0" xfId="0" applyNumberFormat="1" applyFill="1"/>
    <xf numFmtId="9" fontId="0" fillId="0" borderId="0" xfId="0" applyNumberFormat="1"/>
    <xf numFmtId="9" fontId="0" fillId="20" borderId="0" xfId="0" applyNumberFormat="1" applyFill="1"/>
    <xf numFmtId="0" fontId="0" fillId="21" borderId="0" xfId="0" applyFill="1"/>
    <xf numFmtId="170" fontId="0" fillId="21" borderId="0" xfId="0" applyNumberFormat="1" applyFill="1"/>
    <xf numFmtId="9" fontId="0" fillId="21" borderId="0" xfId="0" applyNumberFormat="1" applyFill="1"/>
    <xf numFmtId="0" fontId="7" fillId="14" borderId="64" xfId="0" applyFont="1" applyFill="1" applyBorder="1"/>
    <xf numFmtId="0" fontId="7" fillId="14" borderId="65" xfId="0" applyFont="1" applyFill="1" applyBorder="1"/>
    <xf numFmtId="0" fontId="7" fillId="14" borderId="66" xfId="0" applyFont="1" applyFill="1" applyBorder="1"/>
    <xf numFmtId="0" fontId="7" fillId="14" borderId="66" xfId="0" applyFont="1" applyFill="1" applyBorder="1" applyAlignment="1">
      <alignment horizontal="center"/>
    </xf>
    <xf numFmtId="0" fontId="7" fillId="14" borderId="67" xfId="0" applyFont="1" applyFill="1" applyBorder="1"/>
    <xf numFmtId="0" fontId="7" fillId="14" borderId="69" xfId="0" applyFont="1" applyFill="1" applyBorder="1"/>
    <xf numFmtId="0" fontId="7" fillId="14" borderId="68" xfId="0" applyFont="1" applyFill="1" applyBorder="1"/>
    <xf numFmtId="0" fontId="7" fillId="14" borderId="68" xfId="0" applyFont="1" applyFill="1" applyBorder="1" applyAlignment="1">
      <alignment horizontal="center"/>
    </xf>
    <xf numFmtId="2" fontId="9" fillId="12" borderId="32" xfId="0" applyNumberFormat="1" applyFont="1" applyFill="1" applyBorder="1"/>
    <xf numFmtId="2" fontId="7" fillId="12" borderId="32" xfId="0" applyNumberFormat="1" applyFont="1" applyFill="1" applyBorder="1" applyAlignment="1">
      <alignment horizontal="center"/>
    </xf>
    <xf numFmtId="164" fontId="7" fillId="22" borderId="60" xfId="0" applyNumberFormat="1" applyFont="1" applyFill="1" applyBorder="1"/>
    <xf numFmtId="164" fontId="7" fillId="22" borderId="60" xfId="0" applyNumberFormat="1" applyFont="1" applyFill="1" applyBorder="1" applyAlignment="1">
      <alignment horizontal="center"/>
    </xf>
    <xf numFmtId="164" fontId="7" fillId="22" borderId="58" xfId="0" applyNumberFormat="1" applyFont="1" applyFill="1" applyBorder="1"/>
    <xf numFmtId="164" fontId="7" fillId="22" borderId="59" xfId="0" applyNumberFormat="1" applyFont="1" applyFill="1" applyBorder="1"/>
    <xf numFmtId="164" fontId="7" fillId="22" borderId="70" xfId="0" applyNumberFormat="1" applyFont="1" applyFill="1" applyBorder="1"/>
    <xf numFmtId="164" fontId="7" fillId="22" borderId="0" xfId="0" applyNumberFormat="1" applyFont="1" applyFill="1"/>
    <xf numFmtId="164" fontId="7" fillId="22" borderId="71" xfId="0" applyNumberFormat="1" applyFont="1" applyFill="1" applyBorder="1"/>
    <xf numFmtId="164" fontId="7" fillId="22" borderId="71" xfId="0" applyNumberFormat="1" applyFont="1" applyFill="1" applyBorder="1" applyAlignment="1">
      <alignment horizontal="center"/>
    </xf>
    <xf numFmtId="164" fontId="7" fillId="22" borderId="72" xfId="0" applyNumberFormat="1" applyFont="1" applyFill="1" applyBorder="1"/>
    <xf numFmtId="164" fontId="7" fillId="22" borderId="73" xfId="0" applyNumberFormat="1" applyFont="1" applyFill="1" applyBorder="1"/>
    <xf numFmtId="164" fontId="7" fillId="22" borderId="74" xfId="0" applyNumberFormat="1" applyFont="1" applyFill="1" applyBorder="1"/>
    <xf numFmtId="164" fontId="7" fillId="22" borderId="74" xfId="0" applyNumberFormat="1" applyFont="1" applyFill="1" applyBorder="1" applyAlignment="1">
      <alignment horizontal="center"/>
    </xf>
    <xf numFmtId="49" fontId="7" fillId="12" borderId="70" xfId="0" applyNumberFormat="1" applyFont="1" applyFill="1" applyBorder="1"/>
    <xf numFmtId="0" fontId="7" fillId="12" borderId="0" xfId="0" applyFont="1" applyFill="1"/>
    <xf numFmtId="49" fontId="7" fillId="12" borderId="71" xfId="0" applyNumberFormat="1" applyFont="1" applyFill="1" applyBorder="1"/>
    <xf numFmtId="49" fontId="7" fillId="12" borderId="71" xfId="0" applyNumberFormat="1" applyFont="1" applyFill="1" applyBorder="1" applyAlignment="1">
      <alignment horizontal="center"/>
    </xf>
    <xf numFmtId="0" fontId="7" fillId="12" borderId="70" xfId="0" applyFont="1" applyFill="1" applyBorder="1"/>
    <xf numFmtId="2" fontId="7" fillId="12" borderId="0" xfId="0" applyNumberFormat="1" applyFont="1" applyFill="1"/>
    <xf numFmtId="2" fontId="7" fillId="12" borderId="71" xfId="0" applyNumberFormat="1" applyFont="1" applyFill="1" applyBorder="1"/>
    <xf numFmtId="2" fontId="7" fillId="12" borderId="71" xfId="0" applyNumberFormat="1" applyFont="1" applyFill="1" applyBorder="1" applyAlignment="1">
      <alignment horizontal="center"/>
    </xf>
    <xf numFmtId="0" fontId="7" fillId="12" borderId="75" xfId="0" applyFont="1" applyFill="1" applyBorder="1"/>
    <xf numFmtId="2" fontId="7" fillId="12" borderId="15" xfId="0" applyNumberFormat="1" applyFont="1" applyFill="1" applyBorder="1"/>
    <xf numFmtId="2" fontId="7" fillId="12" borderId="76" xfId="0" applyNumberFormat="1" applyFont="1" applyFill="1" applyBorder="1"/>
    <xf numFmtId="2" fontId="7" fillId="12" borderId="76" xfId="0" applyNumberFormat="1" applyFont="1" applyFill="1" applyBorder="1" applyAlignment="1">
      <alignment horizontal="center"/>
    </xf>
    <xf numFmtId="0" fontId="7" fillId="11" borderId="61" xfId="0" applyFont="1" applyFill="1" applyBorder="1"/>
    <xf numFmtId="0" fontId="7" fillId="11" borderId="63" xfId="0" applyFont="1" applyFill="1" applyBorder="1"/>
    <xf numFmtId="0" fontId="7" fillId="11" borderId="62" xfId="0" applyFont="1" applyFill="1" applyBorder="1"/>
    <xf numFmtId="0" fontId="7" fillId="11" borderId="62" xfId="0" applyFont="1" applyFill="1" applyBorder="1" applyAlignment="1">
      <alignment horizontal="center"/>
    </xf>
    <xf numFmtId="0" fontId="7" fillId="11" borderId="64" xfId="0" applyFont="1" applyFill="1" applyBorder="1"/>
    <xf numFmtId="0" fontId="7" fillId="11" borderId="65" xfId="0" applyFont="1" applyFill="1" applyBorder="1"/>
    <xf numFmtId="0" fontId="7" fillId="11" borderId="66" xfId="0" applyFont="1" applyFill="1" applyBorder="1"/>
    <xf numFmtId="0" fontId="7" fillId="11" borderId="66" xfId="0" applyFont="1" applyFill="1" applyBorder="1" applyAlignment="1">
      <alignment horizontal="center"/>
    </xf>
    <xf numFmtId="0" fontId="7" fillId="11" borderId="70" xfId="0" applyFont="1" applyFill="1" applyBorder="1"/>
    <xf numFmtId="0" fontId="7" fillId="11" borderId="0" xfId="0" applyFont="1" applyFill="1"/>
    <xf numFmtId="0" fontId="7" fillId="11" borderId="71" xfId="0" applyFont="1" applyFill="1" applyBorder="1"/>
    <xf numFmtId="0" fontId="7" fillId="11" borderId="71" xfId="0" applyFont="1" applyFill="1" applyBorder="1" applyAlignment="1">
      <alignment horizontal="center"/>
    </xf>
    <xf numFmtId="2" fontId="27" fillId="12" borderId="32" xfId="0" applyNumberFormat="1" applyFont="1" applyFill="1" applyBorder="1"/>
    <xf numFmtId="0" fontId="7" fillId="11" borderId="65" xfId="0" applyFont="1" applyFill="1" applyBorder="1" applyAlignment="1">
      <alignment horizontal="center"/>
    </xf>
    <xf numFmtId="0" fontId="7" fillId="11" borderId="67" xfId="0" applyFont="1" applyFill="1" applyBorder="1"/>
    <xf numFmtId="0" fontId="7" fillId="11" borderId="69" xfId="0" applyFont="1" applyFill="1" applyBorder="1"/>
    <xf numFmtId="0" fontId="7" fillId="11" borderId="68" xfId="0" applyFont="1" applyFill="1" applyBorder="1"/>
    <xf numFmtId="0" fontId="7" fillId="11" borderId="69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7" fillId="11" borderId="63" xfId="0" applyFont="1" applyFill="1" applyBorder="1" applyAlignment="1">
      <alignment horizontal="center"/>
    </xf>
    <xf numFmtId="49" fontId="7" fillId="23" borderId="70" xfId="0" applyNumberFormat="1" applyFont="1" applyFill="1" applyBorder="1"/>
    <xf numFmtId="0" fontId="7" fillId="23" borderId="0" xfId="0" applyFont="1" applyFill="1"/>
    <xf numFmtId="49" fontId="7" fillId="23" borderId="71" xfId="0" applyNumberFormat="1" applyFont="1" applyFill="1" applyBorder="1"/>
    <xf numFmtId="0" fontId="7" fillId="23" borderId="0" xfId="0" applyFont="1" applyFill="1" applyAlignment="1">
      <alignment horizontal="center"/>
    </xf>
    <xf numFmtId="0" fontId="7" fillId="23" borderId="71" xfId="0" applyFont="1" applyFill="1" applyBorder="1"/>
    <xf numFmtId="0" fontId="7" fillId="23" borderId="75" xfId="0" applyFont="1" applyFill="1" applyBorder="1"/>
    <xf numFmtId="2" fontId="7" fillId="23" borderId="15" xfId="0" applyNumberFormat="1" applyFont="1" applyFill="1" applyBorder="1"/>
    <xf numFmtId="2" fontId="7" fillId="23" borderId="76" xfId="0" applyNumberFormat="1" applyFont="1" applyFill="1" applyBorder="1"/>
    <xf numFmtId="2" fontId="7" fillId="23" borderId="15" xfId="0" applyNumberFormat="1" applyFont="1" applyFill="1" applyBorder="1" applyAlignment="1">
      <alignment horizontal="center"/>
    </xf>
    <xf numFmtId="2" fontId="9" fillId="24" borderId="32" xfId="0" applyNumberFormat="1" applyFont="1" applyFill="1" applyBorder="1"/>
    <xf numFmtId="164" fontId="7" fillId="24" borderId="58" xfId="0" applyNumberFormat="1" applyFont="1" applyFill="1" applyBorder="1"/>
    <xf numFmtId="164" fontId="7" fillId="24" borderId="59" xfId="0" applyNumberFormat="1" applyFont="1" applyFill="1" applyBorder="1"/>
    <xf numFmtId="164" fontId="7" fillId="24" borderId="60" xfId="0" applyNumberFormat="1" applyFont="1" applyFill="1" applyBorder="1"/>
    <xf numFmtId="164" fontId="7" fillId="24" borderId="59" xfId="0" applyNumberFormat="1" applyFont="1" applyFill="1" applyBorder="1" applyAlignment="1">
      <alignment horizontal="center"/>
    </xf>
    <xf numFmtId="165" fontId="7" fillId="24" borderId="72" xfId="0" applyNumberFormat="1" applyFont="1" applyFill="1" applyBorder="1"/>
    <xf numFmtId="165" fontId="7" fillId="24" borderId="59" xfId="0" applyNumberFormat="1" applyFont="1" applyFill="1" applyBorder="1"/>
    <xf numFmtId="165" fontId="7" fillId="24" borderId="74" xfId="0" applyNumberFormat="1" applyFont="1" applyFill="1" applyBorder="1"/>
    <xf numFmtId="165" fontId="7" fillId="24" borderId="59" xfId="0" applyNumberFormat="1" applyFont="1" applyFill="1" applyBorder="1" applyAlignment="1">
      <alignment horizontal="center"/>
    </xf>
    <xf numFmtId="165" fontId="7" fillId="24" borderId="60" xfId="0" applyNumberFormat="1" applyFont="1" applyFill="1" applyBorder="1"/>
    <xf numFmtId="2" fontId="8" fillId="24" borderId="26" xfId="0" applyNumberFormat="1" applyFont="1" applyFill="1" applyBorder="1"/>
    <xf numFmtId="164" fontId="7" fillId="24" borderId="72" xfId="0" applyNumberFormat="1" applyFont="1" applyFill="1" applyBorder="1"/>
    <xf numFmtId="164" fontId="7" fillId="24" borderId="74" xfId="0" applyNumberFormat="1" applyFont="1" applyFill="1" applyBorder="1"/>
    <xf numFmtId="49" fontId="7" fillId="24" borderId="70" xfId="0" applyNumberFormat="1" applyFont="1" applyFill="1" applyBorder="1"/>
    <xf numFmtId="0" fontId="7" fillId="24" borderId="0" xfId="0" applyFont="1" applyFill="1"/>
    <xf numFmtId="49" fontId="7" fillId="24" borderId="71" xfId="0" applyNumberFormat="1" applyFont="1" applyFill="1" applyBorder="1"/>
    <xf numFmtId="0" fontId="7" fillId="24" borderId="0" xfId="0" applyFont="1" applyFill="1" applyAlignment="1">
      <alignment horizontal="center"/>
    </xf>
    <xf numFmtId="0" fontId="7" fillId="24" borderId="71" xfId="0" applyFont="1" applyFill="1" applyBorder="1"/>
    <xf numFmtId="0" fontId="7" fillId="24" borderId="70" xfId="0" applyFont="1" applyFill="1" applyBorder="1"/>
    <xf numFmtId="2" fontId="7" fillId="24" borderId="0" xfId="0" applyNumberFormat="1" applyFont="1" applyFill="1"/>
    <xf numFmtId="2" fontId="7" fillId="24" borderId="68" xfId="0" applyNumberFormat="1" applyFont="1" applyFill="1" applyBorder="1"/>
    <xf numFmtId="2" fontId="7" fillId="24" borderId="0" xfId="0" applyNumberFormat="1" applyFont="1" applyFill="1" applyAlignment="1">
      <alignment horizontal="center"/>
    </xf>
    <xf numFmtId="2" fontId="7" fillId="24" borderId="71" xfId="0" applyNumberFormat="1" applyFont="1" applyFill="1" applyBorder="1"/>
    <xf numFmtId="0" fontId="7" fillId="24" borderId="111" xfId="0" applyFont="1" applyFill="1" applyBorder="1"/>
    <xf numFmtId="2" fontId="7" fillId="24" borderId="113" xfId="0" applyNumberFormat="1" applyFont="1" applyFill="1" applyBorder="1"/>
    <xf numFmtId="2" fontId="7" fillId="24" borderId="112" xfId="0" applyNumberFormat="1" applyFont="1" applyFill="1" applyBorder="1" applyAlignment="1">
      <alignment horizontal="center"/>
    </xf>
    <xf numFmtId="2" fontId="7" fillId="24" borderId="112" xfId="0" applyNumberFormat="1" applyFont="1" applyFill="1" applyBorder="1"/>
    <xf numFmtId="165" fontId="19" fillId="0" borderId="24" xfId="0" applyNumberFormat="1" applyFont="1" applyBorder="1"/>
    <xf numFmtId="164" fontId="12" fillId="0" borderId="118" xfId="0" applyNumberFormat="1" applyFont="1" applyBorder="1" applyAlignment="1">
      <alignment horizontal="right" vertical="center"/>
    </xf>
    <xf numFmtId="164" fontId="12" fillId="0" borderId="119" xfId="0" applyNumberFormat="1" applyFont="1" applyBorder="1" applyAlignment="1">
      <alignment horizontal="right" vertical="center"/>
    </xf>
    <xf numFmtId="164" fontId="12" fillId="0" borderId="120" xfId="0" applyNumberFormat="1" applyFont="1" applyBorder="1" applyAlignment="1">
      <alignment horizontal="right" vertical="center"/>
    </xf>
    <xf numFmtId="164" fontId="12" fillId="0" borderId="121" xfId="0" applyNumberFormat="1" applyFont="1" applyBorder="1" applyAlignment="1">
      <alignment horizontal="right" vertical="center"/>
    </xf>
    <xf numFmtId="164" fontId="12" fillId="0" borderId="123" xfId="0" applyNumberFormat="1" applyFont="1" applyBorder="1" applyAlignment="1">
      <alignment horizontal="right" vertical="center"/>
    </xf>
    <xf numFmtId="164" fontId="12" fillId="0" borderId="122" xfId="0" applyNumberFormat="1" applyFont="1" applyBorder="1" applyAlignment="1">
      <alignment horizontal="right" vertical="center"/>
    </xf>
    <xf numFmtId="164" fontId="12" fillId="0" borderId="116" xfId="0" applyNumberFormat="1" applyFont="1" applyBorder="1" applyAlignment="1">
      <alignment horizontal="right" vertical="center"/>
    </xf>
    <xf numFmtId="164" fontId="12" fillId="0" borderId="117" xfId="0" applyNumberFormat="1" applyFont="1" applyBorder="1" applyAlignment="1">
      <alignment horizontal="right" vertical="center"/>
    </xf>
    <xf numFmtId="164" fontId="12" fillId="0" borderId="123" xfId="0" applyNumberFormat="1" applyFont="1" applyBorder="1" applyAlignment="1">
      <alignment horizontal="right" vertical="center" wrapText="1"/>
    </xf>
    <xf numFmtId="164" fontId="12" fillId="0" borderId="121" xfId="0" applyNumberFormat="1" applyFont="1" applyBorder="1" applyAlignment="1">
      <alignment horizontal="right" vertical="center" wrapText="1"/>
    </xf>
    <xf numFmtId="164" fontId="12" fillId="0" borderId="115" xfId="0" applyNumberFormat="1" applyFont="1" applyBorder="1" applyAlignment="1">
      <alignment horizontal="right" vertical="center"/>
    </xf>
    <xf numFmtId="164" fontId="12" fillId="0" borderId="99" xfId="0" applyNumberFormat="1" applyFont="1" applyBorder="1" applyAlignment="1">
      <alignment horizontal="right" vertic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164" fontId="0" fillId="0" borderId="19" xfId="0" applyNumberFormat="1" applyBorder="1" applyAlignment="1">
      <alignment horizontal="center" readingOrder="2"/>
    </xf>
    <xf numFmtId="164" fontId="0" fillId="0" borderId="20" xfId="0" applyNumberFormat="1" applyBorder="1" applyAlignment="1">
      <alignment horizontal="center" readingOrder="2"/>
    </xf>
    <xf numFmtId="164" fontId="0" fillId="0" borderId="21" xfId="0" applyNumberFormat="1" applyBorder="1" applyAlignment="1">
      <alignment horizontal="center" readingOrder="2"/>
    </xf>
    <xf numFmtId="164" fontId="1" fillId="2" borderId="1" xfId="0" applyNumberFormat="1" applyFont="1" applyFill="1" applyBorder="1" applyAlignment="1">
      <alignment horizontal="center"/>
    </xf>
    <xf numFmtId="0" fontId="7" fillId="9" borderId="129" xfId="0" applyFont="1" applyFill="1" applyBorder="1" applyAlignment="1">
      <alignment horizontal="center"/>
    </xf>
    <xf numFmtId="0" fontId="7" fillId="9" borderId="65" xfId="0" applyFont="1" applyFill="1" applyBorder="1" applyAlignment="1">
      <alignment horizontal="center"/>
    </xf>
    <xf numFmtId="0" fontId="7" fillId="9" borderId="130" xfId="0" applyFont="1" applyFill="1" applyBorder="1" applyAlignment="1">
      <alignment horizontal="center"/>
    </xf>
    <xf numFmtId="166" fontId="7" fillId="23" borderId="15" xfId="0" applyNumberFormat="1" applyFont="1" applyFill="1" applyBorder="1" applyAlignment="1">
      <alignment horizontal="right" vertical="center"/>
    </xf>
    <xf numFmtId="166" fontId="7" fillId="23" borderId="124" xfId="0" applyNumberFormat="1" applyFont="1" applyFill="1" applyBorder="1" applyAlignment="1">
      <alignment horizontal="right" vertical="center"/>
    </xf>
    <xf numFmtId="166" fontId="7" fillId="23" borderId="76" xfId="0" applyNumberFormat="1" applyFont="1" applyFill="1" applyBorder="1" applyAlignment="1">
      <alignment horizontal="right" vertical="center"/>
    </xf>
    <xf numFmtId="166" fontId="7" fillId="23" borderId="125" xfId="0" applyNumberFormat="1" applyFont="1" applyFill="1" applyBorder="1" applyAlignment="1">
      <alignment horizontal="right" vertical="center"/>
    </xf>
    <xf numFmtId="166" fontId="7" fillId="23" borderId="15" xfId="0" applyNumberFormat="1" applyFont="1" applyFill="1" applyBorder="1" applyAlignment="1">
      <alignment horizontal="center" vertical="center"/>
    </xf>
    <xf numFmtId="166" fontId="7" fillId="23" borderId="124" xfId="0" applyNumberFormat="1" applyFont="1" applyFill="1" applyBorder="1" applyAlignment="1">
      <alignment horizontal="center" vertical="center"/>
    </xf>
    <xf numFmtId="0" fontId="7" fillId="23" borderId="70" xfId="0" applyFont="1" applyFill="1" applyBorder="1" applyAlignment="1">
      <alignment horizontal="right" vertical="center"/>
    </xf>
    <xf numFmtId="0" fontId="7" fillId="23" borderId="111" xfId="0" applyFont="1" applyFill="1" applyBorder="1" applyAlignment="1">
      <alignment horizontal="right" vertical="center"/>
    </xf>
    <xf numFmtId="166" fontId="7" fillId="12" borderId="15" xfId="0" applyNumberFormat="1" applyFont="1" applyFill="1" applyBorder="1" applyAlignment="1">
      <alignment horizontal="right" vertical="center"/>
    </xf>
    <xf numFmtId="166" fontId="7" fillId="12" borderId="124" xfId="0" applyNumberFormat="1" applyFont="1" applyFill="1" applyBorder="1" applyAlignment="1">
      <alignment horizontal="right" vertical="center"/>
    </xf>
    <xf numFmtId="0" fontId="7" fillId="12" borderId="70" xfId="0" applyFont="1" applyFill="1" applyBorder="1" applyAlignment="1">
      <alignment horizontal="right" vertical="center"/>
    </xf>
    <xf numFmtId="0" fontId="7" fillId="12" borderId="111" xfId="0" applyFont="1" applyFill="1" applyBorder="1" applyAlignment="1">
      <alignment horizontal="right" vertical="center"/>
    </xf>
    <xf numFmtId="166" fontId="7" fillId="12" borderId="76" xfId="0" applyNumberFormat="1" applyFont="1" applyFill="1" applyBorder="1" applyAlignment="1">
      <alignment horizontal="center" vertical="center"/>
    </xf>
    <xf numFmtId="166" fontId="7" fillId="12" borderId="125" xfId="0" applyNumberFormat="1" applyFont="1" applyFill="1" applyBorder="1" applyAlignment="1">
      <alignment horizontal="center" vertical="center"/>
    </xf>
  </cellXfs>
  <cellStyles count="6">
    <cellStyle name="Comma" xfId="5" builtinId="3"/>
    <cellStyle name="Normal" xfId="0" builtinId="0"/>
    <cellStyle name="Normal 2" xfId="2" xr:uid="{99D3B771-2081-4D71-958D-C66D13DF8AA4}"/>
    <cellStyle name="Normal 3" xfId="3" xr:uid="{C7375B3E-62A5-4471-AC6F-A9320C50E1E4}"/>
    <cellStyle name="Normal 4" xfId="4" xr:uid="{FB1DBE4A-CE1B-455E-AE7F-8C0EC13360A6}"/>
    <cellStyle name="Percent" xfId="1" builtinId="5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theme="1"/>
      </font>
      <fill>
        <patternFill patternType="solid">
          <fgColor auto="1"/>
          <bgColor theme="9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color theme="6"/>
      </font>
      <fill>
        <patternFill patternType="none">
          <bgColor auto="1"/>
        </patternFill>
      </fill>
    </dxf>
    <dxf>
      <font>
        <color theme="5"/>
      </font>
      <fill>
        <patternFill patternType="none">
          <bgColor auto="1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89A54E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19392"/>
      <rgbColor rgb="0093A9C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4198AF"/>
      <rgbColor rgb="000000FF"/>
      <rgbColor rgb="004F81BD"/>
      <rgbColor rgb="00CCFFFF"/>
      <rgbColor rgb="0091C3D5"/>
      <rgbColor rgb="00FFFF99"/>
      <rgbColor rgb="0099CCFF"/>
      <rgbColor rgb="00FF99CC"/>
      <rgbColor rgb="00A99BBD"/>
      <rgbColor rgb="00B9CD96"/>
      <rgbColor rgb="004572A7"/>
      <rgbColor rgb="0033CCCC"/>
      <rgbColor rgb="0099CC00"/>
      <rgbColor rgb="00FFCC00"/>
      <rgbColor rgb="00DB843D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A4643"/>
      <rgbColor rgb="00333399"/>
      <rgbColor rgb="0071588F"/>
    </indexedColors>
    <mruColors>
      <color rgb="FFF1A838"/>
      <color rgb="FFC018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1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hartsheet" Target="chartsheets/sheet1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tyles" Target="styles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A21-4C7A-AD07-A782892E3994}"/>
              </c:ext>
            </c:extLst>
          </c:dPt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'[3]11'!$C$65:$C$71</c:f>
              <c:numCache>
                <c:formatCode>General</c:formatCode>
                <c:ptCount val="7"/>
                <c:pt idx="0">
                  <c:v>9034.1953896103896</c:v>
                </c:pt>
                <c:pt idx="1">
                  <c:v>4920.9107802128428</c:v>
                </c:pt>
                <c:pt idx="2">
                  <c:v>2760</c:v>
                </c:pt>
                <c:pt idx="3">
                  <c:v>5141.7602545695045</c:v>
                </c:pt>
                <c:pt idx="4">
                  <c:v>1900</c:v>
                </c:pt>
                <c:pt idx="5">
                  <c:v>870</c:v>
                </c:pt>
                <c:pt idx="6">
                  <c:v>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1-4C7A-AD07-A782892E3994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'[3]11'!$D$65:$D$71</c:f>
              <c:numCache>
                <c:formatCode>General</c:formatCode>
                <c:ptCount val="7"/>
                <c:pt idx="0">
                  <c:v>463.82538961038881</c:v>
                </c:pt>
                <c:pt idx="1">
                  <c:v>0</c:v>
                </c:pt>
                <c:pt idx="2">
                  <c:v>761.78</c:v>
                </c:pt>
                <c:pt idx="3">
                  <c:v>891.76025456950447</c:v>
                </c:pt>
                <c:pt idx="4">
                  <c:v>0</c:v>
                </c:pt>
                <c:pt idx="5">
                  <c:v>109.65999999999997</c:v>
                </c:pt>
                <c:pt idx="6">
                  <c:v>776.92000000000007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1-4C7A-AD07-A782892E3994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'[3]11'!$E$65:$E$71</c:f>
              <c:numCache>
                <c:formatCode>General</c:formatCode>
                <c:ptCount val="7"/>
                <c:pt idx="0">
                  <c:v>0</c:v>
                </c:pt>
                <c:pt idx="1">
                  <c:v>3761.3292197871569</c:v>
                </c:pt>
                <c:pt idx="2">
                  <c:v>0</c:v>
                </c:pt>
                <c:pt idx="3">
                  <c:v>0</c:v>
                </c:pt>
                <c:pt idx="4">
                  <c:v>170.50999999999976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1-4C7A-AD07-A782892E3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4168"/>
        <c:axId val="445254560"/>
      </c:barChart>
      <c:catAx>
        <c:axId val="44525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560"/>
        <c:crosses val="autoZero"/>
        <c:auto val="1"/>
        <c:lblAlgn val="ctr"/>
        <c:lblOffset val="100"/>
        <c:noMultiLvlLbl val="0"/>
      </c:catAx>
      <c:valAx>
        <c:axId val="4452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29-445B-A08D-BA5C3D270F79}"/>
              </c:ext>
            </c:extLst>
          </c:dPt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'[3]11'!$C$65:$C$71</c:f>
              <c:numCache>
                <c:formatCode>General</c:formatCode>
                <c:ptCount val="7"/>
                <c:pt idx="0">
                  <c:v>9034.1953896103896</c:v>
                </c:pt>
                <c:pt idx="1">
                  <c:v>4920.9107802128428</c:v>
                </c:pt>
                <c:pt idx="2">
                  <c:v>2760</c:v>
                </c:pt>
                <c:pt idx="3">
                  <c:v>5141.7602545695045</c:v>
                </c:pt>
                <c:pt idx="4">
                  <c:v>1900</c:v>
                </c:pt>
                <c:pt idx="5">
                  <c:v>870</c:v>
                </c:pt>
                <c:pt idx="6">
                  <c:v>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9-445B-A08D-BA5C3D270F79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'[3]11'!$D$65:$D$71</c:f>
              <c:numCache>
                <c:formatCode>General</c:formatCode>
                <c:ptCount val="7"/>
                <c:pt idx="0">
                  <c:v>463.82538961038881</c:v>
                </c:pt>
                <c:pt idx="1">
                  <c:v>0</c:v>
                </c:pt>
                <c:pt idx="2">
                  <c:v>761.78</c:v>
                </c:pt>
                <c:pt idx="3">
                  <c:v>891.76025456950447</c:v>
                </c:pt>
                <c:pt idx="4">
                  <c:v>0</c:v>
                </c:pt>
                <c:pt idx="5">
                  <c:v>109.65999999999997</c:v>
                </c:pt>
                <c:pt idx="6">
                  <c:v>776.92000000000007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29-445B-A08D-BA5C3D270F79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Ref>
              <c:f>'[3]11'!$B$65:$B$71</c:f>
              <c:numCache>
                <c:formatCode>General</c:formatCode>
                <c:ptCount val="7"/>
                <c:pt idx="0">
                  <c:v>8570.3700000000008</c:v>
                </c:pt>
                <c:pt idx="1">
                  <c:v>8682.24</c:v>
                </c:pt>
                <c:pt idx="2">
                  <c:v>1998.22</c:v>
                </c:pt>
                <c:pt idx="3">
                  <c:v>4250</c:v>
                </c:pt>
                <c:pt idx="4">
                  <c:v>2070.5099999999998</c:v>
                </c:pt>
                <c:pt idx="5">
                  <c:v>760.34</c:v>
                </c:pt>
                <c:pt idx="6">
                  <c:v>2193.08</c:v>
                </c:pt>
              </c:numCache>
            </c:numRef>
          </c:cat>
          <c:val>
            <c:numRef>
              <c:f>'[3]11'!$E$65:$E$71</c:f>
              <c:numCache>
                <c:formatCode>General</c:formatCode>
                <c:ptCount val="7"/>
                <c:pt idx="0">
                  <c:v>0</c:v>
                </c:pt>
                <c:pt idx="1">
                  <c:v>3761.3292197871569</c:v>
                </c:pt>
                <c:pt idx="2">
                  <c:v>0</c:v>
                </c:pt>
                <c:pt idx="3">
                  <c:v>0</c:v>
                </c:pt>
                <c:pt idx="4">
                  <c:v>170.50999999999976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29-445B-A08D-BA5C3D27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4168"/>
        <c:axId val="445254560"/>
      </c:barChart>
      <c:catAx>
        <c:axId val="44525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560"/>
        <c:crosses val="autoZero"/>
        <c:auto val="1"/>
        <c:lblAlgn val="ctr"/>
        <c:lblOffset val="100"/>
        <c:noMultiLvlLbl val="0"/>
      </c:catAx>
      <c:valAx>
        <c:axId val="4452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F7C-46EC-800C-F38AE2D86FD7}"/>
              </c:ext>
            </c:extLst>
          </c:dPt>
          <c:cat>
            <c:numRef>
              <c:f>'[4]11'!$B$65:$B$71</c:f>
              <c:numCache>
                <c:formatCode>General</c:formatCode>
                <c:ptCount val="7"/>
                <c:pt idx="0">
                  <c:v>7676.4200000000019</c:v>
                </c:pt>
                <c:pt idx="1">
                  <c:v>9158.91</c:v>
                </c:pt>
                <c:pt idx="2">
                  <c:v>3522</c:v>
                </c:pt>
                <c:pt idx="3">
                  <c:v>4047</c:v>
                </c:pt>
                <c:pt idx="4">
                  <c:v>929.4799999999999</c:v>
                </c:pt>
                <c:pt idx="5">
                  <c:v>1123.1599999999999</c:v>
                </c:pt>
                <c:pt idx="6">
                  <c:v>1490.51</c:v>
                </c:pt>
              </c:numCache>
            </c:numRef>
          </c:cat>
          <c:val>
            <c:numRef>
              <c:f>'[4]11'!$C$65:$C$71</c:f>
              <c:numCache>
                <c:formatCode>General</c:formatCode>
                <c:ptCount val="7"/>
                <c:pt idx="0">
                  <c:v>9034.1953896103896</c:v>
                </c:pt>
                <c:pt idx="1">
                  <c:v>4920.9107802128428</c:v>
                </c:pt>
                <c:pt idx="2">
                  <c:v>2760</c:v>
                </c:pt>
                <c:pt idx="3">
                  <c:v>5141.7602545695045</c:v>
                </c:pt>
                <c:pt idx="4">
                  <c:v>1900</c:v>
                </c:pt>
                <c:pt idx="5">
                  <c:v>870</c:v>
                </c:pt>
                <c:pt idx="6">
                  <c:v>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C-46EC-800C-F38AE2D86FD7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Ref>
              <c:f>'[4]11'!$B$65:$B$71</c:f>
              <c:numCache>
                <c:formatCode>General</c:formatCode>
                <c:ptCount val="7"/>
                <c:pt idx="0">
                  <c:v>7676.4200000000019</c:v>
                </c:pt>
                <c:pt idx="1">
                  <c:v>9158.91</c:v>
                </c:pt>
                <c:pt idx="2">
                  <c:v>3522</c:v>
                </c:pt>
                <c:pt idx="3">
                  <c:v>4047</c:v>
                </c:pt>
                <c:pt idx="4">
                  <c:v>929.4799999999999</c:v>
                </c:pt>
                <c:pt idx="5">
                  <c:v>1123.1599999999999</c:v>
                </c:pt>
                <c:pt idx="6">
                  <c:v>1490.51</c:v>
                </c:pt>
              </c:numCache>
            </c:numRef>
          </c:cat>
          <c:val>
            <c:numRef>
              <c:f>'[4]11'!$D$65:$D$71</c:f>
              <c:numCache>
                <c:formatCode>General</c:formatCode>
                <c:ptCount val="7"/>
                <c:pt idx="0">
                  <c:v>1357.7753896103877</c:v>
                </c:pt>
                <c:pt idx="1">
                  <c:v>0</c:v>
                </c:pt>
                <c:pt idx="2">
                  <c:v>0</c:v>
                </c:pt>
                <c:pt idx="3">
                  <c:v>1094.7602545695045</c:v>
                </c:pt>
                <c:pt idx="4">
                  <c:v>970.5200000000001</c:v>
                </c:pt>
                <c:pt idx="5">
                  <c:v>0</c:v>
                </c:pt>
                <c:pt idx="6">
                  <c:v>1479.49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C-46EC-800C-F38AE2D86FD7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Ref>
              <c:f>'[4]11'!$B$65:$B$71</c:f>
              <c:numCache>
                <c:formatCode>General</c:formatCode>
                <c:ptCount val="7"/>
                <c:pt idx="0">
                  <c:v>7676.4200000000019</c:v>
                </c:pt>
                <c:pt idx="1">
                  <c:v>9158.91</c:v>
                </c:pt>
                <c:pt idx="2">
                  <c:v>3522</c:v>
                </c:pt>
                <c:pt idx="3">
                  <c:v>4047</c:v>
                </c:pt>
                <c:pt idx="4">
                  <c:v>929.4799999999999</c:v>
                </c:pt>
                <c:pt idx="5">
                  <c:v>1123.1599999999999</c:v>
                </c:pt>
                <c:pt idx="6">
                  <c:v>1490.51</c:v>
                </c:pt>
              </c:numCache>
            </c:numRef>
          </c:cat>
          <c:val>
            <c:numRef>
              <c:f>'[4]11'!$E$65:$E$71</c:f>
              <c:numCache>
                <c:formatCode>General</c:formatCode>
                <c:ptCount val="7"/>
                <c:pt idx="0">
                  <c:v>0</c:v>
                </c:pt>
                <c:pt idx="1">
                  <c:v>4237.999219787157</c:v>
                </c:pt>
                <c:pt idx="2">
                  <c:v>762</c:v>
                </c:pt>
                <c:pt idx="3">
                  <c:v>0</c:v>
                </c:pt>
                <c:pt idx="4">
                  <c:v>0</c:v>
                </c:pt>
                <c:pt idx="5">
                  <c:v>253.15999999999985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C-46EC-800C-F38AE2D86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4168"/>
        <c:axId val="445254560"/>
      </c:barChart>
      <c:catAx>
        <c:axId val="44525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560"/>
        <c:crosses val="autoZero"/>
        <c:auto val="1"/>
        <c:lblAlgn val="ctr"/>
        <c:lblOffset val="100"/>
        <c:noMultiLvlLbl val="0"/>
      </c:catAx>
      <c:valAx>
        <c:axId val="4452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D92-440A-897F-427811A43376}"/>
              </c:ext>
            </c:extLst>
          </c:dPt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2-440A-897F-427811A43376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3240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2-440A-897F-427811A43376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'12'!$E$65:$E$71</c:f>
              <c:numCache>
                <c:formatCode>0.00_ ;[Red]\-0.00\ </c:formatCode>
                <c:ptCount val="7"/>
                <c:pt idx="0">
                  <c:v>3431.9599999999991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2-440A-897F-427811A4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5344"/>
        <c:axId val="445255736"/>
      </c:barChart>
      <c:catAx>
        <c:axId val="4452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5736"/>
        <c:crosses val="autoZero"/>
        <c:auto val="1"/>
        <c:lblAlgn val="ctr"/>
        <c:lblOffset val="100"/>
        <c:noMultiLvlLbl val="0"/>
      </c:catAx>
      <c:valAx>
        <c:axId val="44525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5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5D1E-40A0-B9FB-1C1359949F45}"/>
              </c:ext>
            </c:extLst>
          </c:dPt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7972</c:v>
              </c:pt>
              <c:pt idx="1">
                <c:v>3600</c:v>
              </c:pt>
              <c:pt idx="2">
                <c:v>2850</c:v>
              </c:pt>
              <c:pt idx="3">
                <c:v>5220.4794865319864</c:v>
              </c:pt>
              <c:pt idx="4">
                <c:v>1700</c:v>
              </c:pt>
              <c:pt idx="5">
                <c:v>870</c:v>
              </c:pt>
              <c:pt idx="6">
                <c:v>2970</c:v>
              </c:pt>
            </c:numLit>
          </c:val>
          <c:extLst>
            <c:ext xmlns:c16="http://schemas.microsoft.com/office/drawing/2014/chart" uri="{C3380CC4-5D6E-409C-BE32-E72D297353CC}">
              <c16:uniqueId val="{00000002-5D1E-40A0-B9FB-1C1359949F45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449.32999999999993</c:v>
              </c:pt>
              <c:pt idx="1">
                <c:v>0</c:v>
              </c:pt>
              <c:pt idx="2">
                <c:v>0</c:v>
              </c:pt>
              <c:pt idx="3">
                <c:v>100.57948653198673</c:v>
              </c:pt>
              <c:pt idx="4">
                <c:v>0</c:v>
              </c:pt>
              <c:pt idx="5">
                <c:v>0</c:v>
              </c:pt>
              <c:pt idx="6">
                <c:v>269.06999999999971</c:v>
              </c:pt>
            </c:numLit>
          </c:val>
          <c:extLst>
            <c:ext xmlns:c16="http://schemas.microsoft.com/office/drawing/2014/chart" uri="{C3380CC4-5D6E-409C-BE32-E72D297353CC}">
              <c16:uniqueId val="{00000003-5D1E-40A0-B9FB-1C1359949F45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543.95000000000073</c:v>
              </c:pt>
              <c:pt idx="2">
                <c:v>490.27000000000089</c:v>
              </c:pt>
              <c:pt idx="3">
                <c:v>0</c:v>
              </c:pt>
              <c:pt idx="4">
                <c:v>205.26</c:v>
              </c:pt>
              <c:pt idx="5">
                <c:v>38.07000000000005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D1E-40A0-B9FB-1C1359949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589040"/>
        <c:axId val="221585904"/>
      </c:barChart>
      <c:catAx>
        <c:axId val="2215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5904"/>
        <c:crosses val="autoZero"/>
        <c:auto val="1"/>
        <c:lblAlgn val="ctr"/>
        <c:lblOffset val="100"/>
        <c:noMultiLvlLbl val="0"/>
      </c:catAx>
      <c:valAx>
        <c:axId val="22158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9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35D-497B-92CD-4E9CCC042C36}"/>
              </c:ext>
            </c:extLst>
          </c:dPt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7972</c:v>
              </c:pt>
              <c:pt idx="1">
                <c:v>3600</c:v>
              </c:pt>
              <c:pt idx="2">
                <c:v>2850</c:v>
              </c:pt>
              <c:pt idx="3">
                <c:v>5220.4794865319864</c:v>
              </c:pt>
              <c:pt idx="4">
                <c:v>1700</c:v>
              </c:pt>
              <c:pt idx="5">
                <c:v>870</c:v>
              </c:pt>
              <c:pt idx="6">
                <c:v>2970</c:v>
              </c:pt>
            </c:numLit>
          </c:val>
          <c:extLst>
            <c:ext xmlns:c16="http://schemas.microsoft.com/office/drawing/2014/chart" uri="{C3380CC4-5D6E-409C-BE32-E72D297353CC}">
              <c16:uniqueId val="{00000002-835D-497B-92CD-4E9CCC042C36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449.32999999999993</c:v>
              </c:pt>
              <c:pt idx="1">
                <c:v>0</c:v>
              </c:pt>
              <c:pt idx="2">
                <c:v>0</c:v>
              </c:pt>
              <c:pt idx="3">
                <c:v>100.57948653198673</c:v>
              </c:pt>
              <c:pt idx="4">
                <c:v>0</c:v>
              </c:pt>
              <c:pt idx="5">
                <c:v>0</c:v>
              </c:pt>
              <c:pt idx="6">
                <c:v>269.06999999999971</c:v>
              </c:pt>
            </c:numLit>
          </c:val>
          <c:extLst>
            <c:ext xmlns:c16="http://schemas.microsoft.com/office/drawing/2014/chart" uri="{C3380CC4-5D6E-409C-BE32-E72D297353CC}">
              <c16:uniqueId val="{00000003-835D-497B-92CD-4E9CCC042C36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543.95000000000073</c:v>
              </c:pt>
              <c:pt idx="2">
                <c:v>490.27000000000089</c:v>
              </c:pt>
              <c:pt idx="3">
                <c:v>0</c:v>
              </c:pt>
              <c:pt idx="4">
                <c:v>205.26</c:v>
              </c:pt>
              <c:pt idx="5">
                <c:v>38.07000000000005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835D-497B-92CD-4E9CCC04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588648"/>
        <c:axId val="221586688"/>
      </c:barChart>
      <c:catAx>
        <c:axId val="22158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6688"/>
        <c:crosses val="autoZero"/>
        <c:auto val="1"/>
        <c:lblAlgn val="ctr"/>
        <c:lblOffset val="100"/>
        <c:noMultiLvlLbl val="0"/>
      </c:catAx>
      <c:valAx>
        <c:axId val="2215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8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A346-40CE-8957-14405689E9B4}"/>
              </c:ext>
            </c:extLst>
          </c:dPt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7972</c:v>
              </c:pt>
              <c:pt idx="1">
                <c:v>3600</c:v>
              </c:pt>
              <c:pt idx="2">
                <c:v>2850</c:v>
              </c:pt>
              <c:pt idx="3">
                <c:v>5220.4794865319864</c:v>
              </c:pt>
              <c:pt idx="4">
                <c:v>1700</c:v>
              </c:pt>
              <c:pt idx="5">
                <c:v>870</c:v>
              </c:pt>
              <c:pt idx="6">
                <c:v>2970</c:v>
              </c:pt>
            </c:numLit>
          </c:val>
          <c:extLst>
            <c:ext xmlns:c16="http://schemas.microsoft.com/office/drawing/2014/chart" uri="{C3380CC4-5D6E-409C-BE32-E72D297353CC}">
              <c16:uniqueId val="{00000002-A346-40CE-8957-14405689E9B4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449.32999999999993</c:v>
              </c:pt>
              <c:pt idx="1">
                <c:v>0</c:v>
              </c:pt>
              <c:pt idx="2">
                <c:v>0</c:v>
              </c:pt>
              <c:pt idx="3">
                <c:v>100.57948653198673</c:v>
              </c:pt>
              <c:pt idx="4">
                <c:v>0</c:v>
              </c:pt>
              <c:pt idx="5">
                <c:v>0</c:v>
              </c:pt>
              <c:pt idx="6">
                <c:v>269.06999999999971</c:v>
              </c:pt>
            </c:numLit>
          </c:val>
          <c:extLst>
            <c:ext xmlns:c16="http://schemas.microsoft.com/office/drawing/2014/chart" uri="{C3380CC4-5D6E-409C-BE32-E72D297353CC}">
              <c16:uniqueId val="{00000003-A346-40CE-8957-14405689E9B4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543.95000000000073</c:v>
              </c:pt>
              <c:pt idx="2">
                <c:v>490.27000000000089</c:v>
              </c:pt>
              <c:pt idx="3">
                <c:v>0</c:v>
              </c:pt>
              <c:pt idx="4">
                <c:v>205.26</c:v>
              </c:pt>
              <c:pt idx="5">
                <c:v>38.07000000000005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346-40CE-8957-14405689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583552"/>
        <c:axId val="221581984"/>
      </c:barChart>
      <c:catAx>
        <c:axId val="2215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1984"/>
        <c:crosses val="autoZero"/>
        <c:auto val="1"/>
        <c:lblAlgn val="ctr"/>
        <c:lblOffset val="100"/>
        <c:noMultiLvlLbl val="0"/>
      </c:catAx>
      <c:valAx>
        <c:axId val="22158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35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0EF-49FC-9783-B60126BC0DC5}"/>
              </c:ext>
            </c:extLst>
          </c:dPt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7972</c:v>
              </c:pt>
              <c:pt idx="1">
                <c:v>3600</c:v>
              </c:pt>
              <c:pt idx="2">
                <c:v>2850</c:v>
              </c:pt>
              <c:pt idx="3">
                <c:v>5220.4794865319864</c:v>
              </c:pt>
              <c:pt idx="4">
                <c:v>1700</c:v>
              </c:pt>
              <c:pt idx="5">
                <c:v>870</c:v>
              </c:pt>
              <c:pt idx="6">
                <c:v>2970</c:v>
              </c:pt>
            </c:numLit>
          </c:val>
          <c:extLst>
            <c:ext xmlns:c16="http://schemas.microsoft.com/office/drawing/2014/chart" uri="{C3380CC4-5D6E-409C-BE32-E72D297353CC}">
              <c16:uniqueId val="{00000002-C0EF-49FC-9783-B60126BC0DC5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449.32999999999993</c:v>
              </c:pt>
              <c:pt idx="1">
                <c:v>0</c:v>
              </c:pt>
              <c:pt idx="2">
                <c:v>0</c:v>
              </c:pt>
              <c:pt idx="3">
                <c:v>100.57948653198673</c:v>
              </c:pt>
              <c:pt idx="4">
                <c:v>0</c:v>
              </c:pt>
              <c:pt idx="5">
                <c:v>0</c:v>
              </c:pt>
              <c:pt idx="6">
                <c:v>269.06999999999971</c:v>
              </c:pt>
            </c:numLit>
          </c:val>
          <c:extLst>
            <c:ext xmlns:c16="http://schemas.microsoft.com/office/drawing/2014/chart" uri="{C3380CC4-5D6E-409C-BE32-E72D297353CC}">
              <c16:uniqueId val="{00000003-C0EF-49FC-9783-B60126BC0DC5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543.95000000000073</c:v>
              </c:pt>
              <c:pt idx="2">
                <c:v>490.27000000000089</c:v>
              </c:pt>
              <c:pt idx="3">
                <c:v>0</c:v>
              </c:pt>
              <c:pt idx="4">
                <c:v>205.26</c:v>
              </c:pt>
              <c:pt idx="5">
                <c:v>38.07000000000005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0EF-49FC-9783-B60126BC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582768"/>
        <c:axId val="221582376"/>
      </c:barChart>
      <c:catAx>
        <c:axId val="2215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2376"/>
        <c:crosses val="autoZero"/>
        <c:auto val="1"/>
        <c:lblAlgn val="ctr"/>
        <c:lblOffset val="100"/>
        <c:noMultiLvlLbl val="0"/>
      </c:catAx>
      <c:valAx>
        <c:axId val="22158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27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4F8-4F2A-B923-5676E131815E}"/>
              </c:ext>
            </c:extLst>
          </c:dPt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7972</c:v>
              </c:pt>
              <c:pt idx="1">
                <c:v>3600</c:v>
              </c:pt>
              <c:pt idx="2">
                <c:v>2850</c:v>
              </c:pt>
              <c:pt idx="3">
                <c:v>5220.4794865319864</c:v>
              </c:pt>
              <c:pt idx="4">
                <c:v>1700</c:v>
              </c:pt>
              <c:pt idx="5">
                <c:v>870</c:v>
              </c:pt>
              <c:pt idx="6">
                <c:v>2970</c:v>
              </c:pt>
            </c:numLit>
          </c:val>
          <c:extLst>
            <c:ext xmlns:c16="http://schemas.microsoft.com/office/drawing/2014/chart" uri="{C3380CC4-5D6E-409C-BE32-E72D297353CC}">
              <c16:uniqueId val="{00000001-14F8-4F2A-B923-5676E131815E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449.32999999999993</c:v>
              </c:pt>
              <c:pt idx="1">
                <c:v>0</c:v>
              </c:pt>
              <c:pt idx="2">
                <c:v>0</c:v>
              </c:pt>
              <c:pt idx="3">
                <c:v>100.57948653198673</c:v>
              </c:pt>
              <c:pt idx="4">
                <c:v>0</c:v>
              </c:pt>
              <c:pt idx="5">
                <c:v>0</c:v>
              </c:pt>
              <c:pt idx="6">
                <c:v>269.06999999999971</c:v>
              </c:pt>
            </c:numLit>
          </c:val>
          <c:extLst>
            <c:ext xmlns:c16="http://schemas.microsoft.com/office/drawing/2014/chart" uri="{C3380CC4-5D6E-409C-BE32-E72D297353CC}">
              <c16:uniqueId val="{00000002-14F8-4F2A-B923-5676E131815E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7"/>
              <c:pt idx="0">
                <c:v>7522.67</c:v>
              </c:pt>
              <c:pt idx="1">
                <c:v>4143.9500000000007</c:v>
              </c:pt>
              <c:pt idx="2">
                <c:v>3340.2700000000009</c:v>
              </c:pt>
              <c:pt idx="3">
                <c:v>5119.8999999999996</c:v>
              </c:pt>
              <c:pt idx="4">
                <c:v>1905.26</c:v>
              </c:pt>
              <c:pt idx="5">
                <c:v>908.07</c:v>
              </c:pt>
              <c:pt idx="6">
                <c:v>2700.9300000000003</c:v>
              </c:pt>
            </c:num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543.95000000000073</c:v>
              </c:pt>
              <c:pt idx="2">
                <c:v>490.27000000000089</c:v>
              </c:pt>
              <c:pt idx="3">
                <c:v>0</c:v>
              </c:pt>
              <c:pt idx="4">
                <c:v>205.26</c:v>
              </c:pt>
              <c:pt idx="5">
                <c:v>38.07000000000005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14F8-4F2A-B923-5676E1318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583160"/>
        <c:axId val="221588256"/>
      </c:barChart>
      <c:catAx>
        <c:axId val="22158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8256"/>
        <c:crosses val="autoZero"/>
        <c:auto val="1"/>
        <c:lblAlgn val="ctr"/>
        <c:lblOffset val="100"/>
        <c:noMultiLvlLbl val="0"/>
      </c:catAx>
      <c:valAx>
        <c:axId val="2215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3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BB9-4AD2-8A92-B2E93FC7A2F7}"/>
              </c:ext>
            </c:extLst>
          </c:dPt>
          <c:cat>
            <c:multiLvlStrRef>
              <c:f>'1'!$A$66:$B$72</c:f>
              <c:multiLvlStrCache>
                <c:ptCount val="7"/>
                <c:lvl>
                  <c:pt idx="0">
                    <c:v>62767.6 </c:v>
                  </c:pt>
                  <c:pt idx="1">
                    <c:v>15613.55</c:v>
                  </c:pt>
                  <c:pt idx="2">
                    <c:v>1980.54</c:v>
                  </c:pt>
                  <c:pt idx="3">
                    <c:v>4379.72</c:v>
                  </c:pt>
                  <c:pt idx="4">
                    <c:v>2661.23</c:v>
                  </c:pt>
                  <c:pt idx="5">
                    <c:v>1703.29</c:v>
                  </c:pt>
                  <c:pt idx="6">
                    <c:v>3039.91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'1'!$C$66:$C$72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9-4AD2-8A92-B2E93FC7A2F7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'1'!$A$66:$B$72</c:f>
              <c:multiLvlStrCache>
                <c:ptCount val="7"/>
                <c:lvl>
                  <c:pt idx="0">
                    <c:v>62767.6 </c:v>
                  </c:pt>
                  <c:pt idx="1">
                    <c:v>15613.55</c:v>
                  </c:pt>
                  <c:pt idx="2">
                    <c:v>1980.54</c:v>
                  </c:pt>
                  <c:pt idx="3">
                    <c:v>4379.72</c:v>
                  </c:pt>
                  <c:pt idx="4">
                    <c:v>2661.23</c:v>
                  </c:pt>
                  <c:pt idx="5">
                    <c:v>1703.29</c:v>
                  </c:pt>
                  <c:pt idx="6">
                    <c:v>3039.91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'1'!$D$66:$D$72</c:f>
              <c:numCache>
                <c:formatCode>0.00_ ;[Red]\-0.00\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1259.46</c:v>
                </c:pt>
                <c:pt idx="3">
                  <c:v>520.27999999999975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9-4AD2-8A92-B2E93FC7A2F7}"/>
            </c:ext>
          </c:extLst>
        </c:ser>
        <c:ser>
          <c:idx val="0"/>
          <c:order val="2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'1'!$A$66:$B$72</c:f>
              <c:multiLvlStrCache>
                <c:ptCount val="7"/>
                <c:lvl>
                  <c:pt idx="0">
                    <c:v>62767.6 </c:v>
                  </c:pt>
                  <c:pt idx="1">
                    <c:v>15613.55</c:v>
                  </c:pt>
                  <c:pt idx="2">
                    <c:v>1980.54</c:v>
                  </c:pt>
                  <c:pt idx="3">
                    <c:v>4379.72</c:v>
                  </c:pt>
                  <c:pt idx="4">
                    <c:v>2661.23</c:v>
                  </c:pt>
                  <c:pt idx="5">
                    <c:v>1703.29</c:v>
                  </c:pt>
                  <c:pt idx="6">
                    <c:v>3039.91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'1'!$E$66:$E$72</c:f>
              <c:numCache>
                <c:formatCode>0.00_ ;[Red]\-0.00\ </c:formatCode>
                <c:ptCount val="7"/>
                <c:pt idx="0">
                  <c:v>49945.64</c:v>
                </c:pt>
                <c:pt idx="1">
                  <c:v>6613.5499999999993</c:v>
                </c:pt>
                <c:pt idx="2">
                  <c:v>0</c:v>
                </c:pt>
                <c:pt idx="3">
                  <c:v>0</c:v>
                </c:pt>
                <c:pt idx="4">
                  <c:v>61.230000000000018</c:v>
                </c:pt>
                <c:pt idx="5">
                  <c:v>723.29</c:v>
                </c:pt>
                <c:pt idx="6">
                  <c:v>1709.9100000000003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9-4AD2-8A92-B2E93FC7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18320"/>
        <c:axId val="441817144"/>
      </c:barChart>
      <c:catAx>
        <c:axId val="44181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1817144"/>
        <c:crosses val="autoZero"/>
        <c:auto val="1"/>
        <c:lblAlgn val="ctr"/>
        <c:lblOffset val="100"/>
        <c:noMultiLvlLbl val="0"/>
      </c:catAx>
      <c:valAx>
        <c:axId val="44181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181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0FC-430F-8EB1-419DFAB7D58B}"/>
              </c:ext>
            </c:extLst>
          </c:dPt>
          <c:cat>
            <c:multiLvlStrRef>
              <c:f>'2'!$A$65:$B$71</c:f>
              <c:multiLvlStrCache>
                <c:ptCount val="7"/>
                <c:lvl>
                  <c:pt idx="0">
                    <c:v>220800.23 </c:v>
                  </c:pt>
                  <c:pt idx="1">
                    <c:v>12478.8 </c:v>
                  </c:pt>
                  <c:pt idx="2">
                    <c:v>2002.69</c:v>
                  </c:pt>
                  <c:pt idx="3">
                    <c:v>4483.42</c:v>
                  </c:pt>
                  <c:pt idx="4">
                    <c:v>10800.8</c:v>
                  </c:pt>
                  <c:pt idx="5">
                    <c:v>1949.26</c:v>
                  </c:pt>
                  <c:pt idx="6">
                    <c:v>3116.34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'2'!$C$65:$C$71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FC-430F-8EB1-419DFAB7D58B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'2'!$A$65:$B$71</c:f>
              <c:multiLvlStrCache>
                <c:ptCount val="7"/>
                <c:lvl>
                  <c:pt idx="0">
                    <c:v>220800.23 </c:v>
                  </c:pt>
                  <c:pt idx="1">
                    <c:v>12478.8 </c:v>
                  </c:pt>
                  <c:pt idx="2">
                    <c:v>2002.69</c:v>
                  </c:pt>
                  <c:pt idx="3">
                    <c:v>4483.42</c:v>
                  </c:pt>
                  <c:pt idx="4">
                    <c:v>10800.8</c:v>
                  </c:pt>
                  <c:pt idx="5">
                    <c:v>1949.26</c:v>
                  </c:pt>
                  <c:pt idx="6">
                    <c:v>3116.34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'2'!$D$65:$D$71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1237.31</c:v>
                </c:pt>
                <c:pt idx="3">
                  <c:v>416.57999999999993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FC-430F-8EB1-419DFAB7D58B}"/>
            </c:ext>
          </c:extLst>
        </c:ser>
        <c:ser>
          <c:idx val="0"/>
          <c:order val="2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'2'!$A$65:$B$71</c:f>
              <c:multiLvlStrCache>
                <c:ptCount val="7"/>
                <c:lvl>
                  <c:pt idx="0">
                    <c:v>220800.23 </c:v>
                  </c:pt>
                  <c:pt idx="1">
                    <c:v>12478.8 </c:v>
                  </c:pt>
                  <c:pt idx="2">
                    <c:v>2002.69</c:v>
                  </c:pt>
                  <c:pt idx="3">
                    <c:v>4483.42</c:v>
                  </c:pt>
                  <c:pt idx="4">
                    <c:v>10800.8</c:v>
                  </c:pt>
                  <c:pt idx="5">
                    <c:v>1949.26</c:v>
                  </c:pt>
                  <c:pt idx="6">
                    <c:v>3116.34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'2'!$E$65:$E$71</c:f>
              <c:numCache>
                <c:formatCode>0.00_ ;[Red]\-0.00\ </c:formatCode>
                <c:ptCount val="7"/>
                <c:pt idx="0">
                  <c:v>207978.22999999998</c:v>
                </c:pt>
                <c:pt idx="1">
                  <c:v>3478.8399999999983</c:v>
                </c:pt>
                <c:pt idx="2">
                  <c:v>0</c:v>
                </c:pt>
                <c:pt idx="3">
                  <c:v>0</c:v>
                </c:pt>
                <c:pt idx="4">
                  <c:v>8200.8000000000011</c:v>
                </c:pt>
                <c:pt idx="5">
                  <c:v>969.26</c:v>
                </c:pt>
                <c:pt idx="6">
                  <c:v>1786.3400000000001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FC-430F-8EB1-419DFAB7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21064"/>
        <c:axId val="441815576"/>
      </c:barChart>
      <c:catAx>
        <c:axId val="44182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1815576"/>
        <c:crosses val="autoZero"/>
        <c:auto val="1"/>
        <c:lblAlgn val="ctr"/>
        <c:lblOffset val="100"/>
        <c:noMultiLvlLbl val="0"/>
      </c:catAx>
      <c:valAx>
        <c:axId val="44181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182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D2E-400A-BD2F-B44DFF76EC8B}"/>
              </c:ext>
            </c:extLst>
          </c:dPt>
          <c:cat>
            <c:multiLvlStrRef>
              <c:f>'3'!$A$65:$B$71</c:f>
              <c:multiLvlStrCache>
                <c:ptCount val="7"/>
                <c:lvl>
                  <c:pt idx="0">
                    <c:v>14669.55 </c:v>
                  </c:pt>
                  <c:pt idx="1">
                    <c:v>17594.6 </c:v>
                  </c:pt>
                  <c:pt idx="2">
                    <c:v>1683.91</c:v>
                  </c:pt>
                  <c:pt idx="3">
                    <c:v>3707.72</c:v>
                  </c:pt>
                  <c:pt idx="4">
                    <c:v>4936.05</c:v>
                  </c:pt>
                  <c:pt idx="5">
                    <c:v>1532.47</c:v>
                  </c:pt>
                  <c:pt idx="6">
                    <c:v>1478.66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'3'!$C$65:$C$71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E-400A-BD2F-B44DFF76EC8B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'3'!$A$65:$B$71</c:f>
              <c:multiLvlStrCache>
                <c:ptCount val="7"/>
                <c:lvl>
                  <c:pt idx="0">
                    <c:v>14669.55 </c:v>
                  </c:pt>
                  <c:pt idx="1">
                    <c:v>17594.6 </c:v>
                  </c:pt>
                  <c:pt idx="2">
                    <c:v>1683.91</c:v>
                  </c:pt>
                  <c:pt idx="3">
                    <c:v>3707.72</c:v>
                  </c:pt>
                  <c:pt idx="4">
                    <c:v>4936.05</c:v>
                  </c:pt>
                  <c:pt idx="5">
                    <c:v>1532.47</c:v>
                  </c:pt>
                  <c:pt idx="6">
                    <c:v>1478.66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'3'!$D$65:$D$71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1556.09</c:v>
                </c:pt>
                <c:pt idx="3">
                  <c:v>1192.2799999999997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E-400A-BD2F-B44DFF76EC8B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'3'!$A$65:$B$71</c:f>
              <c:multiLvlStrCache>
                <c:ptCount val="7"/>
                <c:lvl>
                  <c:pt idx="0">
                    <c:v>14669.55 </c:v>
                  </c:pt>
                  <c:pt idx="1">
                    <c:v>17594.6 </c:v>
                  </c:pt>
                  <c:pt idx="2">
                    <c:v>1683.91</c:v>
                  </c:pt>
                  <c:pt idx="3">
                    <c:v>3707.72</c:v>
                  </c:pt>
                  <c:pt idx="4">
                    <c:v>4936.05</c:v>
                  </c:pt>
                  <c:pt idx="5">
                    <c:v>1532.47</c:v>
                  </c:pt>
                  <c:pt idx="6">
                    <c:v>1478.66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'3'!$E$65:$E$71</c:f>
              <c:numCache>
                <c:formatCode>0.00_ ;[Red]\-0.00\ </c:formatCode>
                <c:ptCount val="7"/>
                <c:pt idx="0">
                  <c:v>1847.5499999999975</c:v>
                </c:pt>
                <c:pt idx="1">
                  <c:v>8594.5999999999985</c:v>
                </c:pt>
                <c:pt idx="2">
                  <c:v>0</c:v>
                </c:pt>
                <c:pt idx="3">
                  <c:v>0</c:v>
                </c:pt>
                <c:pt idx="4">
                  <c:v>2336.0499999999993</c:v>
                </c:pt>
                <c:pt idx="5">
                  <c:v>552.4699999999998</c:v>
                </c:pt>
                <c:pt idx="6">
                  <c:v>148.66000000000008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E-400A-BD2F-B44DFF76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22240"/>
        <c:axId val="441816360"/>
      </c:barChart>
      <c:catAx>
        <c:axId val="4418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6360"/>
        <c:crosses val="autoZero"/>
        <c:auto val="1"/>
        <c:lblAlgn val="ctr"/>
        <c:lblOffset val="100"/>
        <c:noMultiLvlLbl val="0"/>
      </c:catAx>
      <c:valAx>
        <c:axId val="44181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222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E1D-45F0-ADAF-DA76878B71C4}"/>
              </c:ext>
            </c:extLst>
          </c:dPt>
          <c:cat>
            <c:multiLvlStrRef>
              <c:f>'4'!$A$65:$B$71</c:f>
              <c:multiLvlStrCache>
                <c:ptCount val="7"/>
                <c:lvl>
                  <c:pt idx="0">
                    <c:v>372042.96 </c:v>
                  </c:pt>
                  <c:pt idx="1">
                    <c:v>11791.1 </c:v>
                  </c:pt>
                  <c:pt idx="2">
                    <c:v>4022.64</c:v>
                  </c:pt>
                  <c:pt idx="3">
                    <c:v>3635.72</c:v>
                  </c:pt>
                  <c:pt idx="4">
                    <c:v>9483.65</c:v>
                  </c:pt>
                  <c:pt idx="5">
                    <c:v>1712.45</c:v>
                  </c:pt>
                  <c:pt idx="6">
                    <c:v>1460.27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'4'!$C$65:$C$71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D-45F0-ADAF-DA76878B71C4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'4'!$A$65:$B$71</c:f>
              <c:multiLvlStrCache>
                <c:ptCount val="7"/>
                <c:lvl>
                  <c:pt idx="0">
                    <c:v>372042.96 </c:v>
                  </c:pt>
                  <c:pt idx="1">
                    <c:v>11791.1 </c:v>
                  </c:pt>
                  <c:pt idx="2">
                    <c:v>4022.64</c:v>
                  </c:pt>
                  <c:pt idx="3">
                    <c:v>3635.72</c:v>
                  </c:pt>
                  <c:pt idx="4">
                    <c:v>9483.65</c:v>
                  </c:pt>
                  <c:pt idx="5">
                    <c:v>1712.45</c:v>
                  </c:pt>
                  <c:pt idx="6">
                    <c:v>1460.27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'4'!$D$65:$D$71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1264.2799999999997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1D-45F0-ADAF-DA76878B71C4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'4'!$A$65:$B$71</c:f>
              <c:multiLvlStrCache>
                <c:ptCount val="7"/>
                <c:lvl>
                  <c:pt idx="0">
                    <c:v>372042.96 </c:v>
                  </c:pt>
                  <c:pt idx="1">
                    <c:v>11791.1 </c:v>
                  </c:pt>
                  <c:pt idx="2">
                    <c:v>4022.64</c:v>
                  </c:pt>
                  <c:pt idx="3">
                    <c:v>3635.72</c:v>
                  </c:pt>
                  <c:pt idx="4">
                    <c:v>9483.65</c:v>
                  </c:pt>
                  <c:pt idx="5">
                    <c:v>1712.45</c:v>
                  </c:pt>
                  <c:pt idx="6">
                    <c:v>1460.27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'4'!$E$65:$E$71</c:f>
              <c:numCache>
                <c:formatCode>0.00_ ;[Red]\-0.00\ </c:formatCode>
                <c:ptCount val="7"/>
                <c:pt idx="0">
                  <c:v>359220.95999999996</c:v>
                </c:pt>
                <c:pt idx="1">
                  <c:v>2791.0899999999947</c:v>
                </c:pt>
                <c:pt idx="2">
                  <c:v>782.64000000000033</c:v>
                </c:pt>
                <c:pt idx="3">
                  <c:v>0</c:v>
                </c:pt>
                <c:pt idx="4">
                  <c:v>6883.65</c:v>
                </c:pt>
                <c:pt idx="5">
                  <c:v>732.45</c:v>
                </c:pt>
                <c:pt idx="6">
                  <c:v>130.26999999999998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1D-45F0-ADAF-DA76878B7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17928"/>
        <c:axId val="441818712"/>
      </c:barChart>
      <c:catAx>
        <c:axId val="44181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8712"/>
        <c:crosses val="autoZero"/>
        <c:auto val="1"/>
        <c:lblAlgn val="ctr"/>
        <c:lblOffset val="100"/>
        <c:noMultiLvlLbl val="0"/>
      </c:catAx>
      <c:valAx>
        <c:axId val="44181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7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EA-4A38-952B-D60F379ADA57}"/>
              </c:ext>
            </c:extLst>
          </c:dPt>
          <c:cat>
            <c:multiLvlStrRef>
              <c:f>'5'!$A$65:$B$71</c:f>
              <c:multiLvlStrCache>
                <c:ptCount val="7"/>
                <c:lvl>
                  <c:pt idx="0">
                    <c:v>15203.96 </c:v>
                  </c:pt>
                  <c:pt idx="1">
                    <c:v>4410.5 </c:v>
                  </c:pt>
                  <c:pt idx="2">
                    <c:v>1784.75</c:v>
                  </c:pt>
                  <c:pt idx="3">
                    <c:v>3257.72</c:v>
                  </c:pt>
                  <c:pt idx="4">
                    <c:v>3686.86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'5'!$C$65:$C$71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A-4A38-952B-D60F379ADA57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'5'!$A$65:$B$71</c:f>
              <c:multiLvlStrCache>
                <c:ptCount val="7"/>
                <c:lvl>
                  <c:pt idx="0">
                    <c:v>15203.96 </c:v>
                  </c:pt>
                  <c:pt idx="1">
                    <c:v>4410.5 </c:v>
                  </c:pt>
                  <c:pt idx="2">
                    <c:v>1784.75</c:v>
                  </c:pt>
                  <c:pt idx="3">
                    <c:v>3257.72</c:v>
                  </c:pt>
                  <c:pt idx="4">
                    <c:v>3686.86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'5'!$D$65:$D$71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4589.4799999999996</c:v>
                </c:pt>
                <c:pt idx="2">
                  <c:v>1455.25</c:v>
                </c:pt>
                <c:pt idx="3">
                  <c:v>1642.2799999999997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A-4A38-952B-D60F379ADA57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'5'!$A$65:$B$71</c:f>
              <c:multiLvlStrCache>
                <c:ptCount val="7"/>
                <c:lvl>
                  <c:pt idx="0">
                    <c:v>15203.96 </c:v>
                  </c:pt>
                  <c:pt idx="1">
                    <c:v>4410.5 </c:v>
                  </c:pt>
                  <c:pt idx="2">
                    <c:v>1784.75</c:v>
                  </c:pt>
                  <c:pt idx="3">
                    <c:v>3257.72</c:v>
                  </c:pt>
                  <c:pt idx="4">
                    <c:v>3686.86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'5'!$E$65:$E$71</c:f>
              <c:numCache>
                <c:formatCode>0.00_ ;[Red]\-0.00\ </c:formatCode>
                <c:ptCount val="7"/>
                <c:pt idx="0">
                  <c:v>2381.9599999999991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1086.8599999999997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A-4A38-952B-D60F379A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15184"/>
        <c:axId val="441820672"/>
      </c:barChart>
      <c:catAx>
        <c:axId val="4418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20672"/>
        <c:crosses val="autoZero"/>
        <c:auto val="1"/>
        <c:lblAlgn val="ctr"/>
        <c:lblOffset val="100"/>
        <c:noMultiLvlLbl val="0"/>
      </c:catAx>
      <c:valAx>
        <c:axId val="441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51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95F-45E3-A87A-98072E9C7521}"/>
              </c:ext>
            </c:extLst>
          </c:dPt>
          <c:cat>
            <c:multiLvlStrRef>
              <c:f>'6'!$A$64:$B$70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1184.75</c:v>
                  </c:pt>
                  <c:pt idx="3">
                    <c:v>3257.72</c:v>
                  </c:pt>
                  <c:pt idx="4">
                    <c:v>2580.61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'6'!$C$64:$C$70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F-45E3-A87A-98072E9C7521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'6'!$A$64:$B$70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1184.75</c:v>
                  </c:pt>
                  <c:pt idx="3">
                    <c:v>3257.72</c:v>
                  </c:pt>
                  <c:pt idx="4">
                    <c:v>2580.61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'6'!$D$64:$D$70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2055.25</c:v>
                </c:pt>
                <c:pt idx="3">
                  <c:v>1642.2799999999997</c:v>
                </c:pt>
                <c:pt idx="4">
                  <c:v>19.390000000000327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F-45E3-A87A-98072E9C7521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'6'!$A$64:$B$70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1184.75</c:v>
                  </c:pt>
                  <c:pt idx="3">
                    <c:v>3257.72</c:v>
                  </c:pt>
                  <c:pt idx="4">
                    <c:v>2580.61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'6'!$E$64:$E$70</c:f>
              <c:numCache>
                <c:formatCode>0.00_ ;[Red]\-0.00\ </c:formatCode>
                <c:ptCount val="7"/>
                <c:pt idx="0">
                  <c:v>3431.9599999999991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5F-45E3-A87A-98072E9C7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815968"/>
        <c:axId val="441819104"/>
      </c:barChart>
      <c:catAx>
        <c:axId val="4418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9104"/>
        <c:crosses val="autoZero"/>
        <c:auto val="1"/>
        <c:lblAlgn val="ctr"/>
        <c:lblOffset val="100"/>
        <c:noMultiLvlLbl val="0"/>
      </c:catAx>
      <c:valAx>
        <c:axId val="4418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8159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/>
              <a:t>עוגת הוצאות 2015</a:t>
            </a:r>
          </a:p>
        </c:rich>
      </c:tx>
      <c:layout>
        <c:manualLayout>
          <c:xMode val="edge"/>
          <c:yMode val="edge"/>
          <c:x val="0.24620060790273557"/>
          <c:y val="4.72440944881889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738601823708209"/>
          <c:y val="0.49212598425196852"/>
          <c:w val="0.33130699088145898"/>
          <c:h val="0.42913385826771655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4572A7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D17-48EC-84EA-7C1F96A1770E}"/>
              </c:ext>
            </c:extLst>
          </c:dPt>
          <c:dPt>
            <c:idx val="1"/>
            <c:bubble3D val="0"/>
            <c:spPr>
              <a:solidFill>
                <a:srgbClr val="AA464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17-48EC-84EA-7C1F96A1770E}"/>
              </c:ext>
            </c:extLst>
          </c:dPt>
          <c:dPt>
            <c:idx val="2"/>
            <c:bubble3D val="0"/>
            <c:spPr>
              <a:solidFill>
                <a:srgbClr val="89A54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17-48EC-84EA-7C1F96A1770E}"/>
              </c:ext>
            </c:extLst>
          </c:dPt>
          <c:dPt>
            <c:idx val="3"/>
            <c:bubble3D val="0"/>
            <c:spPr>
              <a:solidFill>
                <a:srgbClr val="71588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17-48EC-84EA-7C1F96A1770E}"/>
              </c:ext>
            </c:extLst>
          </c:dPt>
          <c:dPt>
            <c:idx val="4"/>
            <c:bubble3D val="0"/>
            <c:spPr>
              <a:solidFill>
                <a:srgbClr val="4198A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17-48EC-84EA-7C1F96A1770E}"/>
              </c:ext>
            </c:extLst>
          </c:dPt>
          <c:dPt>
            <c:idx val="5"/>
            <c:bubble3D val="0"/>
            <c:spPr>
              <a:solidFill>
                <a:srgbClr val="DB843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6D17-48EC-84EA-7C1F96A1770E}"/>
              </c:ext>
            </c:extLst>
          </c:dPt>
          <c:dPt>
            <c:idx val="6"/>
            <c:bubble3D val="0"/>
            <c:spPr>
              <a:solidFill>
                <a:srgbClr val="93A9C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6D17-48EC-84EA-7C1F96A1770E}"/>
              </c:ext>
            </c:extLst>
          </c:dPt>
          <c:dPt>
            <c:idx val="7"/>
            <c:bubble3D val="0"/>
            <c:spPr>
              <a:solidFill>
                <a:srgbClr val="D1939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6D17-48EC-84EA-7C1F96A1770E}"/>
              </c:ext>
            </c:extLst>
          </c:dPt>
          <c:dPt>
            <c:idx val="8"/>
            <c:bubble3D val="0"/>
            <c:spPr>
              <a:solidFill>
                <a:srgbClr val="B9CD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6D17-48EC-84EA-7C1F96A1770E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6D17-48EC-84EA-7C1F96A1770E}"/>
              </c:ext>
            </c:extLst>
          </c:dPt>
          <c:dPt>
            <c:idx val="10"/>
            <c:bubble3D val="0"/>
            <c:spPr>
              <a:solidFill>
                <a:srgbClr val="91C3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5-6D17-48EC-84EA-7C1F96A1770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6-6D17-48EC-84EA-7C1F96A1770E}"/>
              </c:ext>
            </c:extLst>
          </c:dPt>
          <c:dLbls>
            <c:dLbl>
              <c:idx val="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17-48EC-84EA-7C1F96A1770E}"/>
                </c:ext>
              </c:extLst>
            </c:dLbl>
            <c:dLbl>
              <c:idx val="1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17-48EC-84EA-7C1F96A1770E}"/>
                </c:ext>
              </c:extLst>
            </c:dLbl>
            <c:dLbl>
              <c:idx val="2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17-48EC-84EA-7C1F96A1770E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17-48EC-84EA-7C1F96A1770E}"/>
                </c:ext>
              </c:extLst>
            </c:dLbl>
            <c:dLbl>
              <c:idx val="4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17-48EC-84EA-7C1F96A1770E}"/>
                </c:ext>
              </c:extLst>
            </c:dLbl>
            <c:dLbl>
              <c:idx val="5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17-48EC-84EA-7C1F96A1770E}"/>
                </c:ext>
              </c:extLst>
            </c:dLbl>
            <c:dLbl>
              <c:idx val="6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D17-48EC-84EA-7C1F96A1770E}"/>
                </c:ext>
              </c:extLst>
            </c:dLbl>
            <c:dLbl>
              <c:idx val="7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D17-48EC-84EA-7C1F96A1770E}"/>
                </c:ext>
              </c:extLst>
            </c:dLbl>
            <c:dLbl>
              <c:idx val="8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D17-48EC-84EA-7C1F96A1770E}"/>
                </c:ext>
              </c:extLst>
            </c:dLbl>
            <c:dLbl>
              <c:idx val="9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17-48EC-84EA-7C1F96A1770E}"/>
                </c:ext>
              </c:extLst>
            </c:dLbl>
            <c:dLbl>
              <c:idx val="10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I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17-48EC-84EA-7C1F96A1770E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I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עוגה!$B$2:$M$2</c:f>
              <c:strCache>
                <c:ptCount val="12"/>
                <c:pt idx="0">
                  <c:v>נסיעות</c:v>
                </c:pt>
                <c:pt idx="1">
                  <c:v>סופר</c:v>
                </c:pt>
                <c:pt idx="2">
                  <c:v>מסעדות</c:v>
                </c:pt>
                <c:pt idx="3">
                  <c:v>בילוי</c:v>
                </c:pt>
                <c:pt idx="4">
                  <c:v>בגדים</c:v>
                </c:pt>
                <c:pt idx="5">
                  <c:v>בריאות/יופי</c:v>
                </c:pt>
                <c:pt idx="6">
                  <c:v>בית ורכב</c:v>
                </c:pt>
                <c:pt idx="7">
                  <c:v>אחר</c:v>
                </c:pt>
                <c:pt idx="8">
                  <c:v>קבוע אחר</c:v>
                </c:pt>
                <c:pt idx="9">
                  <c:v>קבוע בית</c:v>
                </c:pt>
                <c:pt idx="10">
                  <c:v>מזומן</c:v>
                </c:pt>
                <c:pt idx="11">
                  <c:v>חסכון</c:v>
                </c:pt>
              </c:strCache>
            </c:strRef>
          </c:cat>
          <c:val>
            <c:numRef>
              <c:f>עוגה!$B$3:$M$3</c:f>
              <c:numCache>
                <c:formatCode>0.00_ ;[Red]\-0.00\ </c:formatCode>
                <c:ptCount val="12"/>
                <c:pt idx="0">
                  <c:v>1431.2133333333334</c:v>
                </c:pt>
                <c:pt idx="1">
                  <c:v>2295.6333333333337</c:v>
                </c:pt>
                <c:pt idx="2">
                  <c:v>1201.0666666666666</c:v>
                </c:pt>
                <c:pt idx="4">
                  <c:v>294.875</c:v>
                </c:pt>
                <c:pt idx="5">
                  <c:v>850.96</c:v>
                </c:pt>
                <c:pt idx="6">
                  <c:v>1925.0400000000002</c:v>
                </c:pt>
                <c:pt idx="7">
                  <c:v>2225.2849999999999</c:v>
                </c:pt>
                <c:pt idx="8">
                  <c:v>2435.2399999999998</c:v>
                </c:pt>
                <c:pt idx="9">
                  <c:v>12683.619999999999</c:v>
                </c:pt>
                <c:pt idx="10">
                  <c:v>57.75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D17-48EC-84EA-7C1F96A1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IL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/>
              <a:t>עוגת הוצאות חודשיות</a:t>
            </a:r>
          </a:p>
        </c:rich>
      </c:tx>
      <c:layout>
        <c:manualLayout>
          <c:xMode val="edge"/>
          <c:yMode val="edge"/>
          <c:x val="0.175824473553709"/>
          <c:y val="4.72440944881889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967077190125466"/>
          <c:y val="0.40157480314960653"/>
          <c:w val="0.34340705406380662"/>
          <c:h val="0.49212598425196863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4572A7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41E7-4E33-8A03-B25B812D6B2E}"/>
              </c:ext>
            </c:extLst>
          </c:dPt>
          <c:dPt>
            <c:idx val="1"/>
            <c:bubble3D val="0"/>
            <c:spPr>
              <a:solidFill>
                <a:srgbClr val="AA464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E7-4E33-8A03-B25B812D6B2E}"/>
              </c:ext>
            </c:extLst>
          </c:dPt>
          <c:dPt>
            <c:idx val="2"/>
            <c:bubble3D val="0"/>
            <c:spPr>
              <a:solidFill>
                <a:srgbClr val="89A54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E7-4E33-8A03-B25B812D6B2E}"/>
              </c:ext>
            </c:extLst>
          </c:dPt>
          <c:dPt>
            <c:idx val="3"/>
            <c:bubble3D val="0"/>
            <c:spPr>
              <a:solidFill>
                <a:srgbClr val="71588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41E7-4E33-8A03-B25B812D6B2E}"/>
              </c:ext>
            </c:extLst>
          </c:dPt>
          <c:dPt>
            <c:idx val="4"/>
            <c:bubble3D val="0"/>
            <c:spPr>
              <a:solidFill>
                <a:srgbClr val="4198A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41E7-4E33-8A03-B25B812D6B2E}"/>
              </c:ext>
            </c:extLst>
          </c:dPt>
          <c:dPt>
            <c:idx val="5"/>
            <c:bubble3D val="0"/>
            <c:spPr>
              <a:solidFill>
                <a:srgbClr val="DB843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41E7-4E33-8A03-B25B812D6B2E}"/>
              </c:ext>
            </c:extLst>
          </c:dPt>
          <c:dPt>
            <c:idx val="6"/>
            <c:bubble3D val="0"/>
            <c:spPr>
              <a:solidFill>
                <a:srgbClr val="93A9C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41E7-4E33-8A03-B25B812D6B2E}"/>
              </c:ext>
            </c:extLst>
          </c:dPt>
          <c:dPt>
            <c:idx val="7"/>
            <c:bubble3D val="0"/>
            <c:spPr>
              <a:solidFill>
                <a:srgbClr val="D1939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41E7-4E33-8A03-B25B812D6B2E}"/>
              </c:ext>
            </c:extLst>
          </c:dPt>
          <c:dPt>
            <c:idx val="8"/>
            <c:bubble3D val="0"/>
            <c:spPr>
              <a:solidFill>
                <a:srgbClr val="B9CD9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41E7-4E33-8A03-B25B812D6B2E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41E7-4E33-8A03-B25B812D6B2E}"/>
              </c:ext>
            </c:extLst>
          </c:dPt>
          <c:dPt>
            <c:idx val="10"/>
            <c:bubble3D val="0"/>
            <c:spPr>
              <a:solidFill>
                <a:srgbClr val="91C3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5-41E7-4E33-8A03-B25B812D6B2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6-41E7-4E33-8A03-B25B812D6B2E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I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עוגה!$B$7:$M$7</c:f>
              <c:strCache>
                <c:ptCount val="12"/>
                <c:pt idx="0">
                  <c:v>נסיעות</c:v>
                </c:pt>
                <c:pt idx="1">
                  <c:v>סופר</c:v>
                </c:pt>
                <c:pt idx="2">
                  <c:v>מסעדות</c:v>
                </c:pt>
                <c:pt idx="3">
                  <c:v>בילוי</c:v>
                </c:pt>
                <c:pt idx="4">
                  <c:v>בגדים</c:v>
                </c:pt>
                <c:pt idx="5">
                  <c:v>בריאות/יופי</c:v>
                </c:pt>
                <c:pt idx="6">
                  <c:v>בית ורכב</c:v>
                </c:pt>
                <c:pt idx="7">
                  <c:v>אחר</c:v>
                </c:pt>
                <c:pt idx="8">
                  <c:v>קבוע אחר</c:v>
                </c:pt>
                <c:pt idx="9">
                  <c:v>קבוע בית</c:v>
                </c:pt>
                <c:pt idx="10">
                  <c:v>מזומן</c:v>
                </c:pt>
                <c:pt idx="11">
                  <c:v>חסכון</c:v>
                </c:pt>
              </c:strCache>
            </c:strRef>
          </c:cat>
          <c:val>
            <c:numRef>
              <c:f>עוגה!$B$21:$M$21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26000.863333333331</c:v>
                </c:pt>
                <c:pt idx="11">
                  <c:v>136095.37666666668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1E7-4E33-8A03-B25B812D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IL"/>
    </a:p>
  </c:txPr>
  <c:printSettings>
    <c:headerFooter alignWithMargins="0"/>
    <c:pageMargins b="1" l="0.75000000000000022" r="0.75000000000000022" t="1" header="0.51180555555555562" footer="0.51180555555555562"/>
    <c:pageSetup firstPageNumber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Mangal"/>
                <a:ea typeface="Mangal"/>
                <a:cs typeface="Mangal"/>
              </a:defRPr>
            </a:pPr>
            <a:r>
              <a:rPr lang="he-IL"/>
              <a:t>הוצאות חודשיות</a:t>
            </a:r>
          </a:p>
        </c:rich>
      </c:tx>
      <c:layout>
        <c:manualLayout>
          <c:xMode val="edge"/>
          <c:yMode val="edge"/>
          <c:x val="0.39473692444073633"/>
          <c:y val="4.16666666666666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9078947368421"/>
          <c:y val="0.50000169542675588"/>
          <c:w val="0.75493421052631582"/>
          <c:h val="0.256945315705416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גרף!$B$2</c:f>
              <c:strCache>
                <c:ptCount val="1"/>
                <c:pt idx="0">
                  <c:v>נסיעות</c:v>
                </c:pt>
              </c:strCache>
            </c:strRef>
          </c:tx>
          <c:spPr>
            <a:gradFill rotWithShape="0">
              <a:gsLst>
                <a:gs pos="0">
                  <a:srgbClr val="0066CC"/>
                </a:gs>
                <a:gs pos="100000">
                  <a:srgbClr val="333399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גרף!$B$3:$B$14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4-49DC-8536-6B074CA2C69A}"/>
            </c:ext>
          </c:extLst>
        </c:ser>
        <c:ser>
          <c:idx val="1"/>
          <c:order val="1"/>
          <c:tx>
            <c:strRef>
              <c:f>גרף!$C$2</c:f>
              <c:strCache>
                <c:ptCount val="1"/>
                <c:pt idx="0">
                  <c:v>סופר</c:v>
                </c:pt>
              </c:strCache>
            </c:strRef>
          </c:tx>
          <c:spPr>
            <a:gradFill rotWithShape="0">
              <a:gsLst>
                <a:gs pos="0">
                  <a:srgbClr val="993300"/>
                </a:gs>
                <a:gs pos="100000">
                  <a:srgbClr val="99330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גרף!$C$3:$C$14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4-49DC-8536-6B074CA2C69A}"/>
            </c:ext>
          </c:extLst>
        </c:ser>
        <c:ser>
          <c:idx val="2"/>
          <c:order val="2"/>
          <c:tx>
            <c:strRef>
              <c:f>גרף!$D$2</c:f>
              <c:strCache>
                <c:ptCount val="1"/>
                <c:pt idx="0">
                  <c:v>מסעדות</c:v>
                </c:pt>
              </c:strCache>
            </c:strRef>
          </c:tx>
          <c:spPr>
            <a:gradFill rotWithShape="0">
              <a:gsLst>
                <a:gs pos="0">
                  <a:srgbClr val="99CC00"/>
                </a:gs>
                <a:gs pos="100000">
                  <a:srgbClr val="80800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גרף!$D$3:$D$14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4-49DC-8536-6B074CA2C69A}"/>
            </c:ext>
          </c:extLst>
        </c:ser>
        <c:ser>
          <c:idx val="3"/>
          <c:order val="3"/>
          <c:tx>
            <c:strRef>
              <c:f>גרף!$F$2</c:f>
              <c:strCache>
                <c:ptCount val="1"/>
                <c:pt idx="0">
                  <c:v>בגדים</c:v>
                </c:pt>
              </c:strCache>
            </c:strRef>
          </c:tx>
          <c:spPr>
            <a:gradFill rotWithShape="0">
              <a:gsLst>
                <a:gs pos="0">
                  <a:srgbClr val="666699"/>
                </a:gs>
                <a:gs pos="100000">
                  <a:srgbClr val="333399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גרף!$F$3:$F$14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B4-49DC-8536-6B074CA2C69A}"/>
            </c:ext>
          </c:extLst>
        </c:ser>
        <c:ser>
          <c:idx val="4"/>
          <c:order val="4"/>
          <c:tx>
            <c:strRef>
              <c:f>גרף!$G$2</c:f>
              <c:strCache>
                <c:ptCount val="1"/>
                <c:pt idx="0">
                  <c:v>בריאות/יופי</c:v>
                </c:pt>
              </c:strCache>
            </c:strRef>
          </c:tx>
          <c:spPr>
            <a:gradFill rotWithShape="0">
              <a:gsLst>
                <a:gs pos="0">
                  <a:srgbClr val="33CCCC"/>
                </a:gs>
                <a:gs pos="100000">
                  <a:srgbClr val="00808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גרף!$G$3:$G$14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B4-49DC-8536-6B074CA2C69A}"/>
            </c:ext>
          </c:extLst>
        </c:ser>
        <c:ser>
          <c:idx val="5"/>
          <c:order val="5"/>
          <c:tx>
            <c:strRef>
              <c:f>גרף!$H$2</c:f>
              <c:strCache>
                <c:ptCount val="1"/>
                <c:pt idx="0">
                  <c:v>בית ורכב</c:v>
                </c:pt>
              </c:strCache>
            </c:strRef>
          </c:tx>
          <c:spPr>
            <a:gradFill rotWithShape="0">
              <a:gsLst>
                <a:gs pos="0">
                  <a:srgbClr val="FF6600"/>
                </a:gs>
                <a:gs pos="100000">
                  <a:srgbClr val="99330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גרף!$H$3:$H$14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B4-49DC-8536-6B074CA2C69A}"/>
            </c:ext>
          </c:extLst>
        </c:ser>
        <c:ser>
          <c:idx val="6"/>
          <c:order val="6"/>
          <c:tx>
            <c:strRef>
              <c:f>גרף!$I$2</c:f>
              <c:strCache>
                <c:ptCount val="1"/>
                <c:pt idx="0">
                  <c:v>אחר</c:v>
                </c:pt>
              </c:strCache>
            </c:strRef>
          </c:tx>
          <c:spPr>
            <a:gradFill rotWithShape="0">
              <a:gsLst>
                <a:gs pos="0">
                  <a:srgbClr val="9999FF"/>
                </a:gs>
                <a:gs pos="100000">
                  <a:srgbClr val="666699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גרף!$I$3:$I$14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B4-49DC-8536-6B074CA2C69A}"/>
            </c:ext>
          </c:extLst>
        </c:ser>
        <c:ser>
          <c:idx val="7"/>
          <c:order val="7"/>
          <c:tx>
            <c:strRef>
              <c:f>גרף!$J$2</c:f>
              <c:strCache>
                <c:ptCount val="1"/>
                <c:pt idx="0">
                  <c:v>תקשורת</c:v>
                </c:pt>
              </c:strCache>
            </c:strRef>
          </c:tx>
          <c:spPr>
            <a:gradFill rotWithShape="0">
              <a:gsLst>
                <a:gs pos="0">
                  <a:srgbClr val="FF8080"/>
                </a:gs>
                <a:gs pos="100000">
                  <a:srgbClr val="993366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גרף!$J$3:$J$14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B4-49DC-8536-6B074CA2C69A}"/>
            </c:ext>
          </c:extLst>
        </c:ser>
        <c:ser>
          <c:idx val="8"/>
          <c:order val="8"/>
          <c:tx>
            <c:strRef>
              <c:f>גרף!$K$2</c:f>
              <c:strCache>
                <c:ptCount val="1"/>
                <c:pt idx="0">
                  <c:v>קבועים</c:v>
                </c:pt>
              </c:strCache>
            </c:strRef>
          </c:tx>
          <c:spPr>
            <a:gradFill rotWithShape="0">
              <a:gsLst>
                <a:gs pos="0">
                  <a:srgbClr val="C0C0C0"/>
                </a:gs>
                <a:gs pos="100000">
                  <a:srgbClr val="80808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גרף!$K$3:$K$14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B4-49DC-8536-6B074CA2C69A}"/>
            </c:ext>
          </c:extLst>
        </c:ser>
        <c:ser>
          <c:idx val="9"/>
          <c:order val="9"/>
          <c:tx>
            <c:strRef>
              <c:f>גרף!$L$2</c:f>
              <c:strCache>
                <c:ptCount val="1"/>
                <c:pt idx="0">
                  <c:v>תשלומים</c:v>
                </c:pt>
              </c:strCache>
            </c:strRef>
          </c:tx>
          <c:spPr>
            <a:gradFill rotWithShape="0">
              <a:gsLst>
                <a:gs pos="0">
                  <a:srgbClr val="969696"/>
                </a:gs>
                <a:gs pos="100000">
                  <a:srgbClr val="808080"/>
                </a:gs>
              </a:gsLst>
              <a:lin ang="16200000" scaled="1"/>
            </a:gradFill>
            <a:ln w="25400">
              <a:noFill/>
            </a:ln>
          </c:spPr>
          <c:invertIfNegative val="0"/>
          <c:cat>
            <c:strRef>
              <c:f>גרף!$A$3:$A$14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גרף!$L$3:$L$14</c:f>
              <c:numCache>
                <c:formatCode>0.00_ ;[Red]\-0.00\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B4-49DC-8536-6B074CA2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16536"/>
        <c:axId val="445811440"/>
      </c:barChart>
      <c:catAx>
        <c:axId val="445816536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14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445811440"/>
        <c:scaling>
          <c:orientation val="minMax"/>
        </c:scaling>
        <c:delete val="0"/>
        <c:axPos val="r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_ ;[Red]\-0.00\ 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65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348681580365369"/>
          <c:y val="0.87847513852435111"/>
          <c:w val="0.88322365333472397"/>
          <c:h val="0.9479199475065616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IL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Mangal"/>
                <a:ea typeface="Mangal"/>
                <a:cs typeface="Mangal"/>
              </a:defRPr>
            </a:pPr>
            <a:r>
              <a:rPr lang="he-IL"/>
              <a:t>מאזן חודשי דיסקונט</a:t>
            </a:r>
          </a:p>
        </c:rich>
      </c:tx>
      <c:layout>
        <c:manualLayout>
          <c:xMode val="edge"/>
          <c:yMode val="edge"/>
          <c:x val="0.32265446224256294"/>
          <c:y val="4.4609665427509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94965675057209"/>
          <c:y val="0.5018587360594795"/>
          <c:w val="0.5995423340961098"/>
          <c:h val="0.32713754646840149"/>
        </c:manualLayout>
      </c:layout>
      <c:lineChart>
        <c:grouping val="standard"/>
        <c:varyColors val="0"/>
        <c:ser>
          <c:idx val="0"/>
          <c:order val="0"/>
          <c:tx>
            <c:strRef>
              <c:f>גרף!$B$26</c:f>
              <c:strCache>
                <c:ptCount val="1"/>
                <c:pt idx="0">
                  <c:v>הכנסות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גרף!$B$27:$B$38</c:f>
              <c:numCache>
                <c:formatCode>0.00_ ;[Red]\-0.00\ </c:formatCode>
                <c:ptCount val="12"/>
                <c:pt idx="0">
                  <c:v>33089.760000000002</c:v>
                </c:pt>
                <c:pt idx="1">
                  <c:v>26658.76</c:v>
                </c:pt>
                <c:pt idx="2">
                  <c:v>53217.02</c:v>
                </c:pt>
                <c:pt idx="3">
                  <c:v>45009.95</c:v>
                </c:pt>
                <c:pt idx="4">
                  <c:v>29269</c:v>
                </c:pt>
                <c:pt idx="5">
                  <c:v>29269</c:v>
                </c:pt>
                <c:pt idx="6">
                  <c:v>29269</c:v>
                </c:pt>
                <c:pt idx="7">
                  <c:v>29269</c:v>
                </c:pt>
                <c:pt idx="8">
                  <c:v>29269</c:v>
                </c:pt>
                <c:pt idx="9">
                  <c:v>29269</c:v>
                </c:pt>
                <c:pt idx="10">
                  <c:v>29269</c:v>
                </c:pt>
                <c:pt idx="11">
                  <c:v>29269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9-44F5-8AA0-59D0994AF335}"/>
            </c:ext>
          </c:extLst>
        </c:ser>
        <c:ser>
          <c:idx val="1"/>
          <c:order val="1"/>
          <c:tx>
            <c:strRef>
              <c:f>גרף!$C$26</c:f>
              <c:strCache>
                <c:ptCount val="1"/>
                <c:pt idx="0">
                  <c:v>הוצאות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גרף!$C$27:$C$38</c:f>
              <c:numCache>
                <c:formatCode>0.00_ ;[Red]\-0.00\ </c:formatCode>
                <c:ptCount val="12"/>
                <c:pt idx="0">
                  <c:v>586006.86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27904.83</c:v>
                </c:pt>
                <c:pt idx="7">
                  <c:v>0</c:v>
                </c:pt>
                <c:pt idx="8">
                  <c:v>26237.5</c:v>
                </c:pt>
                <c:pt idx="9">
                  <c:v>25187.5</c:v>
                </c:pt>
                <c:pt idx="10">
                  <c:v>26237.5</c:v>
                </c:pt>
                <c:pt idx="11">
                  <c:v>25187.5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9-44F5-8AA0-59D0994AF335}"/>
            </c:ext>
          </c:extLst>
        </c:ser>
        <c:ser>
          <c:idx val="2"/>
          <c:order val="2"/>
          <c:tx>
            <c:strRef>
              <c:f>גרף!$D$26</c:f>
              <c:strCache>
                <c:ptCount val="1"/>
                <c:pt idx="0">
                  <c:v>מצב חשבון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גרף!$D$27:$D$38</c:f>
              <c:numCache>
                <c:formatCode>0.00_ ;[Red]\-0.00\ </c:formatCode>
                <c:ptCount val="12"/>
                <c:pt idx="0">
                  <c:v>70551.579999999958</c:v>
                </c:pt>
                <c:pt idx="1">
                  <c:v>176836.32999999996</c:v>
                </c:pt>
                <c:pt idx="2">
                  <c:v>183642.87999999995</c:v>
                </c:pt>
                <c:pt idx="3">
                  <c:v>372054.93999999994</c:v>
                </c:pt>
                <c:pt idx="4">
                  <c:v>358473.58999999997</c:v>
                </c:pt>
                <c:pt idx="5">
                  <c:v>360587.75999999995</c:v>
                </c:pt>
                <c:pt idx="6">
                  <c:v>361951.92999999993</c:v>
                </c:pt>
                <c:pt idx="7">
                  <c:v>366033.42999999993</c:v>
                </c:pt>
                <c:pt idx="8">
                  <c:v>369064.92999999993</c:v>
                </c:pt>
                <c:pt idx="9">
                  <c:v>373146.42999999993</c:v>
                </c:pt>
                <c:pt idx="10">
                  <c:v>376177.92999999993</c:v>
                </c:pt>
                <c:pt idx="11">
                  <c:v>380259.42999999993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9-44F5-8AA0-59D0994AF335}"/>
            </c:ext>
          </c:extLst>
        </c:ser>
        <c:ser>
          <c:idx val="3"/>
          <c:order val="3"/>
          <c:tx>
            <c:strRef>
              <c:f>גרף!$E$26</c:f>
              <c:strCache>
                <c:ptCount val="1"/>
                <c:pt idx="0">
                  <c:v>יתרה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גרף!$E$27:$E$38</c:f>
              <c:numCache>
                <c:formatCode>0.00_ ;[Red]\-0.00\ </c:formatCode>
                <c:ptCount val="12"/>
                <c:pt idx="0">
                  <c:v>-552917.1</c:v>
                </c:pt>
                <c:pt idx="1">
                  <c:v>106284.75</c:v>
                </c:pt>
                <c:pt idx="2">
                  <c:v>6806.5499999999884</c:v>
                </c:pt>
                <c:pt idx="3">
                  <c:v>188412.06</c:v>
                </c:pt>
                <c:pt idx="4">
                  <c:v>-13581.349999999999</c:v>
                </c:pt>
                <c:pt idx="5">
                  <c:v>2114.1699999999983</c:v>
                </c:pt>
                <c:pt idx="6">
                  <c:v>1364.1699999999983</c:v>
                </c:pt>
                <c:pt idx="7">
                  <c:v>4081.5</c:v>
                </c:pt>
                <c:pt idx="8">
                  <c:v>3031.5</c:v>
                </c:pt>
                <c:pt idx="9">
                  <c:v>4081.5</c:v>
                </c:pt>
                <c:pt idx="10">
                  <c:v>3031.5</c:v>
                </c:pt>
                <c:pt idx="11">
                  <c:v>4081.5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9-44F5-8AA0-59D0994AF335}"/>
            </c:ext>
          </c:extLst>
        </c:ser>
        <c:ser>
          <c:idx val="4"/>
          <c:order val="4"/>
          <c:tx>
            <c:strRef>
              <c:f>גרף!$F$26</c:f>
              <c:strCache>
                <c:ptCount val="1"/>
                <c:pt idx="0">
                  <c:v>רווח/הפסד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גרף!$F$27:$F$38</c:f>
              <c:numCache>
                <c:formatCode>0.00_ ;[Red]\-0.00\ </c:formatCode>
                <c:ptCount val="12"/>
                <c:pt idx="0">
                  <c:v>-552417.1</c:v>
                </c:pt>
                <c:pt idx="1">
                  <c:v>106784.75</c:v>
                </c:pt>
                <c:pt idx="2">
                  <c:v>7306.5499999999884</c:v>
                </c:pt>
                <c:pt idx="3">
                  <c:v>188912.06</c:v>
                </c:pt>
                <c:pt idx="4">
                  <c:v>-13081.349999999977</c:v>
                </c:pt>
                <c:pt idx="5">
                  <c:v>2614.1699999999837</c:v>
                </c:pt>
                <c:pt idx="6">
                  <c:v>1864.1699999999837</c:v>
                </c:pt>
                <c:pt idx="7">
                  <c:v>4581.5</c:v>
                </c:pt>
                <c:pt idx="8">
                  <c:v>3531.5</c:v>
                </c:pt>
                <c:pt idx="9">
                  <c:v>4581.5</c:v>
                </c:pt>
                <c:pt idx="10">
                  <c:v>3531.5</c:v>
                </c:pt>
                <c:pt idx="11">
                  <c:v>4581.5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39-44F5-8AA0-59D0994AF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818104"/>
        <c:axId val="445813400"/>
      </c:lineChart>
      <c:catAx>
        <c:axId val="4458181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340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445813400"/>
        <c:scaling>
          <c:orientation val="minMax"/>
        </c:scaling>
        <c:delete val="0"/>
        <c:axPos val="r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_ ;[Red]\-0.00\ 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8104"/>
        <c:crossesAt val="1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6109839816933634E-2"/>
          <c:y val="0.86988847583643125"/>
          <c:w val="0.99084668192219683"/>
          <c:h val="0.944237918215613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IL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Mangal"/>
                <a:ea typeface="Mangal"/>
                <a:cs typeface="Mangal"/>
              </a:defRPr>
            </a:pPr>
            <a:r>
              <a:rPr lang="he-IL"/>
              <a:t>מאזן חודשי הפועלים</a:t>
            </a:r>
          </a:p>
        </c:rich>
      </c:tx>
      <c:layout>
        <c:manualLayout>
          <c:xMode val="edge"/>
          <c:yMode val="edge"/>
          <c:x val="0.3180778032036613"/>
          <c:y val="4.47761194029850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94965675057209"/>
          <c:y val="0.50373226105603763"/>
          <c:w val="0.5995423340961098"/>
          <c:h val="0.3507469076982781"/>
        </c:manualLayout>
      </c:layout>
      <c:lineChart>
        <c:grouping val="standard"/>
        <c:varyColors val="0"/>
        <c:ser>
          <c:idx val="0"/>
          <c:order val="0"/>
          <c:tx>
            <c:strRef>
              <c:f>גרף!$G$26</c:f>
              <c:strCache>
                <c:ptCount val="1"/>
                <c:pt idx="0">
                  <c:v>הכנסות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גרף!$G$27:$G$38</c:f>
              <c:numCache>
                <c:formatCode>0.00_ ;[Red]\-0.00\ </c:formatCode>
                <c:ptCount val="12"/>
                <c:pt idx="0">
                  <c:v>46926</c:v>
                </c:pt>
                <c:pt idx="1">
                  <c:v>39317</c:v>
                </c:pt>
                <c:pt idx="2">
                  <c:v>47501</c:v>
                </c:pt>
                <c:pt idx="3">
                  <c:v>53324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E-4EAE-A4BD-EB633ED7265D}"/>
            </c:ext>
          </c:extLst>
        </c:ser>
        <c:ser>
          <c:idx val="1"/>
          <c:order val="1"/>
          <c:tx>
            <c:strRef>
              <c:f>גרף!$H$26</c:f>
              <c:strCache>
                <c:ptCount val="1"/>
                <c:pt idx="0">
                  <c:v>הוצאות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גרף!$H$27:$H$38</c:f>
              <c:numCache>
                <c:formatCode>0.00_ ;[Red]\-0.00\ </c:formatCode>
                <c:ptCount val="12"/>
                <c:pt idx="0">
                  <c:v>42871.560000000005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37323.39</c:v>
                </c:pt>
                <c:pt idx="7">
                  <c:v>0</c:v>
                </c:pt>
                <c:pt idx="8">
                  <c:v>36235.29</c:v>
                </c:pt>
                <c:pt idx="9">
                  <c:v>51152.380000000005</c:v>
                </c:pt>
                <c:pt idx="10">
                  <c:v>39969.39</c:v>
                </c:pt>
                <c:pt idx="11">
                  <c:v>53610.39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E-4EAE-A4BD-EB633ED7265D}"/>
            </c:ext>
          </c:extLst>
        </c:ser>
        <c:ser>
          <c:idx val="2"/>
          <c:order val="2"/>
          <c:tx>
            <c:strRef>
              <c:f>גרף!$I$26</c:f>
              <c:strCache>
                <c:ptCount val="1"/>
                <c:pt idx="0">
                  <c:v>מצב חשבון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גרף!$I$27:$I$38</c:f>
              <c:numCache>
                <c:formatCode>0.00_ ;[Red]\-0.00\ </c:formatCode>
                <c:ptCount val="12"/>
                <c:pt idx="0">
                  <c:v>10131.390000000007</c:v>
                </c:pt>
                <c:pt idx="1">
                  <c:v>36.580000000001746</c:v>
                </c:pt>
                <c:pt idx="2">
                  <c:v>5290.75</c:v>
                </c:pt>
                <c:pt idx="3">
                  <c:v>1724.7200000000012</c:v>
                </c:pt>
                <c:pt idx="4">
                  <c:v>-31216.770000000004</c:v>
                </c:pt>
                <c:pt idx="5">
                  <c:v>-86057.16</c:v>
                </c:pt>
                <c:pt idx="6">
                  <c:v>-123380.55</c:v>
                </c:pt>
                <c:pt idx="7">
                  <c:v>-175389.94</c:v>
                </c:pt>
                <c:pt idx="8">
                  <c:v>-211625.23</c:v>
                </c:pt>
                <c:pt idx="9">
                  <c:v>-262777.61</c:v>
                </c:pt>
                <c:pt idx="10">
                  <c:v>-302747</c:v>
                </c:pt>
                <c:pt idx="11">
                  <c:v>-356357.39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E-4EAE-A4BD-EB633ED7265D}"/>
            </c:ext>
          </c:extLst>
        </c:ser>
        <c:ser>
          <c:idx val="3"/>
          <c:order val="3"/>
          <c:tx>
            <c:strRef>
              <c:f>גרף!$J$26</c:f>
              <c:strCache>
                <c:ptCount val="1"/>
                <c:pt idx="0">
                  <c:v>יתרה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גרף!$J$27:$J$38</c:f>
              <c:numCache>
                <c:formatCode>0.00_ ;[Red]\-0.00\ </c:formatCode>
                <c:ptCount val="12"/>
                <c:pt idx="0">
                  <c:v>4054.4399999999951</c:v>
                </c:pt>
                <c:pt idx="1">
                  <c:v>-10094.810000000005</c:v>
                </c:pt>
                <c:pt idx="2">
                  <c:v>5254.1699999999983</c:v>
                </c:pt>
                <c:pt idx="3">
                  <c:v>-3566.0299999999988</c:v>
                </c:pt>
                <c:pt idx="4">
                  <c:v>-32941.490000000005</c:v>
                </c:pt>
                <c:pt idx="5">
                  <c:v>-54840.39</c:v>
                </c:pt>
                <c:pt idx="6">
                  <c:v>-37323.39</c:v>
                </c:pt>
                <c:pt idx="7">
                  <c:v>-52009.39</c:v>
                </c:pt>
                <c:pt idx="8">
                  <c:v>-36235.29</c:v>
                </c:pt>
                <c:pt idx="9">
                  <c:v>-51152.380000000005</c:v>
                </c:pt>
                <c:pt idx="10">
                  <c:v>-39969.39</c:v>
                </c:pt>
                <c:pt idx="11">
                  <c:v>-53610.39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6E-4EAE-A4BD-EB633ED7265D}"/>
            </c:ext>
          </c:extLst>
        </c:ser>
        <c:ser>
          <c:idx val="4"/>
          <c:order val="4"/>
          <c:tx>
            <c:strRef>
              <c:f>גרף!$K$26</c:f>
              <c:strCache>
                <c:ptCount val="1"/>
                <c:pt idx="0">
                  <c:v>רווח/הפסד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none"/>
          </c:marker>
          <c:cat>
            <c:strRef>
              <c:f>גרף!$A$27:$A$38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גרף!$K$27:$K$38</c:f>
              <c:numCache>
                <c:formatCode>0.00_ ;[Red]\-0.00\ </c:formatCode>
                <c:ptCount val="12"/>
                <c:pt idx="0">
                  <c:v>4054.4399999999951</c:v>
                </c:pt>
                <c:pt idx="1">
                  <c:v>-10094.810000000005</c:v>
                </c:pt>
                <c:pt idx="2">
                  <c:v>5254.1699999999983</c:v>
                </c:pt>
                <c:pt idx="3">
                  <c:v>-3566.0299999999988</c:v>
                </c:pt>
                <c:pt idx="4">
                  <c:v>-32941.490000000005</c:v>
                </c:pt>
                <c:pt idx="5">
                  <c:v>-54840.39</c:v>
                </c:pt>
                <c:pt idx="6">
                  <c:v>-37323.39</c:v>
                </c:pt>
                <c:pt idx="7">
                  <c:v>-52009.39</c:v>
                </c:pt>
                <c:pt idx="8">
                  <c:v>-36235.290000000008</c:v>
                </c:pt>
                <c:pt idx="9">
                  <c:v>-51152.379999999976</c:v>
                </c:pt>
                <c:pt idx="10">
                  <c:v>-39969.390000000014</c:v>
                </c:pt>
                <c:pt idx="11">
                  <c:v>-53610.390000000014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6E-4EAE-A4BD-EB633ED72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814968"/>
        <c:axId val="445811832"/>
      </c:lineChart>
      <c:catAx>
        <c:axId val="4458149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1832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445811832"/>
        <c:scaling>
          <c:orientation val="minMax"/>
        </c:scaling>
        <c:delete val="0"/>
        <c:axPos val="r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_ ;[Red]\-0.00\ 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L"/>
          </a:p>
        </c:txPr>
        <c:crossAx val="445814968"/>
        <c:crossesAt val="1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6109839816933634E-2"/>
          <c:y val="0.88432992517726328"/>
          <c:w val="0.99084668192219683"/>
          <c:h val="0.9589567908489050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IL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3BE-42A2-B4E9-9AC44193A8B0}"/>
              </c:ext>
            </c:extLst>
          </c:dPt>
          <c:cat>
            <c:multiLvlStrRef>
              <c:f>'7'!$A$65:$B$71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3257.72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'7'!$C$65:$C$71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E-42A2-B4E9-9AC44193A8B0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'7'!$A$65:$B$71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3257.72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'7'!$D$65:$D$71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3240</c:v>
                </c:pt>
                <c:pt idx="3">
                  <c:v>1642.2799999999997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BE-42A2-B4E9-9AC44193A8B0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'7'!$A$65:$B$71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3257.72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'7'!$E$65:$E$71</c:f>
              <c:numCache>
                <c:formatCode>0.00_ ;[Red]\-0.00\ </c:formatCode>
                <c:ptCount val="7"/>
                <c:pt idx="0">
                  <c:v>2381.9599999999991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BE-42A2-B4E9-9AC44193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745040"/>
        <c:axId val="441743864"/>
      </c:barChart>
      <c:catAx>
        <c:axId val="44174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743864"/>
        <c:crosses val="autoZero"/>
        <c:auto val="1"/>
        <c:lblAlgn val="ctr"/>
        <c:lblOffset val="100"/>
        <c:noMultiLvlLbl val="0"/>
      </c:catAx>
      <c:valAx>
        <c:axId val="44174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745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75A-4C55-A66D-DE7DCF08BF89}"/>
              </c:ext>
            </c:extLst>
          </c:dPt>
          <c:cat>
            <c:multiLvlStrRef>
              <c:f>'8'!$A$66:$B$72</c:f>
              <c:multiLvlStrCache>
                <c:ptCount val="7"/>
                <c:lvl>
                  <c:pt idx="0">
                    <c:v>16253.96 </c:v>
                  </c:pt>
                  <c:pt idx="1">
                    <c:v>4523.4 </c:v>
                  </c:pt>
                  <c:pt idx="2">
                    <c:v>1187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'8'!$C$66:$C$72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A-4C55-A66D-DE7DCF08BF89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'8'!$A$66:$B$72</c:f>
              <c:multiLvlStrCache>
                <c:ptCount val="7"/>
                <c:lvl>
                  <c:pt idx="0">
                    <c:v>16253.96 </c:v>
                  </c:pt>
                  <c:pt idx="1">
                    <c:v>4523.4 </c:v>
                  </c:pt>
                  <c:pt idx="2">
                    <c:v>1187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'8'!$D$66:$D$72</c:f>
              <c:numCache>
                <c:formatCode>0.00_ ;[Red]\-0.00\ </c:formatCode>
                <c:ptCount val="7"/>
                <c:pt idx="0">
                  <c:v>0</c:v>
                </c:pt>
                <c:pt idx="1">
                  <c:v>4476.58</c:v>
                </c:pt>
                <c:pt idx="2">
                  <c:v>2053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5A-4C55-A66D-DE7DCF08BF89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'8'!$A$66:$B$72</c:f>
              <c:multiLvlStrCache>
                <c:ptCount val="7"/>
                <c:lvl>
                  <c:pt idx="0">
                    <c:v>16253.96 </c:v>
                  </c:pt>
                  <c:pt idx="1">
                    <c:v>4523.4 </c:v>
                  </c:pt>
                  <c:pt idx="2">
                    <c:v>1187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'8'!$E$66:$E$72</c:f>
              <c:numCache>
                <c:formatCode>0.00_ ;[Red]\-0.00\ </c:formatCode>
                <c:ptCount val="7"/>
                <c:pt idx="0">
                  <c:v>3431.9599999999991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5A-4C55-A66D-DE7DCF08B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742688"/>
        <c:axId val="441743080"/>
      </c:barChart>
      <c:catAx>
        <c:axId val="4417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743080"/>
        <c:crosses val="autoZero"/>
        <c:auto val="1"/>
        <c:lblAlgn val="ctr"/>
        <c:lblOffset val="100"/>
        <c:noMultiLvlLbl val="0"/>
      </c:catAx>
      <c:valAx>
        <c:axId val="44174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7426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91E-4260-BA3C-30121702D8B5}"/>
              </c:ext>
            </c:extLst>
          </c:dPt>
          <c:cat>
            <c:multiLvlStrRef>
              <c:f>'9'!$A$64:$B$70</c:f>
              <c:multiLvlStrCache>
                <c:ptCount val="7"/>
                <c:lvl>
                  <c:pt idx="0">
                    <c:v>15203.96 </c:v>
                  </c:pt>
                  <c:pt idx="1">
                    <c:v>4440.5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'9'!$C$64:$C$70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E-4260-BA3C-30121702D8B5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'9'!$A$64:$B$70</c:f>
              <c:multiLvlStrCache>
                <c:ptCount val="7"/>
                <c:lvl>
                  <c:pt idx="0">
                    <c:v>15203.96 </c:v>
                  </c:pt>
                  <c:pt idx="1">
                    <c:v>4440.5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'9'!$D$64:$D$70</c:f>
              <c:numCache>
                <c:formatCode>0.00_ ;[Red]\-0.00\ </c:formatCode>
                <c:ptCount val="7"/>
                <c:pt idx="0">
                  <c:v>0</c:v>
                </c:pt>
                <c:pt idx="1">
                  <c:v>4559.49</c:v>
                </c:pt>
                <c:pt idx="2">
                  <c:v>3240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E-4260-BA3C-30121702D8B5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'9'!$A$64:$B$70</c:f>
              <c:multiLvlStrCache>
                <c:ptCount val="7"/>
                <c:lvl>
                  <c:pt idx="0">
                    <c:v>15203.96 </c:v>
                  </c:pt>
                  <c:pt idx="1">
                    <c:v>4440.5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'9'!$E$64:$E$70</c:f>
              <c:numCache>
                <c:formatCode>0.00_ ;[Red]\-0.00\ </c:formatCode>
                <c:ptCount val="7"/>
                <c:pt idx="0">
                  <c:v>2381.9599999999991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E-4260-BA3C-30121702D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744256"/>
        <c:axId val="221587472"/>
      </c:barChart>
      <c:catAx>
        <c:axId val="4417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1587472"/>
        <c:crosses val="autoZero"/>
        <c:auto val="1"/>
        <c:lblAlgn val="ctr"/>
        <c:lblOffset val="100"/>
        <c:noMultiLvlLbl val="0"/>
      </c:catAx>
      <c:valAx>
        <c:axId val="2215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1744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21B-43CB-9C69-7BBFC81089E5}"/>
              </c:ext>
            </c:extLst>
          </c:dPt>
          <c:cat>
            <c:multiLvlStrRef>
              <c:f>'10'!$A$65:$B$71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4147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'10'!$C$65:$C$71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B-43CB-9C69-7BBFC81089E5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'10'!$A$65:$B$71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4147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'10'!$D$65:$D$71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0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1B-43CB-9C69-7BBFC81089E5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'10'!$A$65:$B$71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4147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'10'!$E$65:$E$71</c:f>
              <c:numCache>
                <c:formatCode>0.00_ ;[Red]\-0.00\ </c:formatCode>
                <c:ptCount val="7"/>
                <c:pt idx="0">
                  <c:v>3431.9599999999991</c:v>
                </c:pt>
                <c:pt idx="1">
                  <c:v>0</c:v>
                </c:pt>
                <c:pt idx="2">
                  <c:v>907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1B-43CB-9C69-7BBFC8108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479592"/>
        <c:axId val="445253384"/>
      </c:barChart>
      <c:catAx>
        <c:axId val="22247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3384"/>
        <c:crosses val="autoZero"/>
        <c:auto val="1"/>
        <c:lblAlgn val="ctr"/>
        <c:lblOffset val="100"/>
        <c:noMultiLvlLbl val="0"/>
      </c:catAx>
      <c:valAx>
        <c:axId val="4452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222479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915-4EE9-8AAB-837836F84D34}"/>
              </c:ext>
            </c:extLst>
          </c:dPt>
          <c:cat>
            <c:multiLvlStrRef>
              <c:f>'11'!$A$65:$B$71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1588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'11'!$C$65:$C$71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15-4EE9-8AAB-837836F84D34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'11'!$A$65:$B$71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1588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'11'!$D$65:$D$71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1652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15-4EE9-8AAB-837836F84D34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'11'!$A$65:$B$71</c:f>
              <c:multiLvlStrCache>
                <c:ptCount val="7"/>
                <c:lvl>
                  <c:pt idx="0">
                    <c:v>15203.96 </c:v>
                  </c:pt>
                  <c:pt idx="1">
                    <c:v>4110.5 </c:v>
                  </c:pt>
                  <c:pt idx="2">
                    <c:v>1588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'11'!$E$65:$E$71</c:f>
              <c:numCache>
                <c:formatCode>0.00_ ;[Red]\-0.00\ </c:formatCode>
                <c:ptCount val="7"/>
                <c:pt idx="0">
                  <c:v>2381.9599999999991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15-4EE9-8AAB-837836F84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4168"/>
        <c:axId val="445254560"/>
      </c:barChart>
      <c:catAx>
        <c:axId val="44525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560"/>
        <c:crosses val="autoZero"/>
        <c:auto val="1"/>
        <c:lblAlgn val="ctr"/>
        <c:lblOffset val="100"/>
        <c:noMultiLvlLbl val="0"/>
      </c:catAx>
      <c:valAx>
        <c:axId val="4452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4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spPr>
            <a:solidFill>
              <a:schemeClr val="accent3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D9-4E85-AB77-792E5EE998CF}"/>
              </c:ext>
            </c:extLst>
          </c:dPt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'12'!$C$65:$C$71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4900</c:v>
                </c:pt>
                <c:pt idx="4">
                  <c:v>2600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9-4E85-AB77-792E5EE998CF}"/>
            </c:ext>
          </c:extLst>
        </c:ser>
        <c:ser>
          <c:idx val="2"/>
          <c:order val="1"/>
          <c:spPr>
            <a:solidFill>
              <a:schemeClr val="accent3">
                <a:lumMod val="75000"/>
              </a:schemeClr>
            </a:solidFill>
            <a:ln w="25400">
              <a:noFill/>
            </a:ln>
          </c:spPr>
          <c:invertIfNegative val="0"/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'12'!$D$65:$D$71</c:f>
              <c:numCache>
                <c:formatCode>0.00_ ;[Red]\-0.00\ </c:formatCode>
                <c:ptCount val="7"/>
                <c:pt idx="0">
                  <c:v>0</c:v>
                </c:pt>
                <c:pt idx="1">
                  <c:v>4889.4799999999996</c:v>
                </c:pt>
                <c:pt idx="2">
                  <c:v>3240</c:v>
                </c:pt>
                <c:pt idx="3">
                  <c:v>2230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9-4E85-AB77-792E5EE998CF}"/>
            </c:ext>
          </c:extLst>
        </c:ser>
        <c:ser>
          <c:idx val="0"/>
          <c:order val="2"/>
          <c:spPr>
            <a:solidFill>
              <a:schemeClr val="accent2"/>
            </a:solidFill>
          </c:spPr>
          <c:invertIfNegative val="0"/>
          <c:cat>
            <c:multiLvlStrRef>
              <c:f>'12'!$A$65:$B$71</c:f>
              <c:multiLvlStrCache>
                <c:ptCount val="7"/>
                <c:lvl>
                  <c:pt idx="0">
                    <c:v>16253.96 </c:v>
                  </c:pt>
                  <c:pt idx="1">
                    <c:v>4110.5 </c:v>
                  </c:pt>
                  <c:pt idx="2">
                    <c:v>0</c:v>
                  </c:pt>
                  <c:pt idx="3">
                    <c:v>2670</c:v>
                  </c:pt>
                  <c:pt idx="4">
                    <c:v>0</c:v>
                  </c:pt>
                  <c:pt idx="5">
                    <c:v>1402</c:v>
                  </c:pt>
                  <c:pt idx="6">
                    <c:v>1475</c:v>
                  </c:pt>
                </c:lvl>
                <c:lvl>
                  <c:pt idx="0">
                    <c:v>תחזוקת דירה ותקשורת</c:v>
                  </c:pt>
                  <c:pt idx="1">
                    <c:v>מזון וקניות</c:v>
                  </c:pt>
                  <c:pt idx="2">
                    <c:v>רכב ונסיעות</c:v>
                  </c:pt>
                  <c:pt idx="3">
                    <c:v>ילדים וחינוך</c:v>
                  </c:pt>
                  <c:pt idx="4">
                    <c:v>תרבות ופנאי</c:v>
                  </c:pt>
                  <c:pt idx="5">
                    <c:v>בריאות וטיפולים</c:v>
                  </c:pt>
                  <c:pt idx="6">
                    <c:v>ביטוחים ופיננסים</c:v>
                  </c:pt>
                </c:lvl>
              </c:multiLvlStrCache>
            </c:multiLvlStrRef>
          </c:cat>
          <c:val>
            <c:numRef>
              <c:f>'12'!$E$65:$E$71</c:f>
              <c:numCache>
                <c:formatCode>0.00_ ;[Red]\-0.00\ </c:formatCode>
                <c:ptCount val="7"/>
                <c:pt idx="0">
                  <c:v>3431.9599999999991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422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D9-4E85-AB77-792E5EE9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255344"/>
        <c:axId val="445255736"/>
      </c:barChart>
      <c:catAx>
        <c:axId val="4452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5736"/>
        <c:crosses val="autoZero"/>
        <c:auto val="1"/>
        <c:lblAlgn val="ctr"/>
        <c:lblOffset val="100"/>
        <c:noMultiLvlLbl val="0"/>
      </c:catAx>
      <c:valAx>
        <c:axId val="44525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5255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Open Sans Hebrew"/>
                <a:ea typeface="Open Sans Hebrew"/>
                <a:cs typeface="Open Sans Hebrew"/>
              </a:defRPr>
            </a:pPr>
            <a:r>
              <a:rPr lang="he-IL">
                <a:solidFill>
                  <a:srgbClr val="5C2A66"/>
                </a:solidFill>
              </a:rPr>
              <a:t>הוצאות חודשיות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'מיפוי מצב'!$B$4</c:f>
              <c:strCache>
                <c:ptCount val="1"/>
                <c:pt idx="0">
                  <c:v>מנוצל</c:v>
                </c:pt>
              </c:strCache>
            </c:strRef>
          </c:tx>
          <c:spPr>
            <a:solidFill>
              <a:srgbClr val="FFC000">
                <a:alpha val="50000"/>
              </a:srgbClr>
            </a:solidFill>
          </c:spPr>
          <c:invertIfNegative val="0"/>
          <c:cat>
            <c:strRef>
              <c:f>'מיפוי מצב'!$A$5:$A$11</c:f>
              <c:strCache>
                <c:ptCount val="7"/>
                <c:pt idx="0">
                  <c:v>1: תחזוקת דירה ותקשורת</c:v>
                </c:pt>
                <c:pt idx="1">
                  <c:v>2: מזון וקניות</c:v>
                </c:pt>
                <c:pt idx="2">
                  <c:v>3: רכב ונסיעות</c:v>
                </c:pt>
                <c:pt idx="3">
                  <c:v>4: ילדים וחינוך</c:v>
                </c:pt>
                <c:pt idx="4">
                  <c:v>5: תרבות ופנאי</c:v>
                </c:pt>
                <c:pt idx="5">
                  <c:v>6: בריאות וטיפולים</c:v>
                </c:pt>
                <c:pt idx="6">
                  <c:v>7: ביטוחים ופיננסים</c:v>
                </c:pt>
              </c:strCache>
            </c:strRef>
          </c:cat>
          <c:val>
            <c:numRef>
              <c:f>'מיפוי מצב'!$H$5:$H$11</c:f>
              <c:numCache>
                <c:formatCode>0.00_ ;[Red]\-0.00\ </c:formatCode>
                <c:ptCount val="7"/>
                <c:pt idx="0">
                  <c:v>12822</c:v>
                </c:pt>
                <c:pt idx="1">
                  <c:v>9000</c:v>
                </c:pt>
                <c:pt idx="2">
                  <c:v>3240</c:v>
                </c:pt>
                <c:pt idx="3">
                  <c:v>2000</c:v>
                </c:pt>
                <c:pt idx="4">
                  <c:v>2000</c:v>
                </c:pt>
                <c:pt idx="5">
                  <c:v>980</c:v>
                </c:pt>
                <c:pt idx="6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7-4739-9FB3-BD49271935AA}"/>
            </c:ext>
          </c:extLst>
        </c:ser>
        <c:ser>
          <c:idx val="1"/>
          <c:order val="1"/>
          <c:tx>
            <c:strRef>
              <c:f>'מיפוי מצב'!$C$4</c:f>
              <c:strCache>
                <c:ptCount val="1"/>
                <c:pt idx="0">
                  <c:v>נשאר</c:v>
                </c:pt>
              </c:strCache>
            </c:strRef>
          </c:tx>
          <c:spPr>
            <a:solidFill>
              <a:srgbClr val="FFFF00">
                <a:alpha val="29000"/>
              </a:srgbClr>
            </a:solidFill>
          </c:spPr>
          <c:invertIfNegative val="0"/>
          <c:val>
            <c:numRef>
              <c:f>'מיפוי מצב'!$C$5:$C$11</c:f>
              <c:numCache>
                <c:formatCode>0.00_ ;[Red]\-0.00\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2900</c:v>
                </c:pt>
                <c:pt idx="4">
                  <c:v>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7-4739-9FB3-BD49271935AA}"/>
            </c:ext>
          </c:extLst>
        </c:ser>
        <c:ser>
          <c:idx val="2"/>
          <c:order val="2"/>
          <c:tx>
            <c:strRef>
              <c:f>'מיפוי מצב'!$D$4</c:f>
              <c:strCache>
                <c:ptCount val="1"/>
                <c:pt idx="0">
                  <c:v>חריגה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val>
            <c:numRef>
              <c:f>'מיפוי מצב'!$D$5:$D$11</c:f>
              <c:numCache>
                <c:formatCode>0.00_ ;[Red]\-0.00\ </c:formatCode>
                <c:ptCount val="7"/>
                <c:pt idx="0">
                  <c:v>63115.239999999991</c:v>
                </c:pt>
                <c:pt idx="1">
                  <c:v>66937.239999999991</c:v>
                </c:pt>
                <c:pt idx="2">
                  <c:v>72697.239999999991</c:v>
                </c:pt>
                <c:pt idx="3">
                  <c:v>0</c:v>
                </c:pt>
                <c:pt idx="4">
                  <c:v>0</c:v>
                </c:pt>
                <c:pt idx="5">
                  <c:v>5340.51</c:v>
                </c:pt>
                <c:pt idx="6">
                  <c:v>74607.239999999991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7-4739-9FB3-BD492719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446707184"/>
        <c:axId val="446703656"/>
      </c:barChart>
      <c:barChart>
        <c:barDir val="col"/>
        <c:grouping val="stacked"/>
        <c:varyColors val="0"/>
        <c:ser>
          <c:idx val="3"/>
          <c:order val="3"/>
          <c:tx>
            <c:strRef>
              <c:f>'מיפוי מצב'!$G$4</c:f>
              <c:strCache>
                <c:ptCount val="1"/>
                <c:pt idx="0">
                  <c:v>ממוצע</c:v>
                </c:pt>
              </c:strCache>
            </c:strRef>
          </c:tx>
          <c:spPr>
            <a:noFill/>
            <a:ln>
              <a:solidFill>
                <a:schemeClr val="accent4"/>
              </a:solidFill>
            </a:ln>
          </c:spPr>
          <c:invertIfNegative val="0"/>
          <c:val>
            <c:numRef>
              <c:f>'מיפוי מצב'!$G$5:$G$11</c:f>
              <c:numCache>
                <c:formatCode>0.00_ ;[Red]\-0.00\ </c:formatCode>
                <c:ptCount val="7"/>
                <c:pt idx="0">
                  <c:v>34098.576666666668</c:v>
                </c:pt>
                <c:pt idx="1">
                  <c:v>34261.53666666666</c:v>
                </c:pt>
                <c:pt idx="2">
                  <c:v>26055.598333333328</c:v>
                </c:pt>
                <c:pt idx="3">
                  <c:v>4552.6900000000005</c:v>
                </c:pt>
                <c:pt idx="4">
                  <c:v>4783.5833333333339</c:v>
                </c:pt>
                <c:pt idx="5">
                  <c:v>2852.4908333333333</c:v>
                </c:pt>
                <c:pt idx="6">
                  <c:v>2542.7991666666667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7-4739-9FB3-BD4927193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46707576"/>
        <c:axId val="446708752"/>
      </c:barChart>
      <c:catAx>
        <c:axId val="44670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6703656"/>
        <c:crosses val="autoZero"/>
        <c:auto val="1"/>
        <c:lblAlgn val="ctr"/>
        <c:lblOffset val="100"/>
        <c:noMultiLvlLbl val="0"/>
      </c:catAx>
      <c:valAx>
        <c:axId val="446703656"/>
        <c:scaling>
          <c:orientation val="minMax"/>
          <c:max val="10000"/>
        </c:scaling>
        <c:delete val="0"/>
        <c:axPos val="l"/>
        <c:majorGridlines/>
        <c:numFmt formatCode="0.00_ ;[Red]\-0.00\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6707184"/>
        <c:crosses val="autoZero"/>
        <c:crossBetween val="between"/>
      </c:valAx>
      <c:catAx>
        <c:axId val="446707576"/>
        <c:scaling>
          <c:orientation val="minMax"/>
        </c:scaling>
        <c:delete val="1"/>
        <c:axPos val="b"/>
        <c:majorTickMark val="out"/>
        <c:minorTickMark val="none"/>
        <c:tickLblPos val="nextTo"/>
        <c:crossAx val="446708752"/>
        <c:crosses val="autoZero"/>
        <c:auto val="1"/>
        <c:lblAlgn val="ctr"/>
        <c:lblOffset val="100"/>
        <c:noMultiLvlLbl val="0"/>
      </c:catAx>
      <c:valAx>
        <c:axId val="446708752"/>
        <c:scaling>
          <c:orientation val="minMax"/>
          <c:max val="10000"/>
        </c:scaling>
        <c:delete val="0"/>
        <c:axPos val="r"/>
        <c:numFmt formatCode="0.00_ ;[Red]\-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6707576"/>
        <c:crosses val="max"/>
        <c:crossBetween val="between"/>
      </c:valAx>
      <c:dTable>
        <c:showHorzBorder val="1"/>
        <c:showVertBorder val="1"/>
        <c:showOutline val="0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</c:dTable>
    </c:plotArea>
    <c:plotVisOnly val="1"/>
    <c:dispBlanksAs val="gap"/>
    <c:showDLblsOverMax val="0"/>
  </c:chart>
  <c:spPr>
    <a:ln w="19050"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'מיפוי מצב'!$A$28:$B$28</c:f>
              <c:strCache>
                <c:ptCount val="2"/>
                <c:pt idx="0">
                  <c:v>נכסים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'מיפוי מצב'!$B$34</c:f>
              <c:numCache>
                <c:formatCode>0.00_ ;[Red]\-0.00\ </c:formatCode>
                <c:ptCount val="1"/>
                <c:pt idx="0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6-4914-A8AD-38A13BF9AAC4}"/>
            </c:ext>
          </c:extLst>
        </c:ser>
        <c:ser>
          <c:idx val="0"/>
          <c:order val="1"/>
          <c:tx>
            <c:strRef>
              <c:f>'מיפוי מצב'!$A$21:$B$21</c:f>
              <c:strCache>
                <c:ptCount val="2"/>
                <c:pt idx="0">
                  <c:v>התחייבות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val>
            <c:numRef>
              <c:f>'מיפוי מצב'!$B$26</c:f>
              <c:numCache>
                <c:formatCode>0.00_ ;[Red]\-0.00\ </c:formatCode>
                <c:ptCount val="1"/>
                <c:pt idx="0">
                  <c:v>40479.750000000007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6-4914-A8AD-38A13BF9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46707968"/>
        <c:axId val="446704440"/>
      </c:barChart>
      <c:catAx>
        <c:axId val="446707968"/>
        <c:scaling>
          <c:orientation val="minMax"/>
        </c:scaling>
        <c:delete val="1"/>
        <c:axPos val="b"/>
        <c:majorTickMark val="out"/>
        <c:minorTickMark val="none"/>
        <c:tickLblPos val="nextTo"/>
        <c:crossAx val="446704440"/>
        <c:crosses val="autoZero"/>
        <c:auto val="1"/>
        <c:lblAlgn val="ctr"/>
        <c:lblOffset val="100"/>
        <c:noMultiLvlLbl val="0"/>
      </c:catAx>
      <c:valAx>
        <c:axId val="446704440"/>
        <c:scaling>
          <c:orientation val="minMax"/>
        </c:scaling>
        <c:delete val="0"/>
        <c:axPos val="l"/>
        <c:majorGridlines/>
        <c:numFmt formatCode="0.00_ ;[Red]\-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67079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IL"/>
        </a:p>
      </c:txPr>
    </c:legend>
    <c:plotVisOnly val="1"/>
    <c:dispBlanksAs val="gap"/>
    <c:showDLblsOverMax val="0"/>
  </c:chart>
  <c:spPr>
    <a:ln w="19050"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484181440176419"/>
          <c:y val="0.14631225705765036"/>
          <c:w val="0.42401046821342936"/>
          <c:h val="0.70737548588469923"/>
        </c:manualLayout>
      </c:layout>
      <c:barChart>
        <c:barDir val="col"/>
        <c:grouping val="clustered"/>
        <c:varyColors val="0"/>
        <c:ser>
          <c:idx val="0"/>
          <c:order val="0"/>
          <c:tx>
            <c:v>הכנסות</c:v>
          </c:tx>
          <c:spPr>
            <a:solidFill>
              <a:schemeClr val="accent3"/>
            </a:solidFill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'מיפוי מצב'!$C$17</c:f>
              <c:numCache>
                <c:formatCode>0.00</c:formatCode>
                <c:ptCount val="1"/>
                <c:pt idx="0">
                  <c:v>29269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D-4EF8-B349-2A43C310C338}"/>
            </c:ext>
          </c:extLst>
        </c:ser>
        <c:ser>
          <c:idx val="1"/>
          <c:order val="1"/>
          <c:tx>
            <c:strRef>
              <c:f>'מיפוי מצב'!$A$18</c:f>
              <c:strCache>
                <c:ptCount val="1"/>
                <c:pt idx="0">
                  <c:v>הוצאות</c:v>
                </c:pt>
              </c:strCache>
            </c:strRef>
          </c:tx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'מיפוי מצב'!$C$18</c:f>
              <c:numCache>
                <c:formatCode>0.00</c:formatCode>
                <c:ptCount val="1"/>
                <c:pt idx="0">
                  <c:v>62472.79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D-4EF8-B349-2A43C310C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46704048"/>
        <c:axId val="446709928"/>
      </c:barChart>
      <c:catAx>
        <c:axId val="446704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709928"/>
        <c:crosses val="autoZero"/>
        <c:auto val="1"/>
        <c:lblAlgn val="ctr"/>
        <c:lblOffset val="100"/>
        <c:noMultiLvlLbl val="0"/>
      </c:catAx>
      <c:valAx>
        <c:axId val="4467099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L"/>
          </a:p>
        </c:txPr>
        <c:crossAx val="446704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IL"/>
        </a:p>
      </c:txPr>
    </c:legend>
    <c:plotVisOnly val="1"/>
    <c:dispBlanksAs val="gap"/>
    <c:showDLblsOverMax val="0"/>
  </c:chart>
  <c:spPr>
    <a:ln w="19050">
      <a:solidFill>
        <a:schemeClr val="tx1">
          <a:tint val="75000"/>
          <a:shade val="95000"/>
          <a:satMod val="10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84819587862935"/>
          <c:y val="5.7381284201345931E-2"/>
          <c:w val="0.68721212616589011"/>
          <c:h val="0.7623967158647494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5-4651-9FCD-51D8506E8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5-4651-9FCD-51D8506E8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5-4651-9FCD-51D8506E8F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5-4651-9FCD-51D8506E8F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25-4651-9FCD-51D8506E8F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25-4651-9FCD-51D8506E8F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25-4651-9FCD-51D8506E8F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I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'מיפוי מצב'!$A$5:$A$11</c:f>
              <c:strCache>
                <c:ptCount val="7"/>
                <c:pt idx="0">
                  <c:v>1: תחזוקת דירה ותקשורת</c:v>
                </c:pt>
                <c:pt idx="1">
                  <c:v>2: מזון וקניות</c:v>
                </c:pt>
                <c:pt idx="2">
                  <c:v>3: רכב ונסיעות</c:v>
                </c:pt>
                <c:pt idx="3">
                  <c:v>4: ילדים וחינוך</c:v>
                </c:pt>
                <c:pt idx="4">
                  <c:v>5: תרבות ופנאי</c:v>
                </c:pt>
                <c:pt idx="5">
                  <c:v>6: בריאות וטיפולים</c:v>
                </c:pt>
                <c:pt idx="6">
                  <c:v>7: ביטוחים ופיננסים</c:v>
                </c:pt>
              </c:strCache>
            </c:strRef>
          </c:cat>
          <c:val>
            <c:numRef>
              <c:f>'מיפוי מצב'!$B$5:$B$11</c:f>
              <c:numCache>
                <c:formatCode>0.00_ ;[Red]\-0.00\ </c:formatCode>
                <c:ptCount val="7"/>
                <c:pt idx="0">
                  <c:v>75937.239999999991</c:v>
                </c:pt>
                <c:pt idx="1">
                  <c:v>75937.239999999991</c:v>
                </c:pt>
                <c:pt idx="2">
                  <c:v>75937.239999999991</c:v>
                </c:pt>
                <c:pt idx="3">
                  <c:v>2000</c:v>
                </c:pt>
                <c:pt idx="4">
                  <c:v>2000</c:v>
                </c:pt>
                <c:pt idx="5">
                  <c:v>6320.51</c:v>
                </c:pt>
                <c:pt idx="6">
                  <c:v>75937.239999999991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E25-4651-9FCD-51D8506E8FA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מצב חשבון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'הוצאות חודשיות'!$A$152</c:f>
              <c:strCache>
                <c:ptCount val="1"/>
                <c:pt idx="0">
                  <c:v>מצב חשבון דיסקונט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'הוצאות חודשיות'!$B$152:$M$152</c:f>
              <c:numCache>
                <c:formatCode>0.00</c:formatCode>
                <c:ptCount val="12"/>
                <c:pt idx="0">
                  <c:v>70551.579999999958</c:v>
                </c:pt>
                <c:pt idx="1">
                  <c:v>176836.32999999996</c:v>
                </c:pt>
                <c:pt idx="2">
                  <c:v>183642.87999999995</c:v>
                </c:pt>
                <c:pt idx="3">
                  <c:v>372054.93999999994</c:v>
                </c:pt>
                <c:pt idx="4">
                  <c:v>358473.58999999997</c:v>
                </c:pt>
                <c:pt idx="5">
                  <c:v>360587.75999999995</c:v>
                </c:pt>
                <c:pt idx="6">
                  <c:v>361951.92999999993</c:v>
                </c:pt>
                <c:pt idx="7">
                  <c:v>366033.42999999993</c:v>
                </c:pt>
                <c:pt idx="8">
                  <c:v>369064.92999999993</c:v>
                </c:pt>
                <c:pt idx="9">
                  <c:v>373146.42999999993</c:v>
                </c:pt>
                <c:pt idx="10">
                  <c:v>376177.92999999993</c:v>
                </c:pt>
                <c:pt idx="11">
                  <c:v>380259.42999999993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8-458C-BBB7-D4DAE3E92852}"/>
            </c:ext>
          </c:extLst>
        </c:ser>
        <c:ser>
          <c:idx val="1"/>
          <c:order val="1"/>
          <c:tx>
            <c:strRef>
              <c:f>'הוצאות חודשיות'!$A$153</c:f>
              <c:strCache>
                <c:ptCount val="1"/>
                <c:pt idx="0">
                  <c:v>מצב חשבון לאומי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'הוצאות חודשיות'!$B$153:$M$153</c:f>
              <c:numCache>
                <c:formatCode>0.00</c:formatCode>
                <c:ptCount val="12"/>
                <c:pt idx="0">
                  <c:v>10131.390000000007</c:v>
                </c:pt>
                <c:pt idx="1">
                  <c:v>36.580000000001746</c:v>
                </c:pt>
                <c:pt idx="2">
                  <c:v>5290.75</c:v>
                </c:pt>
                <c:pt idx="3">
                  <c:v>1724.7200000000012</c:v>
                </c:pt>
                <c:pt idx="4">
                  <c:v>-31216.770000000004</c:v>
                </c:pt>
                <c:pt idx="5">
                  <c:v>-86057.16</c:v>
                </c:pt>
                <c:pt idx="6">
                  <c:v>-123380.55</c:v>
                </c:pt>
                <c:pt idx="7">
                  <c:v>-175389.94</c:v>
                </c:pt>
                <c:pt idx="8">
                  <c:v>-211625.23</c:v>
                </c:pt>
                <c:pt idx="9">
                  <c:v>-262777.61</c:v>
                </c:pt>
                <c:pt idx="10">
                  <c:v>-302747</c:v>
                </c:pt>
                <c:pt idx="11">
                  <c:v>-356357.39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8-458C-BBB7-D4DAE3E9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09144"/>
        <c:axId val="446706400"/>
      </c:lineChart>
      <c:catAx>
        <c:axId val="446709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6706400"/>
        <c:crosses val="autoZero"/>
        <c:auto val="1"/>
        <c:lblAlgn val="ctr"/>
        <c:lblOffset val="100"/>
        <c:noMultiLvlLbl val="0"/>
      </c:catAx>
      <c:valAx>
        <c:axId val="4467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670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רצוי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'סל הוצאות'!$C$4:$C$14</c:f>
              <c:strCache>
                <c:ptCount val="11"/>
                <c:pt idx="0">
                  <c:v>טלפונים ניידים</c:v>
                </c:pt>
                <c:pt idx="1">
                  <c:v>מזון וטואלטיקה</c:v>
                </c:pt>
                <c:pt idx="2">
                  <c:v>מסעדות ומשלוחים</c:v>
                </c:pt>
                <c:pt idx="3">
                  <c:v>טלפונים ניידים</c:v>
                </c:pt>
                <c:pt idx="4">
                  <c:v>טלפונים ניידים</c:v>
                </c:pt>
                <c:pt idx="5">
                  <c:v>טלפונים ניידים</c:v>
                </c:pt>
                <c:pt idx="6">
                  <c:v>טלפונים ניידים</c:v>
                </c:pt>
                <c:pt idx="7">
                  <c:v>טלפונים ניידים</c:v>
                </c:pt>
                <c:pt idx="8">
                  <c:v>טלפונים ניידים</c:v>
                </c:pt>
                <c:pt idx="9">
                  <c:v>טלפונים ניידים</c:v>
                </c:pt>
                <c:pt idx="10">
                  <c:v>טלפונים ניידים</c:v>
                </c:pt>
              </c:strCache>
            </c:strRef>
          </c:cat>
          <c:val>
            <c:numRef>
              <c:f>'סל הוצאות'!$D$4:$D$14</c:f>
              <c:numCache>
                <c:formatCode>General</c:formatCode>
                <c:ptCount val="11"/>
                <c:pt idx="0">
                  <c:v>135</c:v>
                </c:pt>
                <c:pt idx="1">
                  <c:v>6000</c:v>
                </c:pt>
                <c:pt idx="2">
                  <c:v>500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6-422F-A0CD-624AB9A15523}"/>
            </c:ext>
          </c:extLst>
        </c:ser>
        <c:ser>
          <c:idx val="1"/>
          <c:order val="1"/>
          <c:tx>
            <c:v>מנוצל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'סל הוצאות'!$C$4:$C$14</c:f>
              <c:strCache>
                <c:ptCount val="11"/>
                <c:pt idx="0">
                  <c:v>טלפונים ניידים</c:v>
                </c:pt>
                <c:pt idx="1">
                  <c:v>מזון וטואלטיקה</c:v>
                </c:pt>
                <c:pt idx="2">
                  <c:v>מסעדות ומשלוחים</c:v>
                </c:pt>
                <c:pt idx="3">
                  <c:v>טלפונים ניידים</c:v>
                </c:pt>
                <c:pt idx="4">
                  <c:v>טלפונים ניידים</c:v>
                </c:pt>
                <c:pt idx="5">
                  <c:v>טלפונים ניידים</c:v>
                </c:pt>
                <c:pt idx="6">
                  <c:v>טלפונים ניידים</c:v>
                </c:pt>
                <c:pt idx="7">
                  <c:v>טלפונים ניידים</c:v>
                </c:pt>
                <c:pt idx="8">
                  <c:v>טלפונים ניידים</c:v>
                </c:pt>
                <c:pt idx="9">
                  <c:v>טלפונים ניידים</c:v>
                </c:pt>
                <c:pt idx="10">
                  <c:v>טלפונים ניידים</c:v>
                </c:pt>
              </c:strCache>
            </c:strRef>
          </c:cat>
          <c:val>
            <c:numRef>
              <c:f>'סל הוצאות'!$E$4:$E$14</c:f>
              <c:numCache>
                <c:formatCode>General</c:formatCode>
                <c:ptCount val="11"/>
                <c:pt idx="0">
                  <c:v>272.3</c:v>
                </c:pt>
                <c:pt idx="1">
                  <c:v>4000</c:v>
                </c:pt>
                <c:pt idx="2">
                  <c:v>0</c:v>
                </c:pt>
                <c:pt idx="3">
                  <c:v>272.3</c:v>
                </c:pt>
                <c:pt idx="4">
                  <c:v>272.3</c:v>
                </c:pt>
                <c:pt idx="5">
                  <c:v>272.3</c:v>
                </c:pt>
                <c:pt idx="6">
                  <c:v>272.3</c:v>
                </c:pt>
                <c:pt idx="7">
                  <c:v>272.3</c:v>
                </c:pt>
                <c:pt idx="8">
                  <c:v>272.3</c:v>
                </c:pt>
                <c:pt idx="9">
                  <c:v>272.3</c:v>
                </c:pt>
                <c:pt idx="10">
                  <c:v>272.3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6-422F-A0CD-624AB9A155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1867840"/>
        <c:axId val="159463040"/>
      </c:barChart>
      <c:catAx>
        <c:axId val="16186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59463040"/>
        <c:crosses val="autoZero"/>
        <c:auto val="1"/>
        <c:lblAlgn val="ctr"/>
        <c:lblOffset val="100"/>
        <c:noMultiLvlLbl val="0"/>
      </c:catAx>
      <c:valAx>
        <c:axId val="15946304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18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'4'!$A$2:$A$18</c:f>
              <c:strCache>
                <c:ptCount val="17"/>
                <c:pt idx="0">
                  <c:v>כרטיסי אשראי</c:v>
                </c:pt>
                <c:pt idx="5">
                  <c:v>הלוואה</c:v>
                </c:pt>
                <c:pt idx="7">
                  <c:v>קבועים</c:v>
                </c:pt>
                <c:pt idx="9">
                  <c:v>תשלומים</c:v>
                </c:pt>
                <c:pt idx="12">
                  <c:v>מזומן</c:v>
                </c:pt>
                <c:pt idx="13">
                  <c:v>שחרור פקדון</c:v>
                </c:pt>
                <c:pt idx="14">
                  <c:v>חסכון</c:v>
                </c:pt>
                <c:pt idx="15">
                  <c:v>הוצאות עתידיות</c:v>
                </c:pt>
                <c:pt idx="16">
                  <c:v>סך הוצאות</c:v>
                </c:pt>
              </c:strCache>
            </c:strRef>
          </c:cat>
          <c:val>
            <c:numRef>
              <c:f>'4'!$B$2:$B$18</c:f>
              <c:numCache>
                <c:formatCode>0.00_ ;[Red]\-0.00\ 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5-4A11-BB01-F89E2BC720B0}"/>
            </c:ext>
          </c:extLst>
        </c:ser>
        <c:ser>
          <c:idx val="1"/>
          <c:order val="1"/>
          <c:tx>
            <c:strRef>
              <c:f>'4'!$C$1</c:f>
              <c:strCache>
                <c:ptCount val="1"/>
                <c:pt idx="0">
                  <c:v>דיסקונט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'4'!$A$2:$A$18</c:f>
              <c:strCache>
                <c:ptCount val="17"/>
                <c:pt idx="0">
                  <c:v>כרטיסי אשראי</c:v>
                </c:pt>
                <c:pt idx="5">
                  <c:v>הלוואה</c:v>
                </c:pt>
                <c:pt idx="7">
                  <c:v>קבועים</c:v>
                </c:pt>
                <c:pt idx="9">
                  <c:v>תשלומים</c:v>
                </c:pt>
                <c:pt idx="12">
                  <c:v>מזומן</c:v>
                </c:pt>
                <c:pt idx="13">
                  <c:v>שחרור פקדון</c:v>
                </c:pt>
                <c:pt idx="14">
                  <c:v>חסכון</c:v>
                </c:pt>
                <c:pt idx="15">
                  <c:v>הוצאות עתידיות</c:v>
                </c:pt>
                <c:pt idx="16">
                  <c:v>סך הוצאות</c:v>
                </c:pt>
              </c:strCache>
            </c:strRef>
          </c:cat>
          <c:val>
            <c:numRef>
              <c:f>'4'!$C$2:$C$18</c:f>
              <c:numCache>
                <c:formatCode>0.00_ ;[Red]\-0.00\ </c:formatCode>
                <c:ptCount val="17"/>
                <c:pt idx="0">
                  <c:v>17042.589999999997</c:v>
                </c:pt>
                <c:pt idx="1">
                  <c:v>69.900000000000006</c:v>
                </c:pt>
                <c:pt idx="2">
                  <c:v>12957.18</c:v>
                </c:pt>
                <c:pt idx="5">
                  <c:v>0</c:v>
                </c:pt>
                <c:pt idx="6">
                  <c:v>4854.04</c:v>
                </c:pt>
                <c:pt idx="7">
                  <c:v>2692.18</c:v>
                </c:pt>
                <c:pt idx="8" formatCode="0.00_ ;\-0.00\ ">
                  <c:v>-4273</c:v>
                </c:pt>
                <c:pt idx="9">
                  <c:v>0</c:v>
                </c:pt>
                <c:pt idx="11" formatCode="0.00_ ;\-0.00\ ">
                  <c:v>-177945</c:v>
                </c:pt>
                <c:pt idx="12">
                  <c:v>700</c:v>
                </c:pt>
                <c:pt idx="13" formatCode="0.00_ ;\-0.00\ ">
                  <c:v>0</c:v>
                </c:pt>
                <c:pt idx="14">
                  <c:v>500</c:v>
                </c:pt>
                <c:pt idx="16" formatCode="0.00_ ;\-0.00\ ">
                  <c:v>-143402.10999999999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5-4A11-BB01-F89E2BC720B0}"/>
            </c:ext>
          </c:extLst>
        </c:ser>
        <c:ser>
          <c:idx val="2"/>
          <c:order val="2"/>
          <c:tx>
            <c:strRef>
              <c:f>'4'!$D$1</c:f>
              <c:strCache>
                <c:ptCount val="1"/>
                <c:pt idx="0">
                  <c:v>לאומי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'4'!$A$2:$A$18</c:f>
              <c:strCache>
                <c:ptCount val="17"/>
                <c:pt idx="0">
                  <c:v>כרטיסי אשראי</c:v>
                </c:pt>
                <c:pt idx="5">
                  <c:v>הלוואה</c:v>
                </c:pt>
                <c:pt idx="7">
                  <c:v>קבועים</c:v>
                </c:pt>
                <c:pt idx="9">
                  <c:v>תשלומים</c:v>
                </c:pt>
                <c:pt idx="12">
                  <c:v>מזומן</c:v>
                </c:pt>
                <c:pt idx="13">
                  <c:v>שחרור פקדון</c:v>
                </c:pt>
                <c:pt idx="14">
                  <c:v>חסכון</c:v>
                </c:pt>
                <c:pt idx="15">
                  <c:v>הוצאות עתידיות</c:v>
                </c:pt>
                <c:pt idx="16">
                  <c:v>סך הוצאות</c:v>
                </c:pt>
              </c:strCache>
            </c:strRef>
          </c:cat>
          <c:val>
            <c:numRef>
              <c:f>'4'!$D$2:$D$18</c:f>
              <c:numCache>
                <c:formatCode>0.00_ ;[Red]\-0.00\ </c:formatCode>
                <c:ptCount val="17"/>
                <c:pt idx="0">
                  <c:v>0</c:v>
                </c:pt>
                <c:pt idx="2">
                  <c:v>41349.42</c:v>
                </c:pt>
                <c:pt idx="5">
                  <c:v>0</c:v>
                </c:pt>
                <c:pt idx="7">
                  <c:v>5530.6100000000006</c:v>
                </c:pt>
                <c:pt idx="9">
                  <c:v>10</c:v>
                </c:pt>
                <c:pt idx="10" formatCode="0.00_ ;\-0.00\ ">
                  <c:v>10000</c:v>
                </c:pt>
                <c:pt idx="13" formatCode="0.00_ ;\-0.00\ ">
                  <c:v>0</c:v>
                </c:pt>
                <c:pt idx="14">
                  <c:v>0</c:v>
                </c:pt>
                <c:pt idx="16">
                  <c:v>56890.03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5-4A11-BB01-F89E2BC7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814175"/>
        <c:axId val="510815135"/>
      </c:barChart>
      <c:catAx>
        <c:axId val="51081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10815135"/>
        <c:crosses val="autoZero"/>
        <c:auto val="1"/>
        <c:lblAlgn val="ctr"/>
        <c:lblOffset val="100"/>
        <c:noMultiLvlLbl val="0"/>
      </c:catAx>
      <c:valAx>
        <c:axId val="51081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108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38CBB2-C063-4A68-9283-AA4E3D05FD9E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0</xdr:row>
      <xdr:rowOff>0</xdr:rowOff>
    </xdr:from>
    <xdr:to>
      <xdr:col>13</xdr:col>
      <xdr:colOff>436245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ACFAB1-5D9E-4D1A-013F-BAFB5154D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8313435" y="0"/>
          <a:ext cx="4810125" cy="1276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3</xdr:col>
      <xdr:colOff>561975</xdr:colOff>
      <xdr:row>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755C1-245F-43EF-8368-23F419F7C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561975</xdr:colOff>
      <xdr:row>60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6E95E28-1399-41B0-B2CD-905D2C82E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561975</xdr:colOff>
      <xdr:row>60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24D6D4D-DAEC-4BAA-88FD-17B7BCD85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35719</xdr:colOff>
      <xdr:row>47</xdr:row>
      <xdr:rowOff>11907</xdr:rowOff>
    </xdr:from>
    <xdr:to>
      <xdr:col>3</xdr:col>
      <xdr:colOff>595789</xdr:colOff>
      <xdr:row>61</xdr:row>
      <xdr:rowOff>100013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C8C0108-2354-4AFF-9590-42B441373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0</xdr:rowOff>
    </xdr:from>
    <xdr:to>
      <xdr:col>3</xdr:col>
      <xdr:colOff>561975</xdr:colOff>
      <xdr:row>61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3</xdr:col>
      <xdr:colOff>561975</xdr:colOff>
      <xdr:row>61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3</xdr:col>
      <xdr:colOff>561975</xdr:colOff>
      <xdr:row>61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3</xdr:col>
      <xdr:colOff>561975</xdr:colOff>
      <xdr:row>61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3</xdr:col>
      <xdr:colOff>561975</xdr:colOff>
      <xdr:row>61</xdr:row>
      <xdr:rowOff>76200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47</xdr:row>
      <xdr:rowOff>22411</xdr:rowOff>
    </xdr:from>
    <xdr:to>
      <xdr:col>3</xdr:col>
      <xdr:colOff>523987</xdr:colOff>
      <xdr:row>61</xdr:row>
      <xdr:rowOff>87181</xdr:rowOff>
    </xdr:to>
    <xdr:graphicFrame macro="">
      <xdr:nvGraphicFramePr>
        <xdr:cNvPr id="26865770" name="Chart 1">
          <a:extLst>
            <a:ext uri="{FF2B5EF4-FFF2-40B4-BE49-F238E27FC236}">
              <a16:creationId xmlns:a16="http://schemas.microsoft.com/office/drawing/2014/main" id="{00000000-0008-0000-0500-00006AF09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37652</xdr:colOff>
      <xdr:row>46</xdr:row>
      <xdr:rowOff>188259</xdr:rowOff>
    </xdr:from>
    <xdr:to>
      <xdr:col>3</xdr:col>
      <xdr:colOff>621030</xdr:colOff>
      <xdr:row>61</xdr:row>
      <xdr:rowOff>73959</xdr:rowOff>
    </xdr:to>
    <xdr:graphicFrame macro="">
      <xdr:nvGraphicFramePr>
        <xdr:cNvPr id="26867818" name="Chart 1">
          <a:extLst>
            <a:ext uri="{FF2B5EF4-FFF2-40B4-BE49-F238E27FC236}">
              <a16:creationId xmlns:a16="http://schemas.microsoft.com/office/drawing/2014/main" id="{00000000-0008-0000-0600-00006AF89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22412</xdr:rowOff>
    </xdr:from>
    <xdr:to>
      <xdr:col>3</xdr:col>
      <xdr:colOff>560070</xdr:colOff>
      <xdr:row>61</xdr:row>
      <xdr:rowOff>98612</xdr:rowOff>
    </xdr:to>
    <xdr:graphicFrame macro="">
      <xdr:nvGraphicFramePr>
        <xdr:cNvPr id="26869890" name="Chart 1">
          <a:extLst>
            <a:ext uri="{FF2B5EF4-FFF2-40B4-BE49-F238E27FC236}">
              <a16:creationId xmlns:a16="http://schemas.microsoft.com/office/drawing/2014/main" id="{00000000-0008-0000-0700-00008200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179294</xdr:rowOff>
    </xdr:from>
    <xdr:to>
      <xdr:col>3</xdr:col>
      <xdr:colOff>560070</xdr:colOff>
      <xdr:row>61</xdr:row>
      <xdr:rowOff>64994</xdr:rowOff>
    </xdr:to>
    <xdr:graphicFrame macro="">
      <xdr:nvGraphicFramePr>
        <xdr:cNvPr id="26871914" name="Chart 1">
          <a:extLst>
            <a:ext uri="{FF2B5EF4-FFF2-40B4-BE49-F238E27FC236}">
              <a16:creationId xmlns:a16="http://schemas.microsoft.com/office/drawing/2014/main" id="{00000000-0008-0000-0800-00006A08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</xdr:colOff>
      <xdr:row>47</xdr:row>
      <xdr:rowOff>0</xdr:rowOff>
    </xdr:from>
    <xdr:to>
      <xdr:col>3</xdr:col>
      <xdr:colOff>571276</xdr:colOff>
      <xdr:row>61</xdr:row>
      <xdr:rowOff>76200</xdr:rowOff>
    </xdr:to>
    <xdr:graphicFrame macro="">
      <xdr:nvGraphicFramePr>
        <xdr:cNvPr id="20263353" name="Chart 1">
          <a:extLst>
            <a:ext uri="{FF2B5EF4-FFF2-40B4-BE49-F238E27FC236}">
              <a16:creationId xmlns:a16="http://schemas.microsoft.com/office/drawing/2014/main" id="{00000000-0008-0000-0900-0000B9313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47</xdr:row>
      <xdr:rowOff>33617</xdr:rowOff>
    </xdr:from>
    <xdr:to>
      <xdr:col>3</xdr:col>
      <xdr:colOff>604894</xdr:colOff>
      <xdr:row>60</xdr:row>
      <xdr:rowOff>98387</xdr:rowOff>
    </xdr:to>
    <xdr:graphicFrame macro="">
      <xdr:nvGraphicFramePr>
        <xdr:cNvPr id="26874986" name="Chart 1">
          <a:extLst>
            <a:ext uri="{FF2B5EF4-FFF2-40B4-BE49-F238E27FC236}">
              <a16:creationId xmlns:a16="http://schemas.microsoft.com/office/drawing/2014/main" id="{00000000-0008-0000-0A00-00006A14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33</xdr:row>
      <xdr:rowOff>9525</xdr:rowOff>
    </xdr:from>
    <xdr:to>
      <xdr:col>15</xdr:col>
      <xdr:colOff>0</xdr:colOff>
      <xdr:row>48</xdr:row>
      <xdr:rowOff>0</xdr:rowOff>
    </xdr:to>
    <xdr:graphicFrame macro="">
      <xdr:nvGraphicFramePr>
        <xdr:cNvPr id="26887380" name="Chart 1">
          <a:extLst>
            <a:ext uri="{FF2B5EF4-FFF2-40B4-BE49-F238E27FC236}">
              <a16:creationId xmlns:a16="http://schemas.microsoft.com/office/drawing/2014/main" id="{00000000-0008-0000-1100-0000D444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8</xdr:col>
      <xdr:colOff>561975</xdr:colOff>
      <xdr:row>47</xdr:row>
      <xdr:rowOff>152400</xdr:rowOff>
    </xdr:to>
    <xdr:graphicFrame macro="">
      <xdr:nvGraphicFramePr>
        <xdr:cNvPr id="26887381" name="Chart 2">
          <a:extLst>
            <a:ext uri="{FF2B5EF4-FFF2-40B4-BE49-F238E27FC236}">
              <a16:creationId xmlns:a16="http://schemas.microsoft.com/office/drawing/2014/main" id="{00000000-0008-0000-1100-0000D544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0</xdr:row>
      <xdr:rowOff>9525</xdr:rowOff>
    </xdr:from>
    <xdr:to>
      <xdr:col>22</xdr:col>
      <xdr:colOff>0</xdr:colOff>
      <xdr:row>17</xdr:row>
      <xdr:rowOff>0</xdr:rowOff>
    </xdr:to>
    <xdr:graphicFrame macro="">
      <xdr:nvGraphicFramePr>
        <xdr:cNvPr id="26890558" name="Chart 1">
          <a:extLst>
            <a:ext uri="{FF2B5EF4-FFF2-40B4-BE49-F238E27FC236}">
              <a16:creationId xmlns:a16="http://schemas.microsoft.com/office/drawing/2014/main" id="{00000000-0008-0000-1200-00003E5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18</xdr:row>
      <xdr:rowOff>38100</xdr:rowOff>
    </xdr:from>
    <xdr:to>
      <xdr:col>18</xdr:col>
      <xdr:colOff>19050</xdr:colOff>
      <xdr:row>34</xdr:row>
      <xdr:rowOff>9525</xdr:rowOff>
    </xdr:to>
    <xdr:graphicFrame macro="">
      <xdr:nvGraphicFramePr>
        <xdr:cNvPr id="26890559" name="Chart 2">
          <a:extLst>
            <a:ext uri="{FF2B5EF4-FFF2-40B4-BE49-F238E27FC236}">
              <a16:creationId xmlns:a16="http://schemas.microsoft.com/office/drawing/2014/main" id="{00000000-0008-0000-1200-00003F5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171450</xdr:colOff>
      <xdr:row>34</xdr:row>
      <xdr:rowOff>152400</xdr:rowOff>
    </xdr:from>
    <xdr:to>
      <xdr:col>18</xdr:col>
      <xdr:colOff>28575</xdr:colOff>
      <xdr:row>50</xdr:row>
      <xdr:rowOff>114300</xdr:rowOff>
    </xdr:to>
    <xdr:graphicFrame macro="">
      <xdr:nvGraphicFramePr>
        <xdr:cNvPr id="26890560" name="Chart 3">
          <a:extLst>
            <a:ext uri="{FF2B5EF4-FFF2-40B4-BE49-F238E27FC236}">
              <a16:creationId xmlns:a16="http://schemas.microsoft.com/office/drawing/2014/main" id="{00000000-0008-0000-1200-0000405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47</xdr:row>
      <xdr:rowOff>11206</xdr:rowOff>
    </xdr:from>
    <xdr:to>
      <xdr:col>3</xdr:col>
      <xdr:colOff>604894</xdr:colOff>
      <xdr:row>61</xdr:row>
      <xdr:rowOff>75976</xdr:rowOff>
    </xdr:to>
    <xdr:graphicFrame macro="">
      <xdr:nvGraphicFramePr>
        <xdr:cNvPr id="21162416" name="Chart 1">
          <a:extLst>
            <a:ext uri="{FF2B5EF4-FFF2-40B4-BE49-F238E27FC236}">
              <a16:creationId xmlns:a16="http://schemas.microsoft.com/office/drawing/2014/main" id="{00000000-0008-0000-0B00-0000B0E9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22412</xdr:colOff>
      <xdr:row>47</xdr:row>
      <xdr:rowOff>22412</xdr:rowOff>
    </xdr:from>
    <xdr:to>
      <xdr:col>3</xdr:col>
      <xdr:colOff>582482</xdr:colOff>
      <xdr:row>62</xdr:row>
      <xdr:rowOff>87182</xdr:rowOff>
    </xdr:to>
    <xdr:graphicFrame macro="">
      <xdr:nvGraphicFramePr>
        <xdr:cNvPr id="26864770" name="Chart 1">
          <a:extLst>
            <a:ext uri="{FF2B5EF4-FFF2-40B4-BE49-F238E27FC236}">
              <a16:creationId xmlns:a16="http://schemas.microsoft.com/office/drawing/2014/main" id="{00000000-0008-0000-0C00-000082EC9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11907</xdr:colOff>
      <xdr:row>47</xdr:row>
      <xdr:rowOff>11906</xdr:rowOff>
    </xdr:from>
    <xdr:to>
      <xdr:col>3</xdr:col>
      <xdr:colOff>570072</xdr:colOff>
      <xdr:row>61</xdr:row>
      <xdr:rowOff>100012</xdr:rowOff>
    </xdr:to>
    <xdr:graphicFrame macro="">
      <xdr:nvGraphicFramePr>
        <xdr:cNvPr id="26879090" name="Chart 1">
          <a:extLst>
            <a:ext uri="{FF2B5EF4-FFF2-40B4-BE49-F238E27FC236}">
              <a16:creationId xmlns:a16="http://schemas.microsoft.com/office/drawing/2014/main" id="{00000000-0008-0000-0D00-00007224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47</xdr:row>
      <xdr:rowOff>59531</xdr:rowOff>
    </xdr:from>
    <xdr:to>
      <xdr:col>3</xdr:col>
      <xdr:colOff>605790</xdr:colOff>
      <xdr:row>61</xdr:row>
      <xdr:rowOff>147637</xdr:rowOff>
    </xdr:to>
    <xdr:graphicFrame macro="">
      <xdr:nvGraphicFramePr>
        <xdr:cNvPr id="26881132" name="Chart 1">
          <a:extLst>
            <a:ext uri="{FF2B5EF4-FFF2-40B4-BE49-F238E27FC236}">
              <a16:creationId xmlns:a16="http://schemas.microsoft.com/office/drawing/2014/main" id="{00000000-0008-0000-0E00-00006C2C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46</xdr:row>
      <xdr:rowOff>178594</xdr:rowOff>
    </xdr:from>
    <xdr:to>
      <xdr:col>3</xdr:col>
      <xdr:colOff>631507</xdr:colOff>
      <xdr:row>61</xdr:row>
      <xdr:rowOff>64294</xdr:rowOff>
    </xdr:to>
    <xdr:graphicFrame macro="">
      <xdr:nvGraphicFramePr>
        <xdr:cNvPr id="26883180" name="Chart 1">
          <a:extLst>
            <a:ext uri="{FF2B5EF4-FFF2-40B4-BE49-F238E27FC236}">
              <a16:creationId xmlns:a16="http://schemas.microsoft.com/office/drawing/2014/main" id="{00000000-0008-0000-0F00-00006C34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35719</xdr:colOff>
      <xdr:row>47</xdr:row>
      <xdr:rowOff>11907</xdr:rowOff>
    </xdr:from>
    <xdr:to>
      <xdr:col>3</xdr:col>
      <xdr:colOff>595789</xdr:colOff>
      <xdr:row>61</xdr:row>
      <xdr:rowOff>100013</xdr:rowOff>
    </xdr:to>
    <xdr:graphicFrame macro="">
      <xdr:nvGraphicFramePr>
        <xdr:cNvPr id="26885228" name="Chart 1">
          <a:extLst>
            <a:ext uri="{FF2B5EF4-FFF2-40B4-BE49-F238E27FC236}">
              <a16:creationId xmlns:a16="http://schemas.microsoft.com/office/drawing/2014/main" id="{00000000-0008-0000-1000-00006C3C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2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6894654" name="Chart 1">
          <a:extLst>
            <a:ext uri="{FF2B5EF4-FFF2-40B4-BE49-F238E27FC236}">
              <a16:creationId xmlns:a16="http://schemas.microsoft.com/office/drawing/2014/main" id="{00000000-0008-0000-1900-00003E6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20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26894655" name="Chart 2">
          <a:extLst>
            <a:ext uri="{FF2B5EF4-FFF2-40B4-BE49-F238E27FC236}">
              <a16:creationId xmlns:a16="http://schemas.microsoft.com/office/drawing/2014/main" id="{00000000-0008-0000-1900-00003F6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171450</xdr:colOff>
      <xdr:row>13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26894656" name="Chart 3">
          <a:extLst>
            <a:ext uri="{FF2B5EF4-FFF2-40B4-BE49-F238E27FC236}">
              <a16:creationId xmlns:a16="http://schemas.microsoft.com/office/drawing/2014/main" id="{00000000-0008-0000-1900-00004061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200025</xdr:colOff>
      <xdr:row>34</xdr:row>
      <xdr:rowOff>133350</xdr:rowOff>
    </xdr:from>
    <xdr:to>
      <xdr:col>17</xdr:col>
      <xdr:colOff>514350</xdr:colOff>
      <xdr:row>47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155</xdr:row>
      <xdr:rowOff>3571</xdr:rowOff>
    </xdr:from>
    <xdr:to>
      <xdr:col>9</xdr:col>
      <xdr:colOff>702469</xdr:colOff>
      <xdr:row>170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11</xdr:row>
      <xdr:rowOff>61912</xdr:rowOff>
    </xdr:from>
    <xdr:to>
      <xdr:col>17</xdr:col>
      <xdr:colOff>0</xdr:colOff>
      <xdr:row>27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46BA2-2D29-45EF-8758-8A0A42F1E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51192-DCF6-579A-267E-EBF5E018A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lyd\Dropbox\Lily\&#1491;&#1493;&#1495;%202025.xlsx" TargetMode="External"/><Relationship Id="rId1" Type="http://schemas.openxmlformats.org/officeDocument/2006/relationships/externalLinkPath" Target="&#1491;&#1493;&#1495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lyd\Dropbox\Lily\&#1491;&#1493;&#1495;%20&#1504;&#1497;&#1505;&#1493;&#1497;.xlsx" TargetMode="External"/><Relationship Id="rId1" Type="http://schemas.openxmlformats.org/officeDocument/2006/relationships/externalLinkPath" Target="&#1491;&#1493;&#1495;%20&#1504;&#1497;&#1505;&#1493;&#14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491;&#1493;&#1495;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491;&#1493;&#1495;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"/>
      <sheetName val="פרטים"/>
      <sheetName val="Data"/>
      <sheetName val="נכסים והתחיבויות"/>
      <sheetName val="1124"/>
      <sheetName val="1224"/>
      <sheetName val="1"/>
      <sheetName val="2"/>
      <sheetName val="3"/>
      <sheetName val="4"/>
      <sheetName val="5"/>
      <sheetName val="6"/>
      <sheetName val="עוגה"/>
      <sheetName val="גרף"/>
      <sheetName val="7"/>
      <sheetName val="8"/>
      <sheetName val="9"/>
      <sheetName val="10"/>
      <sheetName val="11"/>
      <sheetName val="12"/>
      <sheetName val="עסק"/>
      <sheetName val="דפי עזר"/>
      <sheetName val="פקדונות"/>
      <sheetName val="פירוט עסקי"/>
      <sheetName val="מיפוי מצב"/>
      <sheetName val="הוצאות חודשיות"/>
      <sheetName val="ממוצע ורצוי"/>
      <sheetName val="סל הוצאות"/>
      <sheetName val="יומי"/>
      <sheetName val="הוצאות עתידיות"/>
      <sheetName val="טבלת הוצאות"/>
    </sheetNames>
    <sheetDataSet>
      <sheetData sheetId="0">
        <row r="2">
          <cell r="C2" t="str">
            <v>מזון וטואלטיקה</v>
          </cell>
        </row>
        <row r="3">
          <cell r="C3" t="str">
            <v>סיגריות</v>
          </cell>
        </row>
        <row r="4">
          <cell r="C4" t="str">
            <v>טיפוח ויופי</v>
          </cell>
        </row>
        <row r="5">
          <cell r="C5" t="str">
            <v>קוסמטיקה</v>
          </cell>
        </row>
        <row r="6">
          <cell r="C6" t="str">
            <v>ביגוד והנעלה</v>
          </cell>
        </row>
        <row r="7">
          <cell r="C7" t="str">
            <v>קניות שונות</v>
          </cell>
        </row>
        <row r="8">
          <cell r="C8" t="str">
            <v>מזומן ללא מעקב</v>
          </cell>
        </row>
        <row r="9">
          <cell r="C9" t="str">
            <v>בר מים</v>
          </cell>
        </row>
        <row r="10">
          <cell r="C10" t="str">
            <v>מכשירים</v>
          </cell>
        </row>
        <row r="11">
          <cell r="C11" t="str">
            <v>הוצאות לעסק</v>
          </cell>
        </row>
        <row r="12">
          <cell r="C12" t="str">
            <v>מנויים</v>
          </cell>
        </row>
        <row r="13">
          <cell r="C13" t="str">
            <v>אחר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"/>
      <sheetName val="פרטים"/>
      <sheetName val="Data"/>
      <sheetName val="נכסים והתחיבויות"/>
      <sheetName val="1124"/>
      <sheetName val="1224"/>
      <sheetName val="1"/>
      <sheetName val="2"/>
      <sheetName val="3"/>
      <sheetName val="4"/>
      <sheetName val="5"/>
      <sheetName val="6"/>
      <sheetName val="עוגה"/>
      <sheetName val="גרף"/>
      <sheetName val="7"/>
      <sheetName val="8"/>
      <sheetName val="9"/>
      <sheetName val="10"/>
      <sheetName val="11"/>
      <sheetName val="12"/>
      <sheetName val="עסק"/>
      <sheetName val="פקדונות"/>
      <sheetName val="מיפוי מצב"/>
      <sheetName val="פירוט עסקי"/>
      <sheetName val="הוצאות חודשיות"/>
      <sheetName val="ממוצע ורצוי"/>
      <sheetName val="סל הוצאות"/>
      <sheetName val="יומי"/>
      <sheetName val="הוצאות עתידיות"/>
      <sheetName val="טבלת הוצאות"/>
    </sheetNames>
    <sheetDataSet>
      <sheetData sheetId="0">
        <row r="1">
          <cell r="B1" t="str">
            <v>קטגוריה 1: תחזוקת דירה ותקשורת</v>
          </cell>
          <cell r="C1" t="str">
            <v>קטגוריה 2: מזון וקניות</v>
          </cell>
        </row>
        <row r="2">
          <cell r="B2" t="str">
            <v>משכנתא</v>
          </cell>
          <cell r="C2" t="str">
            <v>תחזוקת דירה ותקשורת</v>
          </cell>
        </row>
        <row r="3">
          <cell r="B3" t="str">
            <v>שכר דירה</v>
          </cell>
          <cell r="C3" t="str">
            <v>תחזוקת דירה ותקשורת</v>
          </cell>
        </row>
        <row r="4">
          <cell r="B4" t="str">
            <v>ארנונה</v>
          </cell>
          <cell r="C4" t="str">
            <v>תחזוקת דירה ותקשורת</v>
          </cell>
        </row>
        <row r="5">
          <cell r="B5" t="str">
            <v>מים</v>
          </cell>
          <cell r="C5" t="str">
            <v>תחזוקת דירה ותקשורת</v>
          </cell>
        </row>
        <row r="6">
          <cell r="B6" t="str">
            <v>חשמל</v>
          </cell>
          <cell r="C6" t="str">
            <v>תחזוקת דירה ותקשורת</v>
          </cell>
        </row>
        <row r="7">
          <cell r="B7" t="str">
            <v>גז/נפט</v>
          </cell>
          <cell r="C7" t="str">
            <v>תחזוקת דירה ותקשורת</v>
          </cell>
        </row>
        <row r="8">
          <cell r="B8" t="str">
            <v>טלפון (נייח)</v>
          </cell>
          <cell r="C8" t="str">
            <v>תחזוקת דירה ותקשורת</v>
          </cell>
        </row>
        <row r="9">
          <cell r="B9" t="str">
            <v>טלפונים ניידים</v>
          </cell>
          <cell r="C9" t="str">
            <v>תחזוקת דירה ותקשורת</v>
          </cell>
        </row>
        <row r="10">
          <cell r="B10" t="str">
            <v>ביוב</v>
          </cell>
          <cell r="C10" t="str">
            <v>תחזוקת דירה ותקשורת</v>
          </cell>
        </row>
        <row r="11">
          <cell r="B11" t="str">
            <v>כבלים</v>
          </cell>
          <cell r="C11" t="str">
            <v>תחזוקת דירה ותקשורת</v>
          </cell>
        </row>
        <row r="12">
          <cell r="B12" t="str">
            <v>אינטרנט</v>
          </cell>
          <cell r="C12" t="str">
            <v>תחזוקת דירה ותקשורת</v>
          </cell>
        </row>
        <row r="13">
          <cell r="B13" t="str">
            <v>ועד בית/ישוב</v>
          </cell>
          <cell r="C13" t="str">
            <v>תחזוקת דירה ותקשורת</v>
          </cell>
        </row>
        <row r="14">
          <cell r="B14" t="str">
            <v>עוזרת בית</v>
          </cell>
          <cell r="C14" t="str">
            <v>תחזוקת דירה ותקשורת</v>
          </cell>
        </row>
        <row r="15">
          <cell r="B15" t="str">
            <v>גינון</v>
          </cell>
          <cell r="C15" t="str">
            <v>תחזוקת דירה ותקשורת</v>
          </cell>
        </row>
        <row r="16">
          <cell r="B16" t="str">
            <v>ביטוח דירה</v>
          </cell>
          <cell r="C16" t="str">
            <v>תחזוקת דירה ותקשורת</v>
          </cell>
        </row>
        <row r="17">
          <cell r="B17" t="str">
            <v>רכישות לבית</v>
          </cell>
          <cell r="C17" t="str">
            <v>תחזוקת דירה ותקשורת</v>
          </cell>
        </row>
        <row r="18">
          <cell r="B18" t="str">
            <v>אחזקת בית ותיקונים</v>
          </cell>
          <cell r="C18" t="str">
            <v>תחזוקת דירה ותקשורת</v>
          </cell>
        </row>
        <row r="19">
          <cell r="B19" t="str">
            <v>מנויים דיגטליים</v>
          </cell>
          <cell r="C19" t="str">
            <v>תחזוקת דירה ותקשורת</v>
          </cell>
        </row>
        <row r="20">
          <cell r="B20" t="str">
            <v>בנייה</v>
          </cell>
          <cell r="C20" t="str">
            <v>תחזוקת דירה ותקשורת</v>
          </cell>
        </row>
        <row r="21">
          <cell r="B21" t="str">
            <v>מזון וטואלטיקה</v>
          </cell>
          <cell r="C21" t="str">
            <v>מזון וקניות</v>
          </cell>
        </row>
        <row r="22">
          <cell r="B22" t="str">
            <v>סיגריות</v>
          </cell>
          <cell r="C22" t="str">
            <v>מזון וקניות</v>
          </cell>
        </row>
        <row r="23">
          <cell r="B23" t="str">
            <v>טיפוח ויופי</v>
          </cell>
          <cell r="C23" t="str">
            <v>מזון וקניות</v>
          </cell>
        </row>
        <row r="24">
          <cell r="B24" t="str">
            <v>קוסמטיקה</v>
          </cell>
          <cell r="C24" t="str">
            <v>מזון וקניות</v>
          </cell>
        </row>
        <row r="25">
          <cell r="B25" t="str">
            <v>ביגוד והנעלה</v>
          </cell>
          <cell r="C25" t="str">
            <v>מזון וקניות</v>
          </cell>
        </row>
        <row r="26">
          <cell r="B26" t="str">
            <v>קניות שונות</v>
          </cell>
          <cell r="C26" t="str">
            <v>מזון וקניות</v>
          </cell>
        </row>
        <row r="27">
          <cell r="B27" t="str">
            <v>מזומן ללא מעקב</v>
          </cell>
          <cell r="C27" t="str">
            <v>מזון וקניות</v>
          </cell>
        </row>
        <row r="28">
          <cell r="B28" t="str">
            <v>בר מים</v>
          </cell>
          <cell r="C28" t="str">
            <v>מזון וקניות</v>
          </cell>
        </row>
        <row r="29">
          <cell r="B29" t="str">
            <v>מכשירים</v>
          </cell>
          <cell r="C29" t="str">
            <v>מזון וקניות</v>
          </cell>
        </row>
        <row r="30">
          <cell r="B30" t="str">
            <v>הוצאות לעסק</v>
          </cell>
          <cell r="C30" t="str">
            <v>מזון וקניות</v>
          </cell>
        </row>
        <row r="31">
          <cell r="B31" t="str">
            <v>מנויים</v>
          </cell>
          <cell r="C31" t="str">
            <v>מזון וקניות</v>
          </cell>
        </row>
        <row r="32">
          <cell r="B32" t="str">
            <v>תוכנות מחשב</v>
          </cell>
          <cell r="C32" t="str">
            <v>מזון וקניות</v>
          </cell>
        </row>
        <row r="33">
          <cell r="B33" t="str">
            <v>דלק</v>
          </cell>
          <cell r="C33" t="str">
            <v>רכב ונסיעות</v>
          </cell>
        </row>
        <row r="34">
          <cell r="B34" t="str">
            <v>טיפולים ותיקונים</v>
          </cell>
          <cell r="C34" t="str">
            <v>רכב ונסיעות</v>
          </cell>
        </row>
        <row r="35">
          <cell r="B35" t="str">
            <v>אגרות (כולל טסט)</v>
          </cell>
          <cell r="C35" t="str">
            <v>רכב ונסיעות</v>
          </cell>
        </row>
        <row r="36">
          <cell r="B36" t="str">
            <v>ביטוח רכב</v>
          </cell>
          <cell r="C36" t="str">
            <v>רכב ונסיעות</v>
          </cell>
        </row>
        <row r="37">
          <cell r="B37" t="str">
            <v>חניה</v>
          </cell>
          <cell r="C37" t="str">
            <v>רכב ונסיעות</v>
          </cell>
        </row>
        <row r="38">
          <cell r="B38" t="str">
            <v>מוניות</v>
          </cell>
          <cell r="C38" t="str">
            <v>רכב ונסיעות</v>
          </cell>
        </row>
        <row r="39">
          <cell r="B39" t="str">
            <v>רכישות לאוטו</v>
          </cell>
          <cell r="C39" t="str">
            <v>רכב ונסיעות</v>
          </cell>
        </row>
        <row r="40">
          <cell r="B40" t="str">
            <v>קנסות ותשלומים</v>
          </cell>
          <cell r="C40" t="str">
            <v>רכב ונסיעות</v>
          </cell>
        </row>
        <row r="41">
          <cell r="B41" t="str">
            <v>השכרת רכב</v>
          </cell>
          <cell r="C41" t="str">
            <v>רכב ונסיעות</v>
          </cell>
        </row>
        <row r="42">
          <cell r="B42" t="str">
            <v>תחבורה ציבורית</v>
          </cell>
          <cell r="C42" t="str">
            <v>רכב ונסיעות</v>
          </cell>
        </row>
        <row r="43">
          <cell r="B43" t="str">
            <v>אגרות כבישים</v>
          </cell>
          <cell r="C43" t="str">
            <v>רכב ונסיעות</v>
          </cell>
        </row>
        <row r="44">
          <cell r="B44" t="str">
            <v>אחר</v>
          </cell>
          <cell r="C44" t="str">
            <v>רכב ונסיעות</v>
          </cell>
        </row>
        <row r="45">
          <cell r="B45" t="str">
            <v>גנים</v>
          </cell>
          <cell r="C45" t="str">
            <v>ילדים וחינוך</v>
          </cell>
        </row>
        <row r="46">
          <cell r="B46" t="str">
            <v>בתי ספר</v>
          </cell>
          <cell r="C46" t="str">
            <v>ילדים וחינוך</v>
          </cell>
        </row>
        <row r="47">
          <cell r="B47" t="str">
            <v>אוניברסיטה</v>
          </cell>
          <cell r="C47" t="str">
            <v>ילדים וחינוך</v>
          </cell>
        </row>
        <row r="48">
          <cell r="B48" t="str">
            <v>ספרים ועזרי לימוד</v>
          </cell>
          <cell r="C48" t="str">
            <v>ילדים וחינוך</v>
          </cell>
        </row>
        <row r="49">
          <cell r="B49" t="str">
            <v>שיעורים פרטיים</v>
          </cell>
          <cell r="C49" t="str">
            <v>ילדים וחינוך</v>
          </cell>
        </row>
        <row r="50">
          <cell r="B50" t="str">
            <v>תחבורה ונסיעות</v>
          </cell>
          <cell r="C50" t="str">
            <v>ילדים וחינוך</v>
          </cell>
        </row>
        <row r="51">
          <cell r="B51" t="str">
            <v>חוגים וקייטנות</v>
          </cell>
          <cell r="C51" t="str">
            <v>ילדים וחינוך</v>
          </cell>
        </row>
        <row r="52">
          <cell r="B52" t="str">
            <v>מטפלת / שמרטף</v>
          </cell>
          <cell r="C52" t="str">
            <v>ילדים וחינוך</v>
          </cell>
        </row>
        <row r="53">
          <cell r="B53" t="str">
            <v>צעצועים ומתנות</v>
          </cell>
          <cell r="C53" t="str">
            <v>ילדים וחינוך</v>
          </cell>
        </row>
        <row r="54">
          <cell r="B54" t="str">
            <v>מוצרי תינוקות</v>
          </cell>
          <cell r="C54" t="str">
            <v>ילדים וחינוך</v>
          </cell>
        </row>
        <row r="55">
          <cell r="B55" t="str">
            <v>דמי כיס</v>
          </cell>
          <cell r="C55" t="str">
            <v>ילדים וחינוך</v>
          </cell>
        </row>
        <row r="56">
          <cell r="B56" t="str">
            <v>ריהוט ומצרכים</v>
          </cell>
          <cell r="C56" t="str">
            <v>ילדים וחינוך</v>
          </cell>
        </row>
        <row r="57">
          <cell r="B57" t="str">
            <v>אחר</v>
          </cell>
          <cell r="C57" t="str">
            <v>ילדים וחינוך</v>
          </cell>
        </row>
        <row r="58">
          <cell r="B58" t="str">
            <v>חופשות בחו"ל</v>
          </cell>
          <cell r="C58" t="str">
            <v>תרבות ופנאי</v>
          </cell>
        </row>
        <row r="59">
          <cell r="B59" t="str">
            <v>חופשות בארץ</v>
          </cell>
          <cell r="C59" t="str">
            <v>תרבות ופנאי</v>
          </cell>
        </row>
        <row r="60">
          <cell r="B60" t="str">
            <v>מועדוני ספורט ובריאות</v>
          </cell>
          <cell r="C60" t="str">
            <v>תרבות ופנאי</v>
          </cell>
        </row>
        <row r="61">
          <cell r="B61" t="str">
            <v>מסעדות ומשלוחים</v>
          </cell>
          <cell r="C61" t="str">
            <v>תרבות ופנאי</v>
          </cell>
        </row>
        <row r="62">
          <cell r="B62" t="str">
            <v>בילוים</v>
          </cell>
          <cell r="C62" t="str">
            <v>תרבות ופנאי</v>
          </cell>
        </row>
        <row r="63">
          <cell r="B63" t="str">
            <v>בילוים בחו"ל</v>
          </cell>
          <cell r="C63" t="str">
            <v>תרבות ופנאי</v>
          </cell>
        </row>
        <row r="64">
          <cell r="B64" t="str">
            <v>אוכל יניב</v>
          </cell>
          <cell r="C64" t="str">
            <v>תרבות ופנאי</v>
          </cell>
        </row>
        <row r="65">
          <cell r="B65" t="str">
            <v>אוכל לילי</v>
          </cell>
          <cell r="C65" t="str">
            <v>תרבות ופנאי</v>
          </cell>
        </row>
        <row r="66">
          <cell r="B66" t="str">
            <v>עיתונים ומנויים שונים</v>
          </cell>
          <cell r="C66" t="str">
            <v>תרבות ופנאי</v>
          </cell>
        </row>
        <row r="67">
          <cell r="B67" t="str">
            <v>אירועים ומתנות</v>
          </cell>
          <cell r="C67" t="str">
            <v>תרבות ופנאי</v>
          </cell>
        </row>
        <row r="68">
          <cell r="B68" t="str">
            <v>לימודים וקורסים</v>
          </cell>
          <cell r="C68" t="str">
            <v>תרבות ופנאי</v>
          </cell>
        </row>
        <row r="69">
          <cell r="B69" t="str">
            <v>אחר</v>
          </cell>
          <cell r="C69" t="str">
            <v>תרבות ופנאי</v>
          </cell>
        </row>
        <row r="70">
          <cell r="B70" t="str">
            <v>אחר</v>
          </cell>
          <cell r="C70" t="str">
            <v>תרבות ופנאי</v>
          </cell>
        </row>
        <row r="71">
          <cell r="B71" t="str">
            <v>קופ"ח + משלים</v>
          </cell>
          <cell r="C71" t="str">
            <v>בריאות וטיפולים</v>
          </cell>
        </row>
        <row r="72">
          <cell r="B72" t="str">
            <v>ביטוח בריאות פרטי</v>
          </cell>
          <cell r="C72" t="str">
            <v>בריאות וטיפולים</v>
          </cell>
        </row>
        <row r="73">
          <cell r="B73" t="str">
            <v>רופאים מקצועיים</v>
          </cell>
          <cell r="C73" t="str">
            <v>בריאות וטיפולים</v>
          </cell>
        </row>
        <row r="74">
          <cell r="B74" t="str">
            <v>תרופות</v>
          </cell>
          <cell r="C74" t="str">
            <v>בריאות וטיפולים</v>
          </cell>
        </row>
        <row r="75">
          <cell r="B75" t="str">
            <v>טיפול</v>
          </cell>
          <cell r="C75" t="str">
            <v>בריאות וטיפולים</v>
          </cell>
        </row>
        <row r="76">
          <cell r="B76" t="str">
            <v>ביטוח חו"ל</v>
          </cell>
          <cell r="C76" t="str">
            <v>בריאות וטיפולים</v>
          </cell>
        </row>
        <row r="77">
          <cell r="B77" t="str">
            <v>תוכניות חסכון</v>
          </cell>
          <cell r="C77" t="str">
            <v>ביטוחים ופיננסים</v>
          </cell>
        </row>
        <row r="78">
          <cell r="B78" t="str">
            <v>קופות גמל</v>
          </cell>
          <cell r="C78" t="str">
            <v>ביטוחים ופיננסים</v>
          </cell>
        </row>
        <row r="79">
          <cell r="B79" t="str">
            <v>ניירות ערך</v>
          </cell>
          <cell r="C79" t="str">
            <v>ביטוחים ופיננסים</v>
          </cell>
        </row>
        <row r="80">
          <cell r="B80" t="str">
            <v>ביטוחי חיים (ריסק)</v>
          </cell>
          <cell r="C80" t="str">
            <v>ביטוחים ופיננסים</v>
          </cell>
        </row>
        <row r="81">
          <cell r="B81" t="str">
            <v>ביטוחים אחרים</v>
          </cell>
          <cell r="C81" t="str">
            <v>ביטוחים ופיננסים</v>
          </cell>
        </row>
        <row r="82">
          <cell r="B82" t="str">
            <v>החזר הלוואות</v>
          </cell>
          <cell r="C82" t="str">
            <v>ביטוחים ופיננסים</v>
          </cell>
        </row>
        <row r="83">
          <cell r="B83" t="str">
            <v>עמלות</v>
          </cell>
          <cell r="C83" t="str">
            <v>ביטוחים ופיננסים</v>
          </cell>
        </row>
        <row r="84">
          <cell r="B84" t="str">
            <v>ריבית עו"ש</v>
          </cell>
          <cell r="C84" t="str">
            <v>ביטוחים ופיננסים</v>
          </cell>
        </row>
        <row r="85">
          <cell r="B85" t="str">
            <v>תרומות</v>
          </cell>
          <cell r="C85" t="str">
            <v>ביטוחים ופיננסים</v>
          </cell>
        </row>
        <row r="86">
          <cell r="B86" t="str">
            <v>מע"מ</v>
          </cell>
          <cell r="C86" t="str">
            <v>עסק</v>
          </cell>
        </row>
        <row r="87">
          <cell r="B87" t="str">
            <v>מס הכנסה</v>
          </cell>
          <cell r="C87" t="str">
            <v>עסק</v>
          </cell>
        </row>
        <row r="88">
          <cell r="B88" t="str">
            <v>קרן השתלמות</v>
          </cell>
          <cell r="C88" t="str">
            <v>עסק</v>
          </cell>
        </row>
        <row r="89">
          <cell r="B89" t="str">
            <v>פנסיה</v>
          </cell>
          <cell r="C89" t="str">
            <v>עסק</v>
          </cell>
        </row>
        <row r="90">
          <cell r="B90" t="str">
            <v>ביטוח לאומי</v>
          </cell>
          <cell r="C90" t="str">
            <v>עסק</v>
          </cell>
        </row>
        <row r="91">
          <cell r="B91" t="str">
            <v>רו"ח</v>
          </cell>
          <cell r="C91" t="str">
            <v>עסק</v>
          </cell>
        </row>
        <row r="92">
          <cell r="B92" t="str">
            <v>שיווק</v>
          </cell>
          <cell r="C92" t="str">
            <v>עסק</v>
          </cell>
        </row>
        <row r="93">
          <cell r="B93" t="str">
            <v>הוצאות שוטפות</v>
          </cell>
          <cell r="C93" t="str">
            <v>עסק</v>
          </cell>
        </row>
        <row r="94">
          <cell r="B94" t="str">
            <v>רכישות לעסק</v>
          </cell>
          <cell r="C94" t="str">
            <v>עסק</v>
          </cell>
        </row>
        <row r="95">
          <cell r="B95" t="str">
            <v>משכורת</v>
          </cell>
          <cell r="C95" t="str">
            <v>עסק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  <sheetName val="פרטים"/>
      <sheetName val="Data"/>
      <sheetName val="נכסים והתחיבויות"/>
      <sheetName val="12-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עוגה"/>
      <sheetName val="גרף"/>
      <sheetName val="עסק"/>
      <sheetName val="פקדונות"/>
      <sheetName val="הוצאות חודשיות"/>
      <sheetName val="ממוצע ורצוי"/>
      <sheetName val="יומי"/>
      <sheetName val="הוצאות עתידיות"/>
      <sheetName val="מיפוי מצב"/>
      <sheetName val="טבלת הוצא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5">
          <cell r="B65">
            <v>8570.3700000000008</v>
          </cell>
          <cell r="C65">
            <v>9034.1953896103896</v>
          </cell>
          <cell r="D65">
            <v>463.82538961038881</v>
          </cell>
          <cell r="E65">
            <v>0</v>
          </cell>
        </row>
        <row r="66">
          <cell r="B66">
            <v>8682.24</v>
          </cell>
          <cell r="C66">
            <v>4920.9107802128428</v>
          </cell>
          <cell r="D66">
            <v>0</v>
          </cell>
          <cell r="E66">
            <v>3761.3292197871569</v>
          </cell>
        </row>
        <row r="67">
          <cell r="B67">
            <v>1998.22</v>
          </cell>
          <cell r="C67">
            <v>2760</v>
          </cell>
          <cell r="D67">
            <v>761.78</v>
          </cell>
          <cell r="E67">
            <v>0</v>
          </cell>
        </row>
        <row r="68">
          <cell r="B68">
            <v>4250</v>
          </cell>
          <cell r="C68">
            <v>5141.7602545695045</v>
          </cell>
          <cell r="D68">
            <v>891.76025456950447</v>
          </cell>
          <cell r="E68">
            <v>0</v>
          </cell>
        </row>
        <row r="69">
          <cell r="B69">
            <v>2070.5099999999998</v>
          </cell>
          <cell r="C69">
            <v>1900</v>
          </cell>
          <cell r="D69">
            <v>0</v>
          </cell>
          <cell r="E69">
            <v>170.50999999999976</v>
          </cell>
        </row>
        <row r="70">
          <cell r="B70">
            <v>760.34</v>
          </cell>
          <cell r="C70">
            <v>870</v>
          </cell>
          <cell r="D70">
            <v>109.65999999999997</v>
          </cell>
          <cell r="E70">
            <v>0</v>
          </cell>
        </row>
        <row r="71">
          <cell r="B71">
            <v>2193.08</v>
          </cell>
          <cell r="C71">
            <v>2970</v>
          </cell>
          <cell r="D71">
            <v>776.92000000000007</v>
          </cell>
          <cell r="E71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  <sheetName val="פרטים"/>
      <sheetName val="Data"/>
      <sheetName val="נכסים והתחיבויות"/>
      <sheetName val="11.19"/>
      <sheetName val="12.19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עוגה"/>
      <sheetName val="גרף"/>
      <sheetName val="11"/>
      <sheetName val="12"/>
      <sheetName val="עסק"/>
      <sheetName val="פירוט עסקי"/>
      <sheetName val="פקדונות"/>
      <sheetName val="מיפוי מצב"/>
      <sheetName val="הוצאות חודשיות"/>
      <sheetName val="סל הוצאות"/>
      <sheetName val="ממוצע ורצוי"/>
      <sheetName val="יומי"/>
      <sheetName val="הוצאות עתידיות"/>
      <sheetName val="טבלת הוצא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5">
          <cell r="B65">
            <v>7676.4200000000019</v>
          </cell>
          <cell r="C65">
            <v>9034.1953896103896</v>
          </cell>
          <cell r="D65">
            <v>1357.7753896103877</v>
          </cell>
          <cell r="E65">
            <v>0</v>
          </cell>
        </row>
        <row r="66">
          <cell r="B66">
            <v>9158.91</v>
          </cell>
          <cell r="C66">
            <v>4920.9107802128428</v>
          </cell>
          <cell r="D66">
            <v>0</v>
          </cell>
          <cell r="E66">
            <v>4237.999219787157</v>
          </cell>
        </row>
        <row r="67">
          <cell r="B67">
            <v>3522</v>
          </cell>
          <cell r="C67">
            <v>2760</v>
          </cell>
          <cell r="D67">
            <v>0</v>
          </cell>
          <cell r="E67">
            <v>762</v>
          </cell>
        </row>
        <row r="68">
          <cell r="B68">
            <v>4047</v>
          </cell>
          <cell r="C68">
            <v>5141.7602545695045</v>
          </cell>
          <cell r="D68">
            <v>1094.7602545695045</v>
          </cell>
          <cell r="E68">
            <v>0</v>
          </cell>
        </row>
        <row r="69">
          <cell r="B69">
            <v>929.4799999999999</v>
          </cell>
          <cell r="C69">
            <v>1900</v>
          </cell>
          <cell r="D69">
            <v>970.5200000000001</v>
          </cell>
          <cell r="E69">
            <v>0</v>
          </cell>
        </row>
        <row r="70">
          <cell r="B70">
            <v>1123.1599999999999</v>
          </cell>
          <cell r="C70">
            <v>870</v>
          </cell>
          <cell r="D70">
            <v>0</v>
          </cell>
          <cell r="E70">
            <v>253.15999999999985</v>
          </cell>
        </row>
        <row r="71">
          <cell r="B71">
            <v>1490.51</v>
          </cell>
          <cell r="C71">
            <v>2970</v>
          </cell>
          <cell r="D71">
            <v>1479.49</v>
          </cell>
          <cell r="E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ly Sigalit Drimmer Kramer" id="{3E0DDB10-AFF6-4EAA-BF1E-C886A9608CCE}" userId="ed8296bd6cdb6d72" providerId="Windows Live"/>
</personList>
</file>

<file path=xl/theme/theme1.xml><?xml version="1.0" encoding="utf-8"?>
<a:theme xmlns:a="http://schemas.openxmlformats.org/drawingml/2006/main" name="Office Theme">
  <a:themeElements>
    <a:clrScheme name="Custom 1">
      <a:dk1>
        <a:srgbClr val="162752"/>
      </a:dk1>
      <a:lt1>
        <a:sysClr val="window" lastClr="FFFFFF"/>
      </a:lt1>
      <a:dk2>
        <a:srgbClr val="405D89"/>
      </a:dk2>
      <a:lt2>
        <a:srgbClr val="E5D7D7"/>
      </a:lt2>
      <a:accent1>
        <a:srgbClr val="E18A81"/>
      </a:accent1>
      <a:accent2>
        <a:srgbClr val="85B1BE"/>
      </a:accent2>
      <a:accent3>
        <a:srgbClr val="E2958B"/>
      </a:accent3>
      <a:accent4>
        <a:srgbClr val="A6CBCE"/>
      </a:accent4>
      <a:accent5>
        <a:srgbClr val="162752"/>
      </a:accent5>
      <a:accent6>
        <a:srgbClr val="405D89"/>
      </a:accent6>
      <a:hlink>
        <a:srgbClr val="85B1BE"/>
      </a:hlink>
      <a:folHlink>
        <a:srgbClr val="E18A81"/>
      </a:folHlink>
    </a:clrScheme>
    <a:fontScheme name="Restart">
      <a:majorFont>
        <a:latin typeface="Open Sans Hebrew"/>
        <a:ea typeface=""/>
        <a:cs typeface="Open Sans Hebrew"/>
      </a:majorFont>
      <a:minorFont>
        <a:latin typeface="Open Sans Hebrew"/>
        <a:ea typeface=""/>
        <a:cs typeface="Open Sans Hebr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11-17T11:26:33.29" personId="{3E0DDB10-AFF6-4EAA-BF1E-C886A9608CCE}" id="{08399451-B676-4941-B860-DF37F96795B0}">
    <text>שעבוד של 5000 שח על הפקדון - 10250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1"/>
  <sheetViews>
    <sheetView rightToLeft="1" topLeftCell="A11" zoomScale="86" zoomScaleNormal="86" workbookViewId="0">
      <selection activeCell="B32" sqref="B32"/>
    </sheetView>
  </sheetViews>
  <sheetFormatPr defaultRowHeight="12.75"/>
  <cols>
    <col min="1" max="1" width="9.28515625" bestFit="1" customWidth="1"/>
    <col min="2" max="2" width="27.42578125" bestFit="1" customWidth="1"/>
    <col min="3" max="4" width="17.7109375" bestFit="1" customWidth="1"/>
    <col min="5" max="6" width="19.28515625" bestFit="1" customWidth="1"/>
    <col min="7" max="7" width="19.7109375" bestFit="1" customWidth="1"/>
    <col min="8" max="8" width="22" bestFit="1" customWidth="1"/>
    <col min="9" max="9" width="23.28515625" bestFit="1" customWidth="1"/>
    <col min="10" max="10" width="12.7109375" bestFit="1" customWidth="1"/>
    <col min="13" max="13" width="30.7109375" style="136" bestFit="1" customWidth="1"/>
  </cols>
  <sheetData>
    <row r="1" spans="1:13">
      <c r="A1" t="s">
        <v>427</v>
      </c>
      <c r="B1" t="s">
        <v>65</v>
      </c>
      <c r="C1" t="s">
        <v>89</v>
      </c>
      <c r="D1" t="s">
        <v>89</v>
      </c>
      <c r="E1" t="s">
        <v>98</v>
      </c>
      <c r="F1" t="s">
        <v>105</v>
      </c>
      <c r="G1" t="s">
        <v>117</v>
      </c>
      <c r="H1" t="s">
        <v>125</v>
      </c>
      <c r="I1" t="s">
        <v>130</v>
      </c>
      <c r="J1" t="s">
        <v>325</v>
      </c>
      <c r="M1" t="s">
        <v>68</v>
      </c>
    </row>
    <row r="2" spans="1:13">
      <c r="A2" t="s">
        <v>165</v>
      </c>
      <c r="B2" s="211" t="s">
        <v>68</v>
      </c>
      <c r="C2" t="s">
        <v>426</v>
      </c>
      <c r="D2" t="s">
        <v>426</v>
      </c>
      <c r="E2" t="s">
        <v>99</v>
      </c>
      <c r="F2" t="s">
        <v>106</v>
      </c>
      <c r="G2" t="s">
        <v>118</v>
      </c>
      <c r="H2" t="s">
        <v>126</v>
      </c>
      <c r="I2" t="s">
        <v>176</v>
      </c>
      <c r="J2" t="s">
        <v>326</v>
      </c>
      <c r="M2" t="s">
        <v>69</v>
      </c>
    </row>
    <row r="3" spans="1:13">
      <c r="A3" t="s">
        <v>166</v>
      </c>
      <c r="B3" s="211" t="s">
        <v>69</v>
      </c>
      <c r="C3" t="s">
        <v>426</v>
      </c>
      <c r="D3" t="s">
        <v>425</v>
      </c>
      <c r="E3" t="s">
        <v>100</v>
      </c>
      <c r="F3" t="s">
        <v>107</v>
      </c>
      <c r="G3" t="s">
        <v>119</v>
      </c>
      <c r="H3" t="s">
        <v>127</v>
      </c>
      <c r="I3" t="s">
        <v>131</v>
      </c>
      <c r="J3" t="s">
        <v>327</v>
      </c>
      <c r="M3" t="s">
        <v>70</v>
      </c>
    </row>
    <row r="4" spans="1:13">
      <c r="A4" t="s">
        <v>167</v>
      </c>
      <c r="B4" s="211" t="s">
        <v>70</v>
      </c>
      <c r="C4" t="s">
        <v>426</v>
      </c>
      <c r="D4" t="s">
        <v>424</v>
      </c>
      <c r="E4" t="s">
        <v>101</v>
      </c>
      <c r="F4" t="s">
        <v>311</v>
      </c>
      <c r="G4" t="s">
        <v>120</v>
      </c>
      <c r="H4" t="s">
        <v>128</v>
      </c>
      <c r="I4" t="s">
        <v>132</v>
      </c>
      <c r="J4" t="s">
        <v>236</v>
      </c>
      <c r="M4" t="s">
        <v>71</v>
      </c>
    </row>
    <row r="5" spans="1:13">
      <c r="A5" t="s">
        <v>168</v>
      </c>
      <c r="B5" s="211" t="s">
        <v>71</v>
      </c>
      <c r="C5" t="s">
        <v>426</v>
      </c>
      <c r="D5" t="s">
        <v>423</v>
      </c>
      <c r="E5" t="s">
        <v>102</v>
      </c>
      <c r="F5" t="s">
        <v>108</v>
      </c>
      <c r="G5" t="s">
        <v>276</v>
      </c>
      <c r="H5" t="s">
        <v>129</v>
      </c>
      <c r="I5" t="s">
        <v>133</v>
      </c>
      <c r="J5" t="s">
        <v>328</v>
      </c>
      <c r="M5" t="s">
        <v>73</v>
      </c>
    </row>
    <row r="6" spans="1:13">
      <c r="A6" t="s">
        <v>177</v>
      </c>
      <c r="B6" s="211" t="s">
        <v>73</v>
      </c>
      <c r="C6" t="s">
        <v>426</v>
      </c>
      <c r="D6" t="s">
        <v>422</v>
      </c>
      <c r="E6" t="s">
        <v>103</v>
      </c>
      <c r="F6" t="s">
        <v>109</v>
      </c>
      <c r="G6" t="s">
        <v>121</v>
      </c>
      <c r="H6" t="s">
        <v>317</v>
      </c>
      <c r="I6" t="s">
        <v>134</v>
      </c>
      <c r="J6" t="s">
        <v>329</v>
      </c>
      <c r="M6" t="s">
        <v>74</v>
      </c>
    </row>
    <row r="7" spans="1:13">
      <c r="A7" t="s">
        <v>178</v>
      </c>
      <c r="B7" s="211" t="s">
        <v>74</v>
      </c>
      <c r="C7" t="s">
        <v>426</v>
      </c>
      <c r="D7" t="s">
        <v>421</v>
      </c>
      <c r="E7" t="s">
        <v>138</v>
      </c>
      <c r="F7" t="s">
        <v>110</v>
      </c>
      <c r="G7" t="s">
        <v>139</v>
      </c>
      <c r="H7" t="s">
        <v>8</v>
      </c>
      <c r="I7" t="s">
        <v>135</v>
      </c>
      <c r="J7" t="s">
        <v>330</v>
      </c>
      <c r="M7" t="s">
        <v>75</v>
      </c>
    </row>
    <row r="8" spans="1:13">
      <c r="A8" t="s">
        <v>169</v>
      </c>
      <c r="B8" s="211" t="s">
        <v>75</v>
      </c>
      <c r="C8" t="s">
        <v>426</v>
      </c>
      <c r="D8" t="s">
        <v>420</v>
      </c>
      <c r="E8" t="s">
        <v>104</v>
      </c>
      <c r="F8" t="s">
        <v>111</v>
      </c>
      <c r="G8" t="s">
        <v>140</v>
      </c>
      <c r="I8" t="s">
        <v>19</v>
      </c>
      <c r="J8" t="s">
        <v>331</v>
      </c>
      <c r="M8" t="s">
        <v>76</v>
      </c>
    </row>
    <row r="9" spans="1:13">
      <c r="A9" t="s">
        <v>170</v>
      </c>
      <c r="B9" s="211" t="s">
        <v>76</v>
      </c>
      <c r="C9" t="s">
        <v>426</v>
      </c>
      <c r="D9" t="s">
        <v>339</v>
      </c>
      <c r="E9" t="s">
        <v>278</v>
      </c>
      <c r="F9" t="s">
        <v>112</v>
      </c>
      <c r="G9" t="s">
        <v>122</v>
      </c>
      <c r="I9" t="s">
        <v>308</v>
      </c>
      <c r="J9" t="s">
        <v>332</v>
      </c>
      <c r="M9" t="s">
        <v>298</v>
      </c>
    </row>
    <row r="10" spans="1:13">
      <c r="A10" t="s">
        <v>171</v>
      </c>
      <c r="B10" s="211" t="s">
        <v>298</v>
      </c>
      <c r="C10" t="s">
        <v>426</v>
      </c>
      <c r="E10" t="s">
        <v>280</v>
      </c>
      <c r="F10" t="s">
        <v>113</v>
      </c>
      <c r="G10" t="s">
        <v>123</v>
      </c>
      <c r="I10" t="s">
        <v>309</v>
      </c>
      <c r="J10" t="s">
        <v>333</v>
      </c>
      <c r="M10" t="s">
        <v>77</v>
      </c>
    </row>
    <row r="11" spans="1:13">
      <c r="A11" t="s">
        <v>172</v>
      </c>
      <c r="B11" s="211" t="s">
        <v>77</v>
      </c>
      <c r="C11" t="s">
        <v>426</v>
      </c>
      <c r="E11" t="s">
        <v>281</v>
      </c>
      <c r="F11" t="s">
        <v>114</v>
      </c>
      <c r="G11" t="s">
        <v>124</v>
      </c>
      <c r="J11" t="s">
        <v>335</v>
      </c>
      <c r="M11" t="s">
        <v>79</v>
      </c>
    </row>
    <row r="12" spans="1:13">
      <c r="A12" t="s">
        <v>399</v>
      </c>
      <c r="B12" s="211" t="s">
        <v>79</v>
      </c>
      <c r="C12" t="s">
        <v>426</v>
      </c>
      <c r="E12" t="s">
        <v>310</v>
      </c>
      <c r="F12" t="s">
        <v>115</v>
      </c>
      <c r="G12" t="s">
        <v>282</v>
      </c>
      <c r="M12" t="s">
        <v>81</v>
      </c>
    </row>
    <row r="13" spans="1:13">
      <c r="A13" t="s">
        <v>400</v>
      </c>
      <c r="B13" s="211" t="s">
        <v>81</v>
      </c>
      <c r="C13" t="s">
        <v>426</v>
      </c>
      <c r="E13" t="s">
        <v>8</v>
      </c>
      <c r="F13" t="s">
        <v>116</v>
      </c>
      <c r="G13" t="s">
        <v>8</v>
      </c>
      <c r="M13" t="s">
        <v>83</v>
      </c>
    </row>
    <row r="14" spans="1:13">
      <c r="A14" t="s">
        <v>20</v>
      </c>
      <c r="B14" s="211" t="s">
        <v>83</v>
      </c>
      <c r="C14" t="s">
        <v>426</v>
      </c>
      <c r="F14" t="s">
        <v>8</v>
      </c>
      <c r="G14" t="s">
        <v>8</v>
      </c>
      <c r="M14" t="s">
        <v>85</v>
      </c>
    </row>
    <row r="15" spans="1:13">
      <c r="A15" t="s">
        <v>21</v>
      </c>
      <c r="B15" s="211" t="s">
        <v>85</v>
      </c>
      <c r="C15" t="s">
        <v>426</v>
      </c>
      <c r="M15" t="s">
        <v>86</v>
      </c>
    </row>
    <row r="16" spans="1:13">
      <c r="A16" t="s">
        <v>173</v>
      </c>
      <c r="B16" s="211" t="s">
        <v>86</v>
      </c>
      <c r="C16" t="s">
        <v>426</v>
      </c>
      <c r="M16" t="s">
        <v>87</v>
      </c>
    </row>
    <row r="17" spans="1:13">
      <c r="A17" t="s">
        <v>174</v>
      </c>
      <c r="B17" s="211" t="s">
        <v>87</v>
      </c>
      <c r="C17" t="s">
        <v>426</v>
      </c>
      <c r="M17" t="s">
        <v>306</v>
      </c>
    </row>
    <row r="18" spans="1:13">
      <c r="A18" t="s">
        <v>179</v>
      </c>
      <c r="B18" s="211" t="s">
        <v>306</v>
      </c>
      <c r="C18" t="s">
        <v>426</v>
      </c>
      <c r="M18" t="s">
        <v>307</v>
      </c>
    </row>
    <row r="19" spans="1:13">
      <c r="A19" t="s">
        <v>180</v>
      </c>
      <c r="B19" s="211" t="s">
        <v>307</v>
      </c>
      <c r="C19" t="s">
        <v>426</v>
      </c>
      <c r="M19" t="s">
        <v>8</v>
      </c>
    </row>
    <row r="20" spans="1:13" ht="13.5" thickBot="1">
      <c r="A20" t="s">
        <v>353</v>
      </c>
      <c r="B20" s="211" t="s">
        <v>374</v>
      </c>
      <c r="C20" t="s">
        <v>426</v>
      </c>
      <c r="M20" s="58" t="s">
        <v>254</v>
      </c>
    </row>
    <row r="21" spans="1:13">
      <c r="A21" t="s">
        <v>352</v>
      </c>
      <c r="B21" t="s">
        <v>91</v>
      </c>
      <c r="C21" t="s">
        <v>425</v>
      </c>
      <c r="M21" t="s">
        <v>91</v>
      </c>
    </row>
    <row r="22" spans="1:13">
      <c r="A22" t="s">
        <v>209</v>
      </c>
      <c r="B22" t="s">
        <v>92</v>
      </c>
      <c r="C22" t="s">
        <v>425</v>
      </c>
      <c r="M22" t="s">
        <v>92</v>
      </c>
    </row>
    <row r="23" spans="1:13">
      <c r="A23" t="s">
        <v>187</v>
      </c>
      <c r="B23" t="s">
        <v>93</v>
      </c>
      <c r="C23" t="s">
        <v>425</v>
      </c>
      <c r="M23" t="s">
        <v>93</v>
      </c>
    </row>
    <row r="24" spans="1:13">
      <c r="A24" t="s">
        <v>312</v>
      </c>
      <c r="B24" t="s">
        <v>94</v>
      </c>
      <c r="C24" t="s">
        <v>425</v>
      </c>
      <c r="M24" t="s">
        <v>94</v>
      </c>
    </row>
    <row r="25" spans="1:13">
      <c r="B25" t="s">
        <v>95</v>
      </c>
      <c r="C25" t="s">
        <v>425</v>
      </c>
      <c r="M25" t="s">
        <v>95</v>
      </c>
    </row>
    <row r="26" spans="1:13">
      <c r="B26" t="s">
        <v>96</v>
      </c>
      <c r="C26" t="s">
        <v>425</v>
      </c>
      <c r="M26" t="s">
        <v>96</v>
      </c>
    </row>
    <row r="27" spans="1:13">
      <c r="B27" t="s">
        <v>97</v>
      </c>
      <c r="C27" t="s">
        <v>425</v>
      </c>
      <c r="M27" t="s">
        <v>97</v>
      </c>
    </row>
    <row r="28" spans="1:13">
      <c r="B28" t="s">
        <v>277</v>
      </c>
      <c r="C28" t="s">
        <v>425</v>
      </c>
      <c r="M28" t="s">
        <v>277</v>
      </c>
    </row>
    <row r="29" spans="1:13">
      <c r="B29" t="s">
        <v>279</v>
      </c>
      <c r="C29" t="s">
        <v>425</v>
      </c>
      <c r="M29" t="s">
        <v>279</v>
      </c>
    </row>
    <row r="30" spans="1:13">
      <c r="B30" t="s">
        <v>275</v>
      </c>
      <c r="C30" t="s">
        <v>425</v>
      </c>
      <c r="M30" t="s">
        <v>275</v>
      </c>
    </row>
    <row r="31" spans="1:13">
      <c r="B31" t="s">
        <v>406</v>
      </c>
      <c r="C31" t="s">
        <v>425</v>
      </c>
      <c r="M31" t="s">
        <v>8</v>
      </c>
    </row>
    <row r="32" spans="1:13">
      <c r="B32" t="s">
        <v>432</v>
      </c>
      <c r="C32" t="s">
        <v>425</v>
      </c>
      <c r="M32" t="s">
        <v>8</v>
      </c>
    </row>
    <row r="33" spans="2:13" ht="13.5" thickBot="1">
      <c r="B33" s="211" t="s">
        <v>99</v>
      </c>
      <c r="C33" t="s">
        <v>424</v>
      </c>
      <c r="M33" s="58" t="s">
        <v>255</v>
      </c>
    </row>
    <row r="34" spans="2:13">
      <c r="B34" s="211" t="s">
        <v>100</v>
      </c>
      <c r="C34" t="s">
        <v>424</v>
      </c>
      <c r="M34" t="s">
        <v>99</v>
      </c>
    </row>
    <row r="35" spans="2:13">
      <c r="B35" s="211" t="s">
        <v>101</v>
      </c>
      <c r="C35" t="s">
        <v>424</v>
      </c>
      <c r="M35" t="s">
        <v>100</v>
      </c>
    </row>
    <row r="36" spans="2:13">
      <c r="B36" s="211" t="s">
        <v>102</v>
      </c>
      <c r="C36" t="s">
        <v>424</v>
      </c>
      <c r="M36" t="s">
        <v>101</v>
      </c>
    </row>
    <row r="37" spans="2:13">
      <c r="B37" s="211" t="s">
        <v>103</v>
      </c>
      <c r="C37" t="s">
        <v>424</v>
      </c>
      <c r="M37" t="s">
        <v>102</v>
      </c>
    </row>
    <row r="38" spans="2:13">
      <c r="B38" s="211" t="s">
        <v>138</v>
      </c>
      <c r="C38" t="s">
        <v>424</v>
      </c>
      <c r="M38" t="s">
        <v>103</v>
      </c>
    </row>
    <row r="39" spans="2:13">
      <c r="B39" s="211" t="s">
        <v>104</v>
      </c>
      <c r="C39" t="s">
        <v>424</v>
      </c>
      <c r="M39" t="s">
        <v>138</v>
      </c>
    </row>
    <row r="40" spans="2:13">
      <c r="B40" s="211" t="s">
        <v>278</v>
      </c>
      <c r="C40" t="s">
        <v>424</v>
      </c>
      <c r="M40" t="s">
        <v>104</v>
      </c>
    </row>
    <row r="41" spans="2:13">
      <c r="B41" s="211" t="s">
        <v>280</v>
      </c>
      <c r="C41" t="s">
        <v>424</v>
      </c>
      <c r="M41" t="s">
        <v>278</v>
      </c>
    </row>
    <row r="42" spans="2:13">
      <c r="B42" s="211" t="s">
        <v>281</v>
      </c>
      <c r="C42" t="s">
        <v>424</v>
      </c>
      <c r="M42" t="s">
        <v>280</v>
      </c>
    </row>
    <row r="43" spans="2:13">
      <c r="B43" s="211" t="s">
        <v>310</v>
      </c>
      <c r="C43" t="s">
        <v>424</v>
      </c>
      <c r="M43" t="s">
        <v>281</v>
      </c>
    </row>
    <row r="44" spans="2:13">
      <c r="B44" s="211" t="s">
        <v>8</v>
      </c>
      <c r="C44" t="s">
        <v>424</v>
      </c>
      <c r="M44" t="s">
        <v>310</v>
      </c>
    </row>
    <row r="45" spans="2:13">
      <c r="B45" t="s">
        <v>106</v>
      </c>
      <c r="C45" t="s">
        <v>423</v>
      </c>
      <c r="M45" t="s">
        <v>8</v>
      </c>
    </row>
    <row r="46" spans="2:13" ht="13.5" thickBot="1">
      <c r="B46" t="s">
        <v>107</v>
      </c>
      <c r="C46" t="s">
        <v>423</v>
      </c>
      <c r="M46" s="65" t="s">
        <v>256</v>
      </c>
    </row>
    <row r="47" spans="2:13">
      <c r="B47" t="s">
        <v>311</v>
      </c>
      <c r="C47" t="s">
        <v>423</v>
      </c>
      <c r="M47" t="s">
        <v>106</v>
      </c>
    </row>
    <row r="48" spans="2:13">
      <c r="B48" t="s">
        <v>108</v>
      </c>
      <c r="C48" t="s">
        <v>423</v>
      </c>
      <c r="M48" t="s">
        <v>107</v>
      </c>
    </row>
    <row r="49" spans="2:13">
      <c r="B49" t="s">
        <v>109</v>
      </c>
      <c r="C49" t="s">
        <v>423</v>
      </c>
      <c r="M49" t="s">
        <v>311</v>
      </c>
    </row>
    <row r="50" spans="2:13">
      <c r="B50" t="s">
        <v>110</v>
      </c>
      <c r="C50" t="s">
        <v>423</v>
      </c>
      <c r="M50" t="s">
        <v>108</v>
      </c>
    </row>
    <row r="51" spans="2:13">
      <c r="B51" t="s">
        <v>111</v>
      </c>
      <c r="C51" t="s">
        <v>423</v>
      </c>
      <c r="M51" t="s">
        <v>109</v>
      </c>
    </row>
    <row r="52" spans="2:13">
      <c r="B52" t="s">
        <v>112</v>
      </c>
      <c r="C52" t="s">
        <v>423</v>
      </c>
      <c r="M52" t="s">
        <v>110</v>
      </c>
    </row>
    <row r="53" spans="2:13">
      <c r="B53" t="s">
        <v>113</v>
      </c>
      <c r="C53" t="s">
        <v>423</v>
      </c>
      <c r="M53" t="s">
        <v>111</v>
      </c>
    </row>
    <row r="54" spans="2:13">
      <c r="B54" t="s">
        <v>114</v>
      </c>
      <c r="C54" t="s">
        <v>423</v>
      </c>
      <c r="M54" t="s">
        <v>112</v>
      </c>
    </row>
    <row r="55" spans="2:13">
      <c r="B55" t="s">
        <v>115</v>
      </c>
      <c r="C55" t="s">
        <v>423</v>
      </c>
      <c r="M55" t="s">
        <v>113</v>
      </c>
    </row>
    <row r="56" spans="2:13">
      <c r="B56" t="s">
        <v>116</v>
      </c>
      <c r="C56" t="s">
        <v>423</v>
      </c>
      <c r="M56" t="s">
        <v>114</v>
      </c>
    </row>
    <row r="57" spans="2:13">
      <c r="B57" t="s">
        <v>8</v>
      </c>
      <c r="C57" t="s">
        <v>423</v>
      </c>
      <c r="M57" t="s">
        <v>115</v>
      </c>
    </row>
    <row r="58" spans="2:13">
      <c r="B58" s="211" t="s">
        <v>118</v>
      </c>
      <c r="C58" t="s">
        <v>422</v>
      </c>
      <c r="M58" t="s">
        <v>116</v>
      </c>
    </row>
    <row r="59" spans="2:13">
      <c r="B59" s="211" t="s">
        <v>119</v>
      </c>
      <c r="C59" t="s">
        <v>422</v>
      </c>
      <c r="M59" t="s">
        <v>8</v>
      </c>
    </row>
    <row r="60" spans="2:13" ht="13.5" thickBot="1">
      <c r="B60" s="211" t="s">
        <v>120</v>
      </c>
      <c r="C60" t="s">
        <v>422</v>
      </c>
      <c r="M60" s="65" t="s">
        <v>257</v>
      </c>
    </row>
    <row r="61" spans="2:13">
      <c r="B61" s="211" t="s">
        <v>276</v>
      </c>
      <c r="C61" t="s">
        <v>422</v>
      </c>
      <c r="M61" t="s">
        <v>118</v>
      </c>
    </row>
    <row r="62" spans="2:13">
      <c r="B62" s="211" t="s">
        <v>121</v>
      </c>
      <c r="C62" t="s">
        <v>422</v>
      </c>
      <c r="M62" t="s">
        <v>119</v>
      </c>
    </row>
    <row r="63" spans="2:13">
      <c r="B63" s="211" t="s">
        <v>428</v>
      </c>
      <c r="C63" t="s">
        <v>422</v>
      </c>
      <c r="M63" t="s">
        <v>120</v>
      </c>
    </row>
    <row r="64" spans="2:13">
      <c r="B64" s="211" t="s">
        <v>139</v>
      </c>
      <c r="C64" t="s">
        <v>422</v>
      </c>
      <c r="M64" t="s">
        <v>276</v>
      </c>
    </row>
    <row r="65" spans="2:13">
      <c r="B65" s="211" t="s">
        <v>140</v>
      </c>
      <c r="C65" t="s">
        <v>422</v>
      </c>
      <c r="M65" t="s">
        <v>121</v>
      </c>
    </row>
    <row r="66" spans="2:13">
      <c r="B66" s="211" t="s">
        <v>122</v>
      </c>
      <c r="C66" t="s">
        <v>422</v>
      </c>
      <c r="M66" t="s">
        <v>139</v>
      </c>
    </row>
    <row r="67" spans="2:13">
      <c r="B67" s="211" t="s">
        <v>123</v>
      </c>
      <c r="C67" t="s">
        <v>422</v>
      </c>
      <c r="M67" t="s">
        <v>140</v>
      </c>
    </row>
    <row r="68" spans="2:13">
      <c r="B68" s="211" t="s">
        <v>124</v>
      </c>
      <c r="C68" t="s">
        <v>422</v>
      </c>
      <c r="M68" t="s">
        <v>122</v>
      </c>
    </row>
    <row r="69" spans="2:13">
      <c r="B69" s="211" t="s">
        <v>8</v>
      </c>
      <c r="C69" t="s">
        <v>422</v>
      </c>
      <c r="M69" t="s">
        <v>123</v>
      </c>
    </row>
    <row r="70" spans="2:13">
      <c r="B70" s="211" t="s">
        <v>8</v>
      </c>
      <c r="C70" t="s">
        <v>422</v>
      </c>
      <c r="M70" t="s">
        <v>124</v>
      </c>
    </row>
    <row r="71" spans="2:13">
      <c r="B71" t="s">
        <v>126</v>
      </c>
      <c r="C71" t="s">
        <v>421</v>
      </c>
      <c r="M71" t="s">
        <v>282</v>
      </c>
    </row>
    <row r="72" spans="2:13">
      <c r="B72" t="s">
        <v>127</v>
      </c>
      <c r="C72" t="s">
        <v>421</v>
      </c>
      <c r="M72" t="s">
        <v>8</v>
      </c>
    </row>
    <row r="73" spans="2:13">
      <c r="B73" t="s">
        <v>128</v>
      </c>
      <c r="C73" t="s">
        <v>421</v>
      </c>
      <c r="M73" t="s">
        <v>8</v>
      </c>
    </row>
    <row r="74" spans="2:13" ht="13.5" thickBot="1">
      <c r="B74" t="s">
        <v>129</v>
      </c>
      <c r="C74" t="s">
        <v>421</v>
      </c>
      <c r="M74" s="65" t="s">
        <v>258</v>
      </c>
    </row>
    <row r="75" spans="2:13">
      <c r="B75" t="s">
        <v>317</v>
      </c>
      <c r="C75" t="s">
        <v>421</v>
      </c>
      <c r="M75" t="s">
        <v>126</v>
      </c>
    </row>
    <row r="76" spans="2:13">
      <c r="B76" t="s">
        <v>429</v>
      </c>
      <c r="C76" t="s">
        <v>421</v>
      </c>
      <c r="M76" t="s">
        <v>127</v>
      </c>
    </row>
    <row r="77" spans="2:13">
      <c r="B77" s="211" t="s">
        <v>176</v>
      </c>
      <c r="C77" t="s">
        <v>420</v>
      </c>
      <c r="M77" t="s">
        <v>128</v>
      </c>
    </row>
    <row r="78" spans="2:13">
      <c r="B78" s="211" t="s">
        <v>131</v>
      </c>
      <c r="C78" t="s">
        <v>420</v>
      </c>
      <c r="M78" t="s">
        <v>129</v>
      </c>
    </row>
    <row r="79" spans="2:13">
      <c r="B79" s="211" t="s">
        <v>132</v>
      </c>
      <c r="C79" t="s">
        <v>420</v>
      </c>
      <c r="M79" t="s">
        <v>8</v>
      </c>
    </row>
    <row r="80" spans="2:13">
      <c r="B80" s="211" t="s">
        <v>133</v>
      </c>
      <c r="C80" t="s">
        <v>420</v>
      </c>
      <c r="M80" t="s">
        <v>8</v>
      </c>
    </row>
    <row r="81" spans="2:13" ht="13.5" thickBot="1">
      <c r="B81" s="211" t="s">
        <v>134</v>
      </c>
      <c r="C81" t="s">
        <v>420</v>
      </c>
      <c r="M81" s="65" t="s">
        <v>259</v>
      </c>
    </row>
    <row r="82" spans="2:13">
      <c r="B82" s="211" t="s">
        <v>135</v>
      </c>
      <c r="C82" t="s">
        <v>420</v>
      </c>
      <c r="M82" t="s">
        <v>176</v>
      </c>
    </row>
    <row r="83" spans="2:13">
      <c r="B83" s="211" t="s">
        <v>19</v>
      </c>
      <c r="C83" t="s">
        <v>420</v>
      </c>
      <c r="M83" t="s">
        <v>131</v>
      </c>
    </row>
    <row r="84" spans="2:13">
      <c r="B84" s="211" t="s">
        <v>308</v>
      </c>
      <c r="C84" t="s">
        <v>420</v>
      </c>
      <c r="M84" t="s">
        <v>132</v>
      </c>
    </row>
    <row r="85" spans="2:13">
      <c r="B85" s="211" t="s">
        <v>309</v>
      </c>
      <c r="C85" t="s">
        <v>420</v>
      </c>
      <c r="M85" t="s">
        <v>133</v>
      </c>
    </row>
    <row r="86" spans="2:13">
      <c r="B86" t="s">
        <v>326</v>
      </c>
      <c r="C86" t="s">
        <v>339</v>
      </c>
      <c r="M86" t="s">
        <v>134</v>
      </c>
    </row>
    <row r="87" spans="2:13">
      <c r="B87" t="s">
        <v>327</v>
      </c>
      <c r="C87" t="s">
        <v>339</v>
      </c>
      <c r="M87" t="s">
        <v>135</v>
      </c>
    </row>
    <row r="88" spans="2:13">
      <c r="B88" t="s">
        <v>236</v>
      </c>
      <c r="C88" t="s">
        <v>339</v>
      </c>
      <c r="M88" t="s">
        <v>19</v>
      </c>
    </row>
    <row r="89" spans="2:13">
      <c r="B89" t="s">
        <v>328</v>
      </c>
      <c r="C89" t="s">
        <v>339</v>
      </c>
      <c r="M89" t="s">
        <v>308</v>
      </c>
    </row>
    <row r="90" spans="2:13">
      <c r="B90" t="s">
        <v>329</v>
      </c>
      <c r="C90" t="s">
        <v>339</v>
      </c>
      <c r="M90" t="s">
        <v>309</v>
      </c>
    </row>
    <row r="91" spans="2:13" ht="13.5" thickBot="1">
      <c r="B91" t="s">
        <v>330</v>
      </c>
      <c r="C91" t="s">
        <v>339</v>
      </c>
      <c r="M91" s="65" t="s">
        <v>260</v>
      </c>
    </row>
    <row r="92" spans="2:13">
      <c r="B92" t="s">
        <v>331</v>
      </c>
      <c r="C92" t="s">
        <v>339</v>
      </c>
      <c r="M92" t="s">
        <v>326</v>
      </c>
    </row>
    <row r="93" spans="2:13">
      <c r="B93" t="s">
        <v>332</v>
      </c>
      <c r="C93" t="s">
        <v>339</v>
      </c>
      <c r="M93" t="s">
        <v>327</v>
      </c>
    </row>
    <row r="94" spans="2:13">
      <c r="B94" t="s">
        <v>333</v>
      </c>
      <c r="C94" t="s">
        <v>339</v>
      </c>
      <c r="M94" t="s">
        <v>236</v>
      </c>
    </row>
    <row r="95" spans="2:13">
      <c r="B95" t="s">
        <v>335</v>
      </c>
      <c r="C95" t="s">
        <v>339</v>
      </c>
      <c r="M95" t="s">
        <v>328</v>
      </c>
    </row>
    <row r="96" spans="2:13">
      <c r="M96" t="s">
        <v>329</v>
      </c>
    </row>
    <row r="97" spans="13:13">
      <c r="M97" t="s">
        <v>330</v>
      </c>
    </row>
    <row r="98" spans="13:13">
      <c r="M98" t="s">
        <v>331</v>
      </c>
    </row>
    <row r="99" spans="13:13">
      <c r="M99" t="s">
        <v>332</v>
      </c>
    </row>
    <row r="100" spans="13:13">
      <c r="M100" t="s">
        <v>333</v>
      </c>
    </row>
    <row r="101" spans="13:13" ht="13.5" thickBot="1">
      <c r="M101" s="65" t="s">
        <v>334</v>
      </c>
    </row>
  </sheetData>
  <conditionalFormatting sqref="B21:B22">
    <cfRule type="duplicateValues" dxfId="138" priority="7" stopIfTrue="1"/>
  </conditionalFormatting>
  <conditionalFormatting sqref="B33:B34">
    <cfRule type="duplicateValues" dxfId="137" priority="6" stopIfTrue="1"/>
  </conditionalFormatting>
  <conditionalFormatting sqref="B45:B46">
    <cfRule type="duplicateValues" dxfId="136" priority="5" stopIfTrue="1"/>
  </conditionalFormatting>
  <conditionalFormatting sqref="B58:B59">
    <cfRule type="duplicateValues" dxfId="135" priority="4" stopIfTrue="1"/>
  </conditionalFormatting>
  <conditionalFormatting sqref="B71:B72">
    <cfRule type="duplicateValues" dxfId="134" priority="3" stopIfTrue="1"/>
  </conditionalFormatting>
  <conditionalFormatting sqref="B77:B78">
    <cfRule type="duplicateValues" dxfId="133" priority="2" stopIfTrue="1"/>
  </conditionalFormatting>
  <conditionalFormatting sqref="B86:B95">
    <cfRule type="duplicateValues" dxfId="132" priority="1" stopIfTrue="1"/>
  </conditionalFormatting>
  <conditionalFormatting sqref="J4:J11 B2:B3 E2:J3">
    <cfRule type="duplicateValues" dxfId="131" priority="81" stopIfTrue="1"/>
  </conditionalFormatting>
  <conditionalFormatting sqref="M1:M2">
    <cfRule type="duplicateValues" dxfId="130" priority="15" stopIfTrue="1"/>
  </conditionalFormatting>
  <conditionalFormatting sqref="M21:M22">
    <cfRule type="duplicateValues" dxfId="129" priority="14" stopIfTrue="1"/>
  </conditionalFormatting>
  <conditionalFormatting sqref="M34:M35">
    <cfRule type="duplicateValues" dxfId="128" priority="13" stopIfTrue="1"/>
  </conditionalFormatting>
  <conditionalFormatting sqref="M47:M48">
    <cfRule type="duplicateValues" dxfId="127" priority="12" stopIfTrue="1"/>
  </conditionalFormatting>
  <conditionalFormatting sqref="M61:M62">
    <cfRule type="duplicateValues" dxfId="126" priority="11" stopIfTrue="1"/>
  </conditionalFormatting>
  <conditionalFormatting sqref="M75:M76">
    <cfRule type="duplicateValues" dxfId="125" priority="10" stopIfTrue="1"/>
  </conditionalFormatting>
  <conditionalFormatting sqref="M82:M83">
    <cfRule type="duplicateValues" dxfId="124" priority="9" stopIfTrue="1"/>
  </conditionalFormatting>
  <conditionalFormatting sqref="M92:M100">
    <cfRule type="duplicateValues" dxfId="123" priority="8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F4"/>
  <sheetViews>
    <sheetView rightToLeft="1" workbookViewId="0">
      <selection activeCell="E4" activeCellId="5" sqref="A2 A4 C4 C2 E2 E4"/>
    </sheetView>
  </sheetViews>
  <sheetFormatPr defaultColWidth="9.28515625" defaultRowHeight="12.75"/>
  <cols>
    <col min="1" max="1" width="10.5703125" style="39" bestFit="1" customWidth="1"/>
    <col min="2" max="2" width="10.28515625" style="39" bestFit="1" customWidth="1"/>
    <col min="3" max="16384" width="9.28515625" style="39"/>
  </cols>
  <sheetData>
    <row r="2" spans="1:6">
      <c r="A2" s="209" t="s">
        <v>283</v>
      </c>
      <c r="B2" s="37"/>
      <c r="C2" s="210" t="s">
        <v>284</v>
      </c>
      <c r="D2" s="38"/>
      <c r="E2" s="210" t="s">
        <v>285</v>
      </c>
      <c r="F2" s="37"/>
    </row>
    <row r="4" spans="1:6">
      <c r="A4" s="209" t="s">
        <v>283</v>
      </c>
      <c r="B4" s="37"/>
      <c r="C4" s="209" t="s">
        <v>284</v>
      </c>
      <c r="D4" s="37"/>
      <c r="E4" s="209" t="s">
        <v>285</v>
      </c>
      <c r="F4" s="3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7"/>
  <sheetViews>
    <sheetView rightToLeft="1" workbookViewId="0">
      <selection activeCell="C20" sqref="C20"/>
    </sheetView>
  </sheetViews>
  <sheetFormatPr defaultColWidth="9.28515625" defaultRowHeight="12.75"/>
  <cols>
    <col min="1" max="1" width="17.7109375" style="40" bestFit="1" customWidth="1"/>
    <col min="2" max="2" width="7.28515625" style="40" bestFit="1" customWidth="1"/>
    <col min="3" max="3" width="7.5703125" style="40" bestFit="1" customWidth="1"/>
    <col min="4" max="4" width="12.7109375" style="40" bestFit="1" customWidth="1"/>
    <col min="5" max="5" width="14.28515625" style="40" bestFit="1" customWidth="1"/>
    <col min="6" max="6" width="12.7109375" style="40" bestFit="1" customWidth="1"/>
    <col min="7" max="7" width="9.7109375" style="40" bestFit="1" customWidth="1"/>
    <col min="8" max="8" width="6.5703125" style="40" bestFit="1" customWidth="1"/>
    <col min="9" max="9" width="7" style="40" bestFit="1" customWidth="1"/>
    <col min="10" max="10" width="8" style="40" bestFit="1" customWidth="1"/>
    <col min="11" max="11" width="10.7109375" style="40" bestFit="1" customWidth="1"/>
    <col min="12" max="12" width="8.5703125" style="40" bestFit="1" customWidth="1"/>
    <col min="13" max="16384" width="9.28515625" style="40"/>
  </cols>
  <sheetData>
    <row r="1" spans="1:12">
      <c r="C1" s="40" t="s">
        <v>183</v>
      </c>
      <c r="D1" s="40" t="s">
        <v>184</v>
      </c>
      <c r="E1" s="40" t="s">
        <v>185</v>
      </c>
      <c r="F1" s="40" t="s">
        <v>186</v>
      </c>
    </row>
    <row r="2" spans="1:12">
      <c r="A2" s="40" t="s">
        <v>162</v>
      </c>
      <c r="B2" s="40">
        <v>35000</v>
      </c>
      <c r="C2" s="40" t="s">
        <v>263</v>
      </c>
      <c r="D2" s="40">
        <v>3.13</v>
      </c>
      <c r="E2" s="40" t="s">
        <v>264</v>
      </c>
      <c r="F2" s="40">
        <v>10.55</v>
      </c>
    </row>
    <row r="3" spans="1:12">
      <c r="A3" s="40" t="s">
        <v>163</v>
      </c>
      <c r="B3" s="40">
        <v>10000</v>
      </c>
    </row>
    <row r="6" spans="1:12">
      <c r="A6" s="40" t="s">
        <v>36</v>
      </c>
      <c r="B6" s="40" t="s">
        <v>144</v>
      </c>
      <c r="C6" s="40" t="s">
        <v>146</v>
      </c>
      <c r="D6" s="40" t="s">
        <v>13</v>
      </c>
      <c r="E6" s="40" t="s">
        <v>147</v>
      </c>
      <c r="F6" s="40" t="s">
        <v>35</v>
      </c>
      <c r="K6" s="40" t="s">
        <v>294</v>
      </c>
    </row>
    <row r="7" spans="1:12">
      <c r="A7" s="40" t="s">
        <v>2</v>
      </c>
      <c r="B7" s="40" t="s">
        <v>145</v>
      </c>
      <c r="C7" s="40" t="s">
        <v>295</v>
      </c>
      <c r="D7" s="40" t="s">
        <v>296</v>
      </c>
      <c r="E7" s="40">
        <v>55000</v>
      </c>
      <c r="F7" s="40">
        <v>1100</v>
      </c>
      <c r="H7" s="40" t="s">
        <v>150</v>
      </c>
      <c r="I7" s="40" t="s">
        <v>151</v>
      </c>
      <c r="J7" s="40" t="s">
        <v>152</v>
      </c>
      <c r="K7" s="40">
        <v>28573.32</v>
      </c>
    </row>
    <row r="8" spans="1:12">
      <c r="A8" s="40" t="s">
        <v>1</v>
      </c>
      <c r="B8" s="40" t="s">
        <v>145</v>
      </c>
      <c r="C8" s="40" t="s">
        <v>160</v>
      </c>
      <c r="D8" s="40" t="s">
        <v>161</v>
      </c>
      <c r="E8" s="40">
        <v>40000</v>
      </c>
      <c r="F8" s="40">
        <v>747</v>
      </c>
      <c r="H8" s="40" t="s">
        <v>150</v>
      </c>
      <c r="I8" s="40" t="s">
        <v>151</v>
      </c>
      <c r="J8" s="40" t="s">
        <v>152</v>
      </c>
      <c r="K8" s="40">
        <v>28066</v>
      </c>
    </row>
    <row r="9" spans="1:12">
      <c r="A9" s="40" t="s">
        <v>289</v>
      </c>
      <c r="B9" s="40" t="s">
        <v>145</v>
      </c>
      <c r="C9" s="40">
        <v>0</v>
      </c>
      <c r="K9" s="148">
        <v>38550</v>
      </c>
    </row>
    <row r="10" spans="1:12">
      <c r="A10" s="40" t="s">
        <v>227</v>
      </c>
      <c r="B10" s="40" t="s">
        <v>145</v>
      </c>
      <c r="C10" s="40">
        <v>0</v>
      </c>
      <c r="K10" s="148">
        <v>80000</v>
      </c>
      <c r="L10" s="40" t="s">
        <v>228</v>
      </c>
    </row>
    <row r="11" spans="1:12">
      <c r="A11" s="40" t="s">
        <v>1</v>
      </c>
      <c r="B11" s="40" t="s">
        <v>68</v>
      </c>
      <c r="C11" s="40" t="s">
        <v>154</v>
      </c>
      <c r="D11" s="40" t="s">
        <v>148</v>
      </c>
      <c r="E11" s="40">
        <v>233000</v>
      </c>
      <c r="F11" s="40">
        <v>1327</v>
      </c>
      <c r="G11" s="40" t="s">
        <v>149</v>
      </c>
      <c r="H11" s="40" t="s">
        <v>150</v>
      </c>
      <c r="I11" s="40" t="s">
        <v>151</v>
      </c>
      <c r="J11" s="40" t="s">
        <v>152</v>
      </c>
      <c r="K11" s="40">
        <v>230227</v>
      </c>
    </row>
    <row r="12" spans="1:12">
      <c r="A12" s="40" t="s">
        <v>1</v>
      </c>
      <c r="B12" s="40" t="s">
        <v>68</v>
      </c>
      <c r="C12" s="41">
        <v>4.82E-2</v>
      </c>
      <c r="D12" s="40" t="s">
        <v>153</v>
      </c>
      <c r="E12" s="40">
        <v>234000</v>
      </c>
      <c r="F12" s="40">
        <v>1521</v>
      </c>
      <c r="G12" s="40" t="s">
        <v>155</v>
      </c>
      <c r="H12" s="40" t="s">
        <v>156</v>
      </c>
      <c r="I12" s="40" t="s">
        <v>157</v>
      </c>
      <c r="J12" s="40" t="s">
        <v>152</v>
      </c>
      <c r="K12" s="40">
        <v>232250</v>
      </c>
    </row>
    <row r="13" spans="1:12">
      <c r="A13" s="40" t="s">
        <v>1</v>
      </c>
      <c r="B13" s="40" t="s">
        <v>68</v>
      </c>
      <c r="C13" s="41">
        <v>3.5999999999999997E-2</v>
      </c>
      <c r="D13" s="40" t="s">
        <v>148</v>
      </c>
      <c r="E13" s="40">
        <v>233000</v>
      </c>
      <c r="F13" s="40">
        <v>1179</v>
      </c>
      <c r="G13" s="40" t="s">
        <v>158</v>
      </c>
      <c r="H13" s="40" t="s">
        <v>156</v>
      </c>
      <c r="I13" s="40" t="s">
        <v>157</v>
      </c>
      <c r="J13" s="40" t="s">
        <v>159</v>
      </c>
      <c r="K13" s="40">
        <v>233035</v>
      </c>
    </row>
    <row r="17" spans="1:1">
      <c r="A17" s="40" t="s">
        <v>235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4"/>
  <sheetViews>
    <sheetView rightToLeft="1" workbookViewId="0">
      <selection activeCell="Q4" sqref="Q4:Q5"/>
    </sheetView>
  </sheetViews>
  <sheetFormatPr defaultColWidth="9.28515625" defaultRowHeight="12.75"/>
  <cols>
    <col min="1" max="1" width="13.28515625" style="40" bestFit="1" customWidth="1"/>
    <col min="2" max="2" width="7.28515625" style="40" bestFit="1" customWidth="1"/>
    <col min="3" max="3" width="5.5703125" style="43" bestFit="1" customWidth="1"/>
    <col min="4" max="15" width="3" style="43" bestFit="1" customWidth="1"/>
    <col min="16" max="16" width="9.28515625" style="40"/>
    <col min="17" max="17" width="8.28515625" style="40" bestFit="1" customWidth="1"/>
    <col min="18" max="19" width="10" style="40" bestFit="1" customWidth="1"/>
    <col min="20" max="20" width="6" style="40" bestFit="1" customWidth="1"/>
    <col min="21" max="21" width="5" style="40" bestFit="1" customWidth="1"/>
    <col min="22" max="22" width="10.7109375" style="40" bestFit="1" customWidth="1"/>
    <col min="23" max="23" width="8" style="40" bestFit="1" customWidth="1"/>
    <col min="24" max="16384" width="9.28515625" style="40"/>
  </cols>
  <sheetData>
    <row r="1" spans="1:23">
      <c r="A1" s="40" t="s">
        <v>251</v>
      </c>
      <c r="B1" s="40" t="s">
        <v>144</v>
      </c>
      <c r="C1" s="42" t="s">
        <v>297</v>
      </c>
      <c r="D1" s="42" t="s">
        <v>211</v>
      </c>
      <c r="E1" s="42" t="s">
        <v>212</v>
      </c>
      <c r="F1" s="42" t="s">
        <v>213</v>
      </c>
      <c r="G1" s="42" t="s">
        <v>201</v>
      </c>
      <c r="H1" s="42" t="s">
        <v>202</v>
      </c>
      <c r="I1" s="42" t="s">
        <v>191</v>
      </c>
      <c r="J1" s="42" t="s">
        <v>193</v>
      </c>
      <c r="K1" s="42" t="s">
        <v>194</v>
      </c>
      <c r="L1" s="42" t="s">
        <v>195</v>
      </c>
      <c r="M1" s="42" t="s">
        <v>196</v>
      </c>
      <c r="N1" s="42" t="s">
        <v>197</v>
      </c>
      <c r="O1" s="42" t="s">
        <v>198</v>
      </c>
      <c r="Q1" s="40" t="s">
        <v>252</v>
      </c>
      <c r="R1" s="40" t="s">
        <v>145</v>
      </c>
      <c r="S1" s="43" t="s">
        <v>68</v>
      </c>
      <c r="T1" s="43" t="s">
        <v>11</v>
      </c>
      <c r="U1" s="43" t="s">
        <v>23</v>
      </c>
      <c r="V1" s="43" t="s">
        <v>236</v>
      </c>
      <c r="W1" s="43" t="s">
        <v>233</v>
      </c>
    </row>
    <row r="2" spans="1:23">
      <c r="A2" s="40" t="s">
        <v>2</v>
      </c>
      <c r="B2" s="40" t="s">
        <v>145</v>
      </c>
      <c r="Q2" s="42" t="s">
        <v>230</v>
      </c>
      <c r="R2" s="40">
        <f>SUMIF($B:$B,$R$1,$C:$C)</f>
        <v>0</v>
      </c>
      <c r="S2" s="40">
        <f>SUMIF($B:$B,$S$1,$C:$C)</f>
        <v>0</v>
      </c>
      <c r="T2" s="40">
        <f>SUMIF($B:$B,$T$1,$C:$C)</f>
        <v>0</v>
      </c>
      <c r="U2" s="40">
        <f>SUMIF($B:$B,$U$1,$C:$C)</f>
        <v>0</v>
      </c>
      <c r="V2" s="40">
        <f>SUMIF($B:$B,$V$1,$C:$C)</f>
        <v>0</v>
      </c>
      <c r="W2" s="40">
        <v>1500000</v>
      </c>
    </row>
    <row r="3" spans="1:23">
      <c r="A3" s="40" t="s">
        <v>2</v>
      </c>
      <c r="B3" s="40" t="s">
        <v>145</v>
      </c>
      <c r="Q3" s="42" t="s">
        <v>211</v>
      </c>
      <c r="R3" s="40">
        <f>SUMIF($B:$B,$R$1,$D:$D)</f>
        <v>0</v>
      </c>
      <c r="S3" s="40">
        <f>SUMIF($B:$B,S$1,$D:$D)</f>
        <v>0</v>
      </c>
      <c r="T3" s="40">
        <f>SUMIF($B:$B,$T$1,$D:$D)</f>
        <v>0</v>
      </c>
      <c r="U3" s="40">
        <f>SUMIF($B:$B,$U$1,$D:$D)</f>
        <v>0</v>
      </c>
      <c r="V3" s="40">
        <f>SUMIF($B:$B,$V$1,$D:$D)</f>
        <v>0</v>
      </c>
      <c r="W3" s="40">
        <v>1500000</v>
      </c>
    </row>
    <row r="4" spans="1:23">
      <c r="A4" s="40" t="s">
        <v>1</v>
      </c>
      <c r="B4" s="40" t="s">
        <v>145</v>
      </c>
      <c r="Q4" s="42" t="s">
        <v>212</v>
      </c>
      <c r="R4" s="40">
        <f>SUMIF($B:$B,$R$1,$E:$E)</f>
        <v>0</v>
      </c>
      <c r="S4" s="40">
        <f>SUMIF($B:$B,S$1,$E:$E)</f>
        <v>0</v>
      </c>
      <c r="T4" s="40">
        <f>SUMIF($B:$B,$T$1,$E:$E)</f>
        <v>0</v>
      </c>
      <c r="U4" s="40">
        <f>SUMIF($B:$B,$U$1,$E:$E)</f>
        <v>0</v>
      </c>
      <c r="V4" s="40">
        <f>SUMIF($B:$B,$V$1,$E:$E)</f>
        <v>0</v>
      </c>
      <c r="W4" s="40">
        <v>1500000</v>
      </c>
    </row>
    <row r="5" spans="1:23">
      <c r="A5" s="40" t="s">
        <v>288</v>
      </c>
      <c r="B5" s="40" t="s">
        <v>145</v>
      </c>
      <c r="Q5" s="42" t="s">
        <v>213</v>
      </c>
      <c r="R5" s="40">
        <f>SUMIF($B:$B,$R$1,$F:$F)</f>
        <v>0</v>
      </c>
      <c r="S5" s="40">
        <f>SUMIF($B:$B,S$1,$F:$F)</f>
        <v>0</v>
      </c>
      <c r="T5" s="40">
        <f>SUMIF($B:$B,$T$1,$F:$F)</f>
        <v>0</v>
      </c>
      <c r="U5" s="40">
        <f>SUMIF($B:$B,$U$1,$F:$F)</f>
        <v>0</v>
      </c>
      <c r="V5" s="40">
        <f>SUMIF($B:$B,$V$1,$F:$F)</f>
        <v>0</v>
      </c>
      <c r="W5" s="40">
        <v>1500000</v>
      </c>
    </row>
    <row r="6" spans="1:23">
      <c r="A6" s="40" t="s">
        <v>227</v>
      </c>
      <c r="B6" s="40" t="s">
        <v>145</v>
      </c>
      <c r="D6" s="147"/>
      <c r="Q6" s="42" t="s">
        <v>201</v>
      </c>
      <c r="R6" s="40">
        <f>SUMIF($B:$B,$R$1,$G:$G)</f>
        <v>0</v>
      </c>
      <c r="S6" s="40">
        <f>SUMIF($B:$B,S$1,$G:$G)</f>
        <v>0</v>
      </c>
      <c r="T6" s="40">
        <f>SUMIF($B:$B,$T$1,$G:$G)</f>
        <v>0</v>
      </c>
      <c r="U6" s="40">
        <f>SUMIF($B:$B,$U$1,$G:$G)</f>
        <v>0</v>
      </c>
      <c r="V6" s="40">
        <f>SUMIF($B:$B,$V$1,$G:$G)</f>
        <v>0</v>
      </c>
      <c r="W6" s="40">
        <v>1500000</v>
      </c>
    </row>
    <row r="7" spans="1:23">
      <c r="A7" s="40" t="s">
        <v>1</v>
      </c>
      <c r="B7" s="40" t="s">
        <v>68</v>
      </c>
      <c r="Q7" s="42" t="s">
        <v>202</v>
      </c>
      <c r="R7" s="40">
        <f>SUMIF($B:$B,$R$1,$H:$H)</f>
        <v>0</v>
      </c>
      <c r="S7" s="40">
        <f>SUMIF($B:$B,S$1,$H:$H)</f>
        <v>0</v>
      </c>
      <c r="T7" s="40">
        <f>SUMIF($B:$B,$T$1,$H:$H)</f>
        <v>0</v>
      </c>
      <c r="U7" s="40">
        <f>SUMIF($B:$B,$U$1,$H:$H)</f>
        <v>0</v>
      </c>
      <c r="V7" s="40">
        <f>SUMIF($B:$B,$V$1,$H:$H)</f>
        <v>0</v>
      </c>
      <c r="W7" s="40">
        <v>1500000</v>
      </c>
    </row>
    <row r="8" spans="1:23">
      <c r="A8" s="40" t="s">
        <v>1</v>
      </c>
      <c r="B8" s="40" t="s">
        <v>68</v>
      </c>
      <c r="Q8" s="42" t="s">
        <v>191</v>
      </c>
      <c r="R8" s="40">
        <f>SUMIF($B:$B,$R$1,$I:$I)</f>
        <v>0</v>
      </c>
      <c r="S8" s="40">
        <f>SUMIF($B:$B,S$1,$I:$I)</f>
        <v>0</v>
      </c>
      <c r="T8" s="40">
        <f>SUMIF($B:$B,$T$1,$I:$I)</f>
        <v>0</v>
      </c>
      <c r="U8" s="40">
        <f>SUMIF($B:$B,$U$1,$I:$I)</f>
        <v>0</v>
      </c>
      <c r="V8" s="40">
        <f>SUMIF($B:$B,$V$1,$I:$I)</f>
        <v>0</v>
      </c>
      <c r="W8" s="40">
        <v>1500000</v>
      </c>
    </row>
    <row r="9" spans="1:23">
      <c r="A9" s="40" t="s">
        <v>1</v>
      </c>
      <c r="B9" s="40" t="s">
        <v>68</v>
      </c>
      <c r="Q9" s="42" t="s">
        <v>193</v>
      </c>
      <c r="R9" s="40">
        <f>SUMIF($B:$B,$R$1,$J:$J)</f>
        <v>0</v>
      </c>
      <c r="S9" s="40">
        <f>SUMIF($B:$B,S$1,$J:$J)</f>
        <v>0</v>
      </c>
      <c r="T9" s="40">
        <f>SUMIF($B:$B,$T$1,$J:$J)</f>
        <v>0</v>
      </c>
      <c r="U9" s="40">
        <f>SUMIF($B:$B,$U$1,$J:$J)</f>
        <v>0</v>
      </c>
      <c r="V9" s="40">
        <f>SUMIF($B:$B,$V$1,$J:$J)</f>
        <v>0</v>
      </c>
      <c r="W9" s="40">
        <v>1500000</v>
      </c>
    </row>
    <row r="10" spans="1:23">
      <c r="A10" s="40" t="s">
        <v>200</v>
      </c>
      <c r="B10" s="40" t="s">
        <v>11</v>
      </c>
      <c r="Q10" s="42" t="s">
        <v>194</v>
      </c>
      <c r="R10" s="40">
        <f>SUMIF($B:$B,$R$1,$K:$K)</f>
        <v>0</v>
      </c>
      <c r="S10" s="40">
        <f>SUMIF($B:$B,S$1,$K:$K)</f>
        <v>0</v>
      </c>
      <c r="T10" s="40">
        <f>SUMIF($B:$B,$T$1,$K:$K)</f>
        <v>0</v>
      </c>
      <c r="U10" s="40">
        <f>SUMIF($B:$B,$U$1,$K:$K)</f>
        <v>0</v>
      </c>
      <c r="V10" s="40">
        <f>SUMIF($B:$B,$V$1,$K:$K)</f>
        <v>0</v>
      </c>
      <c r="W10" s="40">
        <v>1500000</v>
      </c>
    </row>
    <row r="11" spans="1:23">
      <c r="A11" s="40" t="s">
        <v>199</v>
      </c>
      <c r="B11" s="40" t="s">
        <v>11</v>
      </c>
      <c r="Q11" s="42" t="s">
        <v>195</v>
      </c>
      <c r="R11" s="40">
        <f>SUMIF($B:$B,$R$1,$L:$L)</f>
        <v>0</v>
      </c>
      <c r="S11" s="40">
        <f>SUMIF($B:$B,S$1,$L:$L)</f>
        <v>0</v>
      </c>
      <c r="T11" s="40">
        <f>SUMIF($B:$B,$T$1,$L:$L)</f>
        <v>0</v>
      </c>
      <c r="U11" s="40">
        <f>SUMIF($B:$B,$U$1,$L:$L)</f>
        <v>0</v>
      </c>
      <c r="V11" s="40">
        <f>SUMIF($B:$B,$V$1,$L:$L)</f>
        <v>0</v>
      </c>
      <c r="W11" s="40">
        <v>1500000</v>
      </c>
    </row>
    <row r="12" spans="1:23">
      <c r="A12" s="40" t="s">
        <v>274</v>
      </c>
      <c r="B12" s="40" t="s">
        <v>11</v>
      </c>
      <c r="Q12" s="42" t="s">
        <v>196</v>
      </c>
      <c r="R12" s="40">
        <f>SUMIF($B:$B,$R$1,$M:$M)</f>
        <v>0</v>
      </c>
      <c r="S12" s="40">
        <f>SUMIF($B:$B,S$1,$M:$M)</f>
        <v>0</v>
      </c>
      <c r="T12" s="40">
        <f>SUMIF($B:$B,$T$1,$M:$M)</f>
        <v>0</v>
      </c>
      <c r="U12" s="40">
        <f>SUMIF($B:$B,$U$1,$M:$M)</f>
        <v>0</v>
      </c>
      <c r="V12" s="40">
        <f>SUMIF($B:$B,$V$1,$M:$M)</f>
        <v>0</v>
      </c>
      <c r="W12" s="40">
        <v>1500000</v>
      </c>
    </row>
    <row r="13" spans="1:23">
      <c r="A13" s="40" t="s">
        <v>229</v>
      </c>
      <c r="B13" s="40" t="s">
        <v>11</v>
      </c>
      <c r="Q13" s="42" t="s">
        <v>197</v>
      </c>
      <c r="R13" s="40">
        <f>SUMIF($B:$B,$R$1,$N:$N)</f>
        <v>0</v>
      </c>
      <c r="S13" s="40">
        <f>SUMIF($B:$B,S$1,$N:$N)</f>
        <v>0</v>
      </c>
      <c r="T13" s="40">
        <f>SUMIF($B:$B,$T$1,$N:$N)</f>
        <v>0</v>
      </c>
      <c r="U13" s="40">
        <f>SUMIF($B:$B,$U$1,$N:$N)</f>
        <v>0</v>
      </c>
      <c r="V13" s="40">
        <f>SUMIF($B:$B,$V$1,$N:$N)</f>
        <v>0</v>
      </c>
      <c r="W13" s="40">
        <v>1500000</v>
      </c>
    </row>
    <row r="14" spans="1:23">
      <c r="A14" s="40" t="s">
        <v>68</v>
      </c>
      <c r="B14" s="40" t="s">
        <v>11</v>
      </c>
      <c r="Q14" s="42" t="s">
        <v>198</v>
      </c>
      <c r="R14" s="40">
        <f>SUMIF($B:$B,$R$1,$O:$O)</f>
        <v>0</v>
      </c>
      <c r="S14" s="40">
        <f>SUMIF($B:$B,S$1,$O:$O)</f>
        <v>0</v>
      </c>
      <c r="T14" s="40">
        <f>SUMIF($B:$B,$T$1,$O:$O)</f>
        <v>0</v>
      </c>
      <c r="U14" s="40">
        <f>SUMIF($B:$B,$U$1,$O:$O)</f>
        <v>0</v>
      </c>
      <c r="V14" s="40">
        <f>SUMIF($B:$B,$V$1,$O:$O)</f>
        <v>0</v>
      </c>
      <c r="W14" s="40">
        <v>1500000</v>
      </c>
    </row>
  </sheetData>
  <pageMargins left="0.7" right="0.7" top="0.75" bottom="0.75" header="0.3" footer="0.3"/>
  <ignoredErrors>
    <ignoredError sqref="D1:O1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4479-569A-4A21-99B7-A125449DC21C}">
  <sheetPr codeName="Sheet5"/>
  <dimension ref="A1:AW261"/>
  <sheetViews>
    <sheetView rightToLeft="1" topLeftCell="A9" zoomScale="85" zoomScaleNormal="85" workbookViewId="0">
      <selection activeCell="G34" sqref="G34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7109375" style="275" bestFit="1" customWidth="1"/>
    <col min="14" max="14" width="6.5703125" style="275" bestFit="1" customWidth="1"/>
    <col min="15" max="15" width="9.28515625" style="222"/>
    <col min="16" max="16" width="20.42578125" style="204" bestFit="1" customWidth="1"/>
    <col min="17" max="17" width="7.42578125" style="204" customWidth="1"/>
    <col min="18" max="18" width="6.140625" style="204" bestFit="1" customWidth="1"/>
    <col min="19" max="19" width="5.42578125" style="204" bestFit="1" customWidth="1"/>
    <col min="20" max="20" width="2.28515625" style="204" bestFit="1" customWidth="1"/>
    <col min="21" max="21" width="5.42578125" style="204" bestFit="1" customWidth="1"/>
    <col min="22" max="23" width="4.28515625" style="204" bestFit="1" customWidth="1"/>
    <col min="24" max="24" width="5.42578125" style="204" bestFit="1" customWidth="1"/>
    <col min="25" max="25" width="4.28515625" style="204" bestFit="1" customWidth="1"/>
    <col min="26" max="26" width="5.42578125" style="204" bestFit="1" customWidth="1"/>
    <col min="27" max="28" width="4.28515625" style="204" bestFit="1" customWidth="1"/>
    <col min="29" max="29" width="5.42578125" style="204" bestFit="1" customWidth="1"/>
    <col min="30" max="31" width="4.28515625" style="204" bestFit="1" customWidth="1"/>
    <col min="32" max="32" width="5.42578125" style="204" bestFit="1" customWidth="1"/>
    <col min="33" max="34" width="4.28515625" style="204" bestFit="1" customWidth="1"/>
    <col min="35" max="37" width="3.28515625" style="204" bestFit="1" customWidth="1"/>
    <col min="38" max="39" width="4.28515625" style="204" bestFit="1" customWidth="1"/>
    <col min="40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198</v>
      </c>
      <c r="B1" s="214">
        <v>10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300" t="s">
        <v>16</v>
      </c>
      <c r="C2" s="300">
        <v>18534.199999999993</v>
      </c>
      <c r="D2" s="301"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300" t="s">
        <v>136</v>
      </c>
      <c r="C3" s="300">
        <v>578.88</v>
      </c>
      <c r="D3" s="301"/>
      <c r="G3" s="204">
        <v>10</v>
      </c>
      <c r="H3" s="204" t="s">
        <v>19</v>
      </c>
      <c r="I3" s="204" t="str">
        <f>_xlfn.XLOOKUP(H3,[2]Dropdown!B:B,[2]Dropdown!C:C)</f>
        <v>ביטוחים ופיננסים</v>
      </c>
      <c r="J3" s="204" t="s">
        <v>352</v>
      </c>
    </row>
    <row r="4" spans="1:49">
      <c r="A4" s="458"/>
      <c r="B4" s="302" t="s">
        <v>17</v>
      </c>
      <c r="C4" s="302">
        <v>8037.61</v>
      </c>
      <c r="D4" s="303">
        <v>20894.740000000002</v>
      </c>
      <c r="G4" s="204">
        <v>0</v>
      </c>
      <c r="H4" s="204" t="s">
        <v>298</v>
      </c>
      <c r="I4" s="204" t="str">
        <f>_xlfn.XLOOKUP(H4,[2]Dropdown!B:B,[2]Dropdown!C:C)</f>
        <v>תחזוקת דירה ותקשורת</v>
      </c>
      <c r="J4" s="204" t="s">
        <v>166</v>
      </c>
    </row>
    <row r="5" spans="1:49">
      <c r="A5" s="458"/>
      <c r="B5" s="302"/>
      <c r="C5" s="302"/>
      <c r="D5" s="304"/>
      <c r="G5" s="204">
        <v>0</v>
      </c>
      <c r="H5" s="204" t="s">
        <v>70</v>
      </c>
      <c r="I5" s="204" t="str">
        <f>_xlfn.XLOOKUP(H5,[2]Dropdown!B:B,[2]Dropdown!C:C)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302"/>
      <c r="C6" s="302"/>
      <c r="D6" s="304"/>
      <c r="G6" s="204">
        <v>1760.4</v>
      </c>
      <c r="H6" s="204" t="s">
        <v>81</v>
      </c>
      <c r="I6" s="204" t="str">
        <f>_xlfn.XLOOKUP(H6,[2]Dropdown!B:B,[2]Dropdown!C:C)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10318.810000000001</v>
      </c>
      <c r="R6" s="297">
        <f t="shared" ref="R6:AG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si="1"/>
        <v>0</v>
      </c>
      <c r="AC6" s="297">
        <f t="shared" si="1"/>
        <v>0</v>
      </c>
      <c r="AD6" s="297">
        <f t="shared" si="1"/>
        <v>0</v>
      </c>
      <c r="AE6" s="297">
        <f t="shared" si="1"/>
        <v>0</v>
      </c>
      <c r="AF6" s="297">
        <f t="shared" si="1"/>
        <v>0</v>
      </c>
      <c r="AG6" s="297">
        <f t="shared" si="1"/>
        <v>0</v>
      </c>
      <c r="AH6" s="297">
        <f t="shared" ref="AH6:AV13" si="2">SUMIFS($G:$G,$I:$I,$P6,$F:$F, TEXT(AH$5,"00") &amp; "." &amp; TEXT($A$1,"00"))</f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si="2"/>
        <v>0</v>
      </c>
      <c r="AM6" s="297">
        <f t="shared" si="2"/>
        <v>0</v>
      </c>
      <c r="AN6" s="297">
        <f t="shared" si="2"/>
        <v>0</v>
      </c>
      <c r="AO6" s="297">
        <f t="shared" si="2"/>
        <v>0</v>
      </c>
      <c r="AP6" s="297">
        <f t="shared" si="2"/>
        <v>0</v>
      </c>
      <c r="AQ6" s="297">
        <f t="shared" si="2"/>
        <v>0</v>
      </c>
      <c r="AR6" s="297">
        <f t="shared" si="2"/>
        <v>0</v>
      </c>
      <c r="AS6" s="297">
        <f t="shared" si="2"/>
        <v>0</v>
      </c>
      <c r="AT6" s="297">
        <f t="shared" si="2"/>
        <v>0</v>
      </c>
      <c r="AU6" s="297">
        <f t="shared" si="2"/>
        <v>0</v>
      </c>
      <c r="AV6" s="297">
        <f t="shared" si="2"/>
        <v>0</v>
      </c>
      <c r="AW6" s="294">
        <f>SUM(Q6:AV6)</f>
        <v>10318.810000000001</v>
      </c>
    </row>
    <row r="7" spans="1:49">
      <c r="A7" s="465" t="s">
        <v>18</v>
      </c>
      <c r="B7" s="302" t="s">
        <v>18</v>
      </c>
      <c r="C7" s="302">
        <v>0</v>
      </c>
      <c r="D7" s="304">
        <v>0</v>
      </c>
      <c r="G7" s="204">
        <v>0</v>
      </c>
      <c r="H7" s="204" t="s">
        <v>75</v>
      </c>
      <c r="I7" s="204" t="str">
        <f>_xlfn.XLOOKUP(H7,[2]Dropdown!B:B,[2]Dropdown!C:C)</f>
        <v>תחזוקת דירה ותקשורת</v>
      </c>
      <c r="J7" s="204" t="s">
        <v>20</v>
      </c>
      <c r="P7" s="288" t="s">
        <v>425</v>
      </c>
      <c r="Q7" s="297">
        <f t="shared" si="0"/>
        <v>2432.66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1"/>
        <v>0</v>
      </c>
      <c r="AC7" s="297">
        <f t="shared" si="1"/>
        <v>0</v>
      </c>
      <c r="AD7" s="297">
        <f t="shared" si="1"/>
        <v>0</v>
      </c>
      <c r="AE7" s="297">
        <f t="shared" si="1"/>
        <v>0</v>
      </c>
      <c r="AF7" s="297">
        <f t="shared" si="1"/>
        <v>0</v>
      </c>
      <c r="AG7" s="297">
        <f t="shared" si="1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2"/>
        <v>0</v>
      </c>
      <c r="AM7" s="297">
        <f t="shared" si="2"/>
        <v>0</v>
      </c>
      <c r="AN7" s="297">
        <f t="shared" si="2"/>
        <v>0</v>
      </c>
      <c r="AO7" s="297">
        <f t="shared" si="2"/>
        <v>0</v>
      </c>
      <c r="AP7" s="297">
        <f t="shared" si="2"/>
        <v>0</v>
      </c>
      <c r="AQ7" s="297">
        <f t="shared" si="2"/>
        <v>0</v>
      </c>
      <c r="AR7" s="297">
        <f t="shared" si="2"/>
        <v>0</v>
      </c>
      <c r="AS7" s="297">
        <f t="shared" si="2"/>
        <v>0</v>
      </c>
      <c r="AT7" s="297">
        <f t="shared" si="2"/>
        <v>0</v>
      </c>
      <c r="AU7" s="297">
        <f t="shared" si="2"/>
        <v>0</v>
      </c>
      <c r="AV7" s="297">
        <f t="shared" si="2"/>
        <v>0</v>
      </c>
      <c r="AW7" s="294">
        <f t="shared" ref="AW7:AW13" si="3">SUM(Q7:AV7)</f>
        <v>2432.66</v>
      </c>
    </row>
    <row r="8" spans="1:49">
      <c r="A8" s="466"/>
      <c r="B8" s="302" t="s">
        <v>68</v>
      </c>
      <c r="C8" s="302">
        <v>4642.05</v>
      </c>
      <c r="D8" s="304"/>
      <c r="G8" s="204">
        <v>95</v>
      </c>
      <c r="H8" s="204" t="s">
        <v>79</v>
      </c>
      <c r="I8" s="204" t="str">
        <f>_xlfn.XLOOKUP(H8,[2]Dropdown!B:B,[2]Dropdown!C:C)</f>
        <v>תחזוקת דירה ותקשורת</v>
      </c>
      <c r="J8" s="204" t="s">
        <v>20</v>
      </c>
      <c r="P8" s="288" t="s">
        <v>424</v>
      </c>
      <c r="Q8" s="297">
        <f t="shared" si="0"/>
        <v>588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1"/>
        <v>0</v>
      </c>
      <c r="AC8" s="297">
        <f t="shared" si="1"/>
        <v>0</v>
      </c>
      <c r="AD8" s="297">
        <f t="shared" si="1"/>
        <v>0</v>
      </c>
      <c r="AE8" s="297">
        <f t="shared" si="1"/>
        <v>0</v>
      </c>
      <c r="AF8" s="297">
        <f t="shared" si="1"/>
        <v>0</v>
      </c>
      <c r="AG8" s="297">
        <f t="shared" si="1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2"/>
        <v>0</v>
      </c>
      <c r="AM8" s="297">
        <f t="shared" si="2"/>
        <v>0</v>
      </c>
      <c r="AN8" s="297">
        <f t="shared" si="2"/>
        <v>0</v>
      </c>
      <c r="AO8" s="297">
        <f t="shared" si="2"/>
        <v>0</v>
      </c>
      <c r="AP8" s="297">
        <f t="shared" si="2"/>
        <v>0</v>
      </c>
      <c r="AQ8" s="297">
        <f t="shared" si="2"/>
        <v>0</v>
      </c>
      <c r="AR8" s="297">
        <f t="shared" si="2"/>
        <v>0</v>
      </c>
      <c r="AS8" s="297">
        <f t="shared" si="2"/>
        <v>0</v>
      </c>
      <c r="AT8" s="297">
        <f t="shared" si="2"/>
        <v>0</v>
      </c>
      <c r="AU8" s="297">
        <f t="shared" si="2"/>
        <v>0</v>
      </c>
      <c r="AV8" s="297">
        <f t="shared" si="2"/>
        <v>0</v>
      </c>
      <c r="AW8" s="294">
        <f t="shared" si="3"/>
        <v>588</v>
      </c>
    </row>
    <row r="9" spans="1:49">
      <c r="A9" s="461" t="s">
        <v>59</v>
      </c>
      <c r="B9" s="302" t="s">
        <v>356</v>
      </c>
      <c r="C9" s="302">
        <v>3073.4</v>
      </c>
      <c r="D9" s="304">
        <v>1696.6100000000001</v>
      </c>
      <c r="G9" s="204">
        <v>112</v>
      </c>
      <c r="H9" s="204" t="s">
        <v>126</v>
      </c>
      <c r="I9" s="204" t="str">
        <f>_xlfn.XLOOKUP(H9,[2]Dropdown!B:B,[2]Dropdown!C:C)</f>
        <v>בריאות וטיפולים</v>
      </c>
      <c r="J9" s="204" t="s">
        <v>20</v>
      </c>
      <c r="P9" s="288" t="s">
        <v>423</v>
      </c>
      <c r="Q9" s="297">
        <f t="shared" si="0"/>
        <v>3582.7200000000003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1"/>
        <v>0</v>
      </c>
      <c r="AC9" s="297">
        <f t="shared" si="1"/>
        <v>0</v>
      </c>
      <c r="AD9" s="297">
        <f t="shared" si="1"/>
        <v>0</v>
      </c>
      <c r="AE9" s="297">
        <f t="shared" si="1"/>
        <v>0</v>
      </c>
      <c r="AF9" s="297">
        <f t="shared" si="1"/>
        <v>0</v>
      </c>
      <c r="AG9" s="297">
        <f t="shared" si="1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2"/>
        <v>0</v>
      </c>
      <c r="AM9" s="297">
        <f t="shared" si="2"/>
        <v>0</v>
      </c>
      <c r="AN9" s="297">
        <f t="shared" si="2"/>
        <v>0</v>
      </c>
      <c r="AO9" s="297">
        <f t="shared" si="2"/>
        <v>0</v>
      </c>
      <c r="AP9" s="297">
        <f t="shared" si="2"/>
        <v>0</v>
      </c>
      <c r="AQ9" s="297">
        <f t="shared" si="2"/>
        <v>0</v>
      </c>
      <c r="AR9" s="297">
        <f t="shared" si="2"/>
        <v>0</v>
      </c>
      <c r="AS9" s="297">
        <f t="shared" si="2"/>
        <v>0</v>
      </c>
      <c r="AT9" s="297">
        <f t="shared" si="2"/>
        <v>0</v>
      </c>
      <c r="AU9" s="297">
        <f t="shared" si="2"/>
        <v>0</v>
      </c>
      <c r="AV9" s="297">
        <f t="shared" si="2"/>
        <v>0</v>
      </c>
      <c r="AW9" s="294">
        <f t="shared" si="3"/>
        <v>3582.7200000000003</v>
      </c>
    </row>
    <row r="10" spans="1:49">
      <c r="A10" s="460"/>
      <c r="B10" s="302" t="s">
        <v>8</v>
      </c>
      <c r="C10" s="305">
        <v>454.3</v>
      </c>
      <c r="D10" s="306"/>
      <c r="G10" s="204">
        <v>387</v>
      </c>
      <c r="H10" s="204" t="s">
        <v>127</v>
      </c>
      <c r="I10" s="204" t="str">
        <f>_xlfn.XLOOKUP(H10,[2]Dropdown!B:B,[2]Dropdown!C:C)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1"/>
        <v>0</v>
      </c>
      <c r="AC10" s="297">
        <f t="shared" si="1"/>
        <v>0</v>
      </c>
      <c r="AD10" s="297">
        <f t="shared" si="1"/>
        <v>0</v>
      </c>
      <c r="AE10" s="297">
        <f t="shared" si="1"/>
        <v>0</v>
      </c>
      <c r="AF10" s="297">
        <f t="shared" si="1"/>
        <v>0</v>
      </c>
      <c r="AG10" s="297">
        <f t="shared" si="1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2"/>
        <v>0</v>
      </c>
      <c r="AM10" s="297">
        <f t="shared" si="2"/>
        <v>0</v>
      </c>
      <c r="AN10" s="297">
        <f t="shared" si="2"/>
        <v>0</v>
      </c>
      <c r="AO10" s="297">
        <f t="shared" si="2"/>
        <v>0</v>
      </c>
      <c r="AP10" s="297">
        <f t="shared" si="2"/>
        <v>0</v>
      </c>
      <c r="AQ10" s="297">
        <f t="shared" si="2"/>
        <v>0</v>
      </c>
      <c r="AR10" s="297">
        <f t="shared" si="2"/>
        <v>0</v>
      </c>
      <c r="AS10" s="297">
        <f t="shared" si="2"/>
        <v>0</v>
      </c>
      <c r="AT10" s="297">
        <f t="shared" si="2"/>
        <v>0</v>
      </c>
      <c r="AU10" s="297">
        <f t="shared" si="2"/>
        <v>0</v>
      </c>
      <c r="AV10" s="297">
        <f t="shared" si="2"/>
        <v>0</v>
      </c>
      <c r="AW10" s="294">
        <f t="shared" si="3"/>
        <v>0</v>
      </c>
    </row>
    <row r="11" spans="1:49">
      <c r="A11" s="461" t="s">
        <v>12</v>
      </c>
      <c r="B11" s="302" t="s">
        <v>19</v>
      </c>
      <c r="C11" s="302">
        <v>0</v>
      </c>
      <c r="D11" s="304">
        <v>10</v>
      </c>
      <c r="G11" s="204">
        <v>100</v>
      </c>
      <c r="H11" s="204" t="s">
        <v>86</v>
      </c>
      <c r="I11" s="204" t="str">
        <f>_xlfn.XLOOKUP(H11,[2]Dropdown!B:B,[2]Dropdown!C:C)</f>
        <v>תחזוקת דירה ותקשורת</v>
      </c>
      <c r="J11" s="204" t="s">
        <v>20</v>
      </c>
      <c r="P11" s="288" t="s">
        <v>421</v>
      </c>
      <c r="Q11" s="297">
        <f t="shared" si="0"/>
        <v>1392.26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1"/>
        <v>0</v>
      </c>
      <c r="AC11" s="297">
        <f t="shared" si="1"/>
        <v>0</v>
      </c>
      <c r="AD11" s="297">
        <f t="shared" si="1"/>
        <v>0</v>
      </c>
      <c r="AE11" s="297">
        <f t="shared" si="1"/>
        <v>0</v>
      </c>
      <c r="AF11" s="297">
        <f t="shared" si="1"/>
        <v>0</v>
      </c>
      <c r="AG11" s="297">
        <f t="shared" si="1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2"/>
        <v>0</v>
      </c>
      <c r="AM11" s="297">
        <f t="shared" si="2"/>
        <v>0</v>
      </c>
      <c r="AN11" s="297">
        <f t="shared" si="2"/>
        <v>0</v>
      </c>
      <c r="AO11" s="297">
        <f t="shared" si="2"/>
        <v>0</v>
      </c>
      <c r="AP11" s="297">
        <f t="shared" si="2"/>
        <v>0</v>
      </c>
      <c r="AQ11" s="297">
        <f t="shared" si="2"/>
        <v>0</v>
      </c>
      <c r="AR11" s="297">
        <f t="shared" si="2"/>
        <v>0</v>
      </c>
      <c r="AS11" s="297">
        <f t="shared" si="2"/>
        <v>0</v>
      </c>
      <c r="AT11" s="297">
        <f t="shared" si="2"/>
        <v>0</v>
      </c>
      <c r="AU11" s="297">
        <f t="shared" si="2"/>
        <v>0</v>
      </c>
      <c r="AV11" s="297">
        <f t="shared" si="2"/>
        <v>0</v>
      </c>
      <c r="AW11" s="294">
        <f t="shared" si="3"/>
        <v>1392.26</v>
      </c>
    </row>
    <row r="12" spans="1:49">
      <c r="A12" s="458"/>
      <c r="B12" s="302" t="s">
        <v>336</v>
      </c>
      <c r="C12" s="305"/>
      <c r="D12" s="306">
        <v>14000</v>
      </c>
      <c r="G12" s="204">
        <v>0</v>
      </c>
      <c r="H12" s="204" t="s">
        <v>71</v>
      </c>
      <c r="I12" s="204" t="str">
        <f>_xlfn.XLOOKUP(H12,[2]Dropdown!B:B,[2]Dropdown!C:C)</f>
        <v>תחזוקת דירה ותקשורת</v>
      </c>
      <c r="J12" s="204" t="s">
        <v>20</v>
      </c>
      <c r="P12" s="288" t="s">
        <v>420</v>
      </c>
      <c r="Q12" s="297">
        <f t="shared" si="0"/>
        <v>5104.43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1"/>
        <v>0</v>
      </c>
      <c r="AC12" s="297">
        <f t="shared" si="1"/>
        <v>0</v>
      </c>
      <c r="AD12" s="297">
        <f t="shared" si="1"/>
        <v>0</v>
      </c>
      <c r="AE12" s="297">
        <f t="shared" si="1"/>
        <v>0</v>
      </c>
      <c r="AF12" s="297">
        <f t="shared" si="1"/>
        <v>0</v>
      </c>
      <c r="AG12" s="297">
        <f t="shared" si="1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2"/>
        <v>0</v>
      </c>
      <c r="AM12" s="297">
        <f t="shared" si="2"/>
        <v>0</v>
      </c>
      <c r="AN12" s="297">
        <f t="shared" si="2"/>
        <v>0</v>
      </c>
      <c r="AO12" s="297">
        <f t="shared" si="2"/>
        <v>0</v>
      </c>
      <c r="AP12" s="297">
        <f t="shared" si="2"/>
        <v>0</v>
      </c>
      <c r="AQ12" s="297">
        <f t="shared" si="2"/>
        <v>0</v>
      </c>
      <c r="AR12" s="297">
        <f t="shared" si="2"/>
        <v>0</v>
      </c>
      <c r="AS12" s="297">
        <f t="shared" si="2"/>
        <v>0</v>
      </c>
      <c r="AT12" s="297">
        <f t="shared" si="2"/>
        <v>0</v>
      </c>
      <c r="AU12" s="297">
        <f t="shared" si="2"/>
        <v>0</v>
      </c>
      <c r="AV12" s="297">
        <f t="shared" si="2"/>
        <v>0</v>
      </c>
      <c r="AW12" s="294">
        <f t="shared" si="3"/>
        <v>5104.43</v>
      </c>
    </row>
    <row r="13" spans="1:49">
      <c r="A13" s="460"/>
      <c r="B13" s="302" t="s">
        <v>20</v>
      </c>
      <c r="C13" s="305">
        <v>-1720</v>
      </c>
      <c r="D13" s="306"/>
      <c r="G13" s="204">
        <v>0</v>
      </c>
      <c r="H13" s="204" t="s">
        <v>111</v>
      </c>
      <c r="I13" s="204" t="str">
        <f>_xlfn.XLOOKUP(H13,[2]Dropdown!B:B,[2]Dropdown!C:C)</f>
        <v>ילדים וחינוך</v>
      </c>
      <c r="J13" s="204" t="s">
        <v>20</v>
      </c>
      <c r="P13" s="288" t="s">
        <v>339</v>
      </c>
      <c r="Q13" s="297">
        <f t="shared" si="0"/>
        <v>41161.61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1"/>
        <v>0</v>
      </c>
      <c r="AC13" s="297">
        <f t="shared" si="1"/>
        <v>0</v>
      </c>
      <c r="AD13" s="297">
        <f t="shared" si="1"/>
        <v>0</v>
      </c>
      <c r="AE13" s="297">
        <f t="shared" si="1"/>
        <v>0</v>
      </c>
      <c r="AF13" s="297">
        <f t="shared" si="1"/>
        <v>0</v>
      </c>
      <c r="AG13" s="297">
        <f t="shared" si="1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2"/>
        <v>0</v>
      </c>
      <c r="AM13" s="297">
        <f t="shared" si="2"/>
        <v>0</v>
      </c>
      <c r="AN13" s="297">
        <f t="shared" si="2"/>
        <v>0</v>
      </c>
      <c r="AO13" s="297">
        <f t="shared" si="2"/>
        <v>0</v>
      </c>
      <c r="AP13" s="297">
        <f t="shared" si="2"/>
        <v>0</v>
      </c>
      <c r="AQ13" s="297">
        <f t="shared" si="2"/>
        <v>0</v>
      </c>
      <c r="AR13" s="297">
        <f t="shared" si="2"/>
        <v>0</v>
      </c>
      <c r="AS13" s="297">
        <f t="shared" si="2"/>
        <v>0</v>
      </c>
      <c r="AT13" s="297">
        <f t="shared" si="2"/>
        <v>0</v>
      </c>
      <c r="AU13" s="297">
        <f t="shared" si="2"/>
        <v>0</v>
      </c>
      <c r="AV13" s="297">
        <f t="shared" si="2"/>
        <v>0</v>
      </c>
      <c r="AW13" s="294">
        <f t="shared" si="3"/>
        <v>41161.61</v>
      </c>
    </row>
    <row r="14" spans="1:49">
      <c r="A14" s="229" t="s">
        <v>21</v>
      </c>
      <c r="B14" s="302" t="s">
        <v>22</v>
      </c>
      <c r="C14" s="302"/>
      <c r="D14" s="304"/>
      <c r="G14" s="204">
        <v>0</v>
      </c>
      <c r="H14" s="204" t="s">
        <v>111</v>
      </c>
      <c r="I14" s="204" t="str">
        <f>_xlfn.XLOOKUP(H14,[2]Dropdown!B:B,[2]Dropdown!C:C)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302"/>
      <c r="C15" s="305">
        <v>-4200.3</v>
      </c>
      <c r="D15" s="306">
        <v>0</v>
      </c>
      <c r="G15" s="204">
        <v>1703.25</v>
      </c>
      <c r="H15" s="204" t="s">
        <v>68</v>
      </c>
      <c r="I15" s="204" t="str">
        <f>_xlfn.XLOOKUP(H15,[2]Dropdown!B:B,[2]Dropdown!C:C)</f>
        <v>תחזוקת דירה ותקשורת</v>
      </c>
      <c r="J15" s="204" t="s">
        <v>179</v>
      </c>
    </row>
    <row r="16" spans="1:49">
      <c r="A16" s="229" t="s">
        <v>23</v>
      </c>
      <c r="B16" s="302" t="s">
        <v>11</v>
      </c>
      <c r="C16" s="302">
        <v>4000</v>
      </c>
      <c r="D16" s="304">
        <v>0</v>
      </c>
      <c r="G16" s="204">
        <v>1521.12</v>
      </c>
      <c r="H16" s="204" t="s">
        <v>68</v>
      </c>
      <c r="I16" s="204" t="str">
        <f>_xlfn.XLOOKUP(H16,[2]Dropdown!B:B,[2]Dropdown!C:C)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307"/>
      <c r="C17" s="308"/>
      <c r="D17" s="309"/>
      <c r="G17" s="204">
        <v>1417.68</v>
      </c>
      <c r="H17" s="204" t="s">
        <v>68</v>
      </c>
      <c r="I17" s="204" t="str">
        <f>_xlfn.XLOOKUP(H17,[2]Dropdown!B:B,[2]Dropdown!C:C)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310"/>
      <c r="C18" s="311">
        <v>33400.14</v>
      </c>
      <c r="D18" s="312">
        <v>36601.350000000006</v>
      </c>
      <c r="E18" s="278"/>
      <c r="G18" s="204">
        <v>616.79</v>
      </c>
      <c r="H18" s="204" t="s">
        <v>73</v>
      </c>
      <c r="I18" s="204" t="str">
        <f>_xlfn.XLOOKUP(H18,[2]Dropdown!B:B,[2]Dropdown!C:C)</f>
        <v>תחזוקת דירה ותקשורת</v>
      </c>
      <c r="J18" s="204" t="s">
        <v>168</v>
      </c>
      <c r="P18" s="296" t="s">
        <v>426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04">
        <v>97.97</v>
      </c>
      <c r="H19" s="204" t="s">
        <v>77</v>
      </c>
      <c r="I19" s="204" t="str">
        <f>_xlfn.XLOOKUP(H19,[2]Dropdown!B:B,[2]Dropdown!C:C)</f>
        <v>תחזוקת דירה ותקשורת</v>
      </c>
      <c r="J19" s="204" t="s">
        <v>166</v>
      </c>
      <c r="P19" s="295" t="str" cm="1">
        <f t="array" ref="P19:P37">_xlfn._xlws.FILTER(Dropdown!$B:$B,Dropdown!$C:$C = $P$18)</f>
        <v>משכנתא</v>
      </c>
      <c r="Q19" s="297">
        <f t="shared" ref="Q19:Q37" si="4">SUMIFS($G:$G,$H:$H,$P19,$F:$F,"")</f>
        <v>4642.05</v>
      </c>
      <c r="R19" s="297">
        <f t="shared" ref="R19:AG34" si="5">SUMIFS($G:$G,$H:$H,$P19,$F:$F,TEXT(R$5,"00") &amp; "." &amp; TEXT($A$1,"00"))</f>
        <v>0</v>
      </c>
      <c r="S19" s="297">
        <f t="shared" si="5"/>
        <v>0</v>
      </c>
      <c r="T19" s="297">
        <f t="shared" si="5"/>
        <v>0</v>
      </c>
      <c r="U19" s="297">
        <f t="shared" si="5"/>
        <v>0</v>
      </c>
      <c r="V19" s="297">
        <f t="shared" si="5"/>
        <v>0</v>
      </c>
      <c r="W19" s="297">
        <f t="shared" si="5"/>
        <v>0</v>
      </c>
      <c r="X19" s="297">
        <f t="shared" si="5"/>
        <v>0</v>
      </c>
      <c r="Y19" s="297">
        <f t="shared" si="5"/>
        <v>0</v>
      </c>
      <c r="Z19" s="297">
        <f t="shared" si="5"/>
        <v>0</v>
      </c>
      <c r="AA19" s="297">
        <f t="shared" si="5"/>
        <v>0</v>
      </c>
      <c r="AB19" s="297">
        <f t="shared" si="5"/>
        <v>0</v>
      </c>
      <c r="AC19" s="297">
        <f t="shared" si="5"/>
        <v>0</v>
      </c>
      <c r="AD19" s="297">
        <f t="shared" si="5"/>
        <v>0</v>
      </c>
      <c r="AE19" s="297">
        <f t="shared" si="5"/>
        <v>0</v>
      </c>
      <c r="AF19" s="297">
        <f t="shared" si="5"/>
        <v>0</v>
      </c>
      <c r="AG19" s="297">
        <f t="shared" si="5"/>
        <v>0</v>
      </c>
      <c r="AH19" s="297">
        <f t="shared" ref="AH19:AV34" si="6">SUMIFS($G:$G,$H:$H,$P19,$F:$F,TEXT(AH$5,"00") &amp; "." &amp; TEXT($A$1,"00"))</f>
        <v>0</v>
      </c>
      <c r="AI19" s="297">
        <f t="shared" si="6"/>
        <v>0</v>
      </c>
      <c r="AJ19" s="297">
        <f t="shared" si="6"/>
        <v>0</v>
      </c>
      <c r="AK19" s="297">
        <f t="shared" si="6"/>
        <v>0</v>
      </c>
      <c r="AL19" s="297">
        <f t="shared" si="6"/>
        <v>0</v>
      </c>
      <c r="AM19" s="297">
        <f t="shared" si="6"/>
        <v>0</v>
      </c>
      <c r="AN19" s="297">
        <f t="shared" si="6"/>
        <v>0</v>
      </c>
      <c r="AO19" s="297">
        <f t="shared" si="6"/>
        <v>0</v>
      </c>
      <c r="AP19" s="297">
        <f t="shared" si="6"/>
        <v>0</v>
      </c>
      <c r="AQ19" s="297">
        <f t="shared" si="6"/>
        <v>0</v>
      </c>
      <c r="AR19" s="297">
        <f t="shared" si="6"/>
        <v>0</v>
      </c>
      <c r="AS19" s="297">
        <f t="shared" si="6"/>
        <v>0</v>
      </c>
      <c r="AT19" s="297">
        <f t="shared" si="6"/>
        <v>0</v>
      </c>
      <c r="AU19" s="297">
        <f t="shared" si="6"/>
        <v>0</v>
      </c>
      <c r="AV19" s="297">
        <f t="shared" si="6"/>
        <v>0</v>
      </c>
      <c r="AW19" s="294">
        <f t="shared" ref="AW19:AW37" si="7">SUM(Q19:AV19)</f>
        <v>4642.05</v>
      </c>
    </row>
    <row r="20" spans="1:49">
      <c r="A20" s="462" t="s">
        <v>25</v>
      </c>
      <c r="B20" s="313" t="s">
        <v>337</v>
      </c>
      <c r="C20" s="313">
        <v>15004.26</v>
      </c>
      <c r="D20" s="314">
        <v>0</v>
      </c>
      <c r="E20" s="278"/>
      <c r="G20" s="204">
        <v>69.900000000000006</v>
      </c>
      <c r="H20" s="204" t="s">
        <v>77</v>
      </c>
      <c r="I20" s="204" t="str">
        <f>_xlfn.XLOOKUP(H20,[2]Dropdown!B:B,[2]Dropdown!C:C)</f>
        <v>תחזוקת דירה ותקשורת</v>
      </c>
      <c r="J20" s="204" t="s">
        <v>169</v>
      </c>
      <c r="P20" s="295" t="str">
        <v>שכר דירה</v>
      </c>
      <c r="Q20" s="297">
        <f t="shared" si="4"/>
        <v>0</v>
      </c>
      <c r="R20" s="297">
        <f t="shared" si="5"/>
        <v>0</v>
      </c>
      <c r="S20" s="297">
        <f t="shared" si="5"/>
        <v>0</v>
      </c>
      <c r="T20" s="297">
        <f t="shared" si="5"/>
        <v>0</v>
      </c>
      <c r="U20" s="297">
        <f t="shared" si="5"/>
        <v>0</v>
      </c>
      <c r="V20" s="297">
        <f t="shared" si="5"/>
        <v>0</v>
      </c>
      <c r="W20" s="297">
        <f t="shared" si="5"/>
        <v>0</v>
      </c>
      <c r="X20" s="297">
        <f t="shared" si="5"/>
        <v>0</v>
      </c>
      <c r="Y20" s="297">
        <f t="shared" si="5"/>
        <v>0</v>
      </c>
      <c r="Z20" s="297">
        <f t="shared" si="5"/>
        <v>0</v>
      </c>
      <c r="AA20" s="297">
        <f t="shared" si="5"/>
        <v>0</v>
      </c>
      <c r="AB20" s="297">
        <f t="shared" si="5"/>
        <v>0</v>
      </c>
      <c r="AC20" s="297">
        <f t="shared" si="5"/>
        <v>0</v>
      </c>
      <c r="AD20" s="297">
        <f t="shared" si="5"/>
        <v>0</v>
      </c>
      <c r="AE20" s="297">
        <f t="shared" si="5"/>
        <v>0</v>
      </c>
      <c r="AF20" s="297">
        <f t="shared" si="5"/>
        <v>0</v>
      </c>
      <c r="AG20" s="297">
        <f t="shared" si="5"/>
        <v>0</v>
      </c>
      <c r="AH20" s="297">
        <f t="shared" si="6"/>
        <v>0</v>
      </c>
      <c r="AI20" s="297">
        <f t="shared" si="6"/>
        <v>0</v>
      </c>
      <c r="AJ20" s="297">
        <f t="shared" si="6"/>
        <v>0</v>
      </c>
      <c r="AK20" s="297">
        <f t="shared" si="6"/>
        <v>0</v>
      </c>
      <c r="AL20" s="297">
        <f t="shared" si="6"/>
        <v>0</v>
      </c>
      <c r="AM20" s="297">
        <f t="shared" si="6"/>
        <v>0</v>
      </c>
      <c r="AN20" s="297">
        <f t="shared" si="6"/>
        <v>0</v>
      </c>
      <c r="AO20" s="297">
        <f t="shared" si="6"/>
        <v>0</v>
      </c>
      <c r="AP20" s="297">
        <f t="shared" si="6"/>
        <v>0</v>
      </c>
      <c r="AQ20" s="297">
        <f t="shared" si="6"/>
        <v>0</v>
      </c>
      <c r="AR20" s="297">
        <f t="shared" si="6"/>
        <v>0</v>
      </c>
      <c r="AS20" s="297">
        <f t="shared" si="6"/>
        <v>0</v>
      </c>
      <c r="AT20" s="297">
        <f t="shared" si="6"/>
        <v>0</v>
      </c>
      <c r="AU20" s="297">
        <f t="shared" si="6"/>
        <v>0</v>
      </c>
      <c r="AV20" s="297">
        <f t="shared" si="6"/>
        <v>0</v>
      </c>
      <c r="AW20" s="294">
        <f t="shared" si="7"/>
        <v>0</v>
      </c>
    </row>
    <row r="21" spans="1:49">
      <c r="A21" s="458"/>
      <c r="B21" s="302" t="s">
        <v>338</v>
      </c>
      <c r="C21" s="302">
        <v>14000</v>
      </c>
      <c r="D21" s="304">
        <v>42731</v>
      </c>
      <c r="G21" s="204">
        <v>122.4</v>
      </c>
      <c r="H21" s="204" t="s">
        <v>76</v>
      </c>
      <c r="I21" s="204" t="str">
        <f>_xlfn.XLOOKUP(H21,[2]Dropdown!B:B,[2]Dropdown!C:C)</f>
        <v>תחזוקת דירה ותקשורת</v>
      </c>
      <c r="J21" s="204" t="s">
        <v>166</v>
      </c>
      <c r="P21" s="295" t="str">
        <v>ארנונה</v>
      </c>
      <c r="Q21" s="297">
        <f t="shared" si="4"/>
        <v>0</v>
      </c>
      <c r="R21" s="297">
        <f t="shared" si="5"/>
        <v>0</v>
      </c>
      <c r="S21" s="297">
        <f t="shared" si="5"/>
        <v>0</v>
      </c>
      <c r="T21" s="297">
        <f t="shared" si="5"/>
        <v>0</v>
      </c>
      <c r="U21" s="297">
        <f t="shared" si="5"/>
        <v>0</v>
      </c>
      <c r="V21" s="297">
        <f t="shared" si="5"/>
        <v>0</v>
      </c>
      <c r="W21" s="297">
        <f t="shared" si="5"/>
        <v>0</v>
      </c>
      <c r="X21" s="297">
        <f t="shared" si="5"/>
        <v>0</v>
      </c>
      <c r="Y21" s="297">
        <f t="shared" si="5"/>
        <v>0</v>
      </c>
      <c r="Z21" s="297">
        <f t="shared" si="5"/>
        <v>0</v>
      </c>
      <c r="AA21" s="297">
        <f t="shared" si="5"/>
        <v>0</v>
      </c>
      <c r="AB21" s="297">
        <f t="shared" si="5"/>
        <v>0</v>
      </c>
      <c r="AC21" s="297">
        <f t="shared" si="5"/>
        <v>0</v>
      </c>
      <c r="AD21" s="297">
        <f t="shared" si="5"/>
        <v>0</v>
      </c>
      <c r="AE21" s="297">
        <f t="shared" si="5"/>
        <v>0</v>
      </c>
      <c r="AF21" s="297">
        <f t="shared" si="5"/>
        <v>0</v>
      </c>
      <c r="AG21" s="297">
        <f t="shared" si="5"/>
        <v>0</v>
      </c>
      <c r="AH21" s="297">
        <f t="shared" si="6"/>
        <v>0</v>
      </c>
      <c r="AI21" s="297">
        <f t="shared" si="6"/>
        <v>0</v>
      </c>
      <c r="AJ21" s="297">
        <f t="shared" si="6"/>
        <v>0</v>
      </c>
      <c r="AK21" s="297">
        <f t="shared" si="6"/>
        <v>0</v>
      </c>
      <c r="AL21" s="297">
        <f t="shared" si="6"/>
        <v>0</v>
      </c>
      <c r="AM21" s="297">
        <f t="shared" si="6"/>
        <v>0</v>
      </c>
      <c r="AN21" s="297">
        <f t="shared" si="6"/>
        <v>0</v>
      </c>
      <c r="AO21" s="297">
        <f t="shared" si="6"/>
        <v>0</v>
      </c>
      <c r="AP21" s="297">
        <f t="shared" si="6"/>
        <v>0</v>
      </c>
      <c r="AQ21" s="297">
        <f t="shared" si="6"/>
        <v>0</v>
      </c>
      <c r="AR21" s="297">
        <f t="shared" si="6"/>
        <v>0</v>
      </c>
      <c r="AS21" s="297">
        <f t="shared" si="6"/>
        <v>0</v>
      </c>
      <c r="AT21" s="297">
        <f t="shared" si="6"/>
        <v>0</v>
      </c>
      <c r="AU21" s="297">
        <f t="shared" si="6"/>
        <v>0</v>
      </c>
      <c r="AV21" s="297">
        <f t="shared" si="6"/>
        <v>0</v>
      </c>
      <c r="AW21" s="294">
        <f t="shared" si="7"/>
        <v>0</v>
      </c>
    </row>
    <row r="22" spans="1:49">
      <c r="A22" s="458"/>
      <c r="B22" s="302" t="s">
        <v>26</v>
      </c>
      <c r="C22" s="302">
        <v>269</v>
      </c>
      <c r="D22" s="304"/>
      <c r="G22" s="204">
        <v>80.94</v>
      </c>
      <c r="H22" s="204" t="s">
        <v>127</v>
      </c>
      <c r="I22" s="204" t="str">
        <f>_xlfn.XLOOKUP(H22,[2]Dropdown!B:B,[2]Dropdown!C:C)</f>
        <v>בריאות וטיפולים</v>
      </c>
      <c r="J22" s="204" t="s">
        <v>166</v>
      </c>
      <c r="M22" s="275" t="s">
        <v>453</v>
      </c>
      <c r="P22" s="295" t="str">
        <v>מים</v>
      </c>
      <c r="Q22" s="297">
        <f t="shared" si="4"/>
        <v>0</v>
      </c>
      <c r="R22" s="297">
        <f t="shared" si="5"/>
        <v>0</v>
      </c>
      <c r="S22" s="297">
        <f t="shared" si="5"/>
        <v>0</v>
      </c>
      <c r="T22" s="297">
        <f t="shared" si="5"/>
        <v>0</v>
      </c>
      <c r="U22" s="297">
        <f t="shared" si="5"/>
        <v>0</v>
      </c>
      <c r="V22" s="297">
        <f t="shared" si="5"/>
        <v>0</v>
      </c>
      <c r="W22" s="297">
        <f t="shared" si="5"/>
        <v>0</v>
      </c>
      <c r="X22" s="297">
        <f t="shared" si="5"/>
        <v>0</v>
      </c>
      <c r="Y22" s="297">
        <f t="shared" si="5"/>
        <v>0</v>
      </c>
      <c r="Z22" s="297">
        <f t="shared" si="5"/>
        <v>0</v>
      </c>
      <c r="AA22" s="297">
        <f t="shared" si="5"/>
        <v>0</v>
      </c>
      <c r="AB22" s="297">
        <f t="shared" si="5"/>
        <v>0</v>
      </c>
      <c r="AC22" s="297">
        <f t="shared" si="5"/>
        <v>0</v>
      </c>
      <c r="AD22" s="297">
        <f t="shared" si="5"/>
        <v>0</v>
      </c>
      <c r="AE22" s="297">
        <f t="shared" si="5"/>
        <v>0</v>
      </c>
      <c r="AF22" s="297">
        <f t="shared" si="5"/>
        <v>0</v>
      </c>
      <c r="AG22" s="297">
        <f t="shared" si="5"/>
        <v>0</v>
      </c>
      <c r="AH22" s="297">
        <f t="shared" si="6"/>
        <v>0</v>
      </c>
      <c r="AI22" s="297">
        <f t="shared" si="6"/>
        <v>0</v>
      </c>
      <c r="AJ22" s="297">
        <f t="shared" si="6"/>
        <v>0</v>
      </c>
      <c r="AK22" s="297">
        <f t="shared" si="6"/>
        <v>0</v>
      </c>
      <c r="AL22" s="297">
        <f t="shared" si="6"/>
        <v>0</v>
      </c>
      <c r="AM22" s="297">
        <f t="shared" si="6"/>
        <v>0</v>
      </c>
      <c r="AN22" s="297">
        <f t="shared" si="6"/>
        <v>0</v>
      </c>
      <c r="AO22" s="297">
        <f t="shared" si="6"/>
        <v>0</v>
      </c>
      <c r="AP22" s="297">
        <f t="shared" si="6"/>
        <v>0</v>
      </c>
      <c r="AQ22" s="297">
        <f t="shared" si="6"/>
        <v>0</v>
      </c>
      <c r="AR22" s="297">
        <f t="shared" si="6"/>
        <v>0</v>
      </c>
      <c r="AS22" s="297">
        <f t="shared" si="6"/>
        <v>0</v>
      </c>
      <c r="AT22" s="297">
        <f t="shared" si="6"/>
        <v>0</v>
      </c>
      <c r="AU22" s="297">
        <f t="shared" si="6"/>
        <v>0</v>
      </c>
      <c r="AV22" s="297">
        <f t="shared" si="6"/>
        <v>0</v>
      </c>
      <c r="AW22" s="294">
        <f t="shared" si="7"/>
        <v>0</v>
      </c>
    </row>
    <row r="23" spans="1:49">
      <c r="A23" s="459"/>
      <c r="B23" s="307" t="s">
        <v>339</v>
      </c>
      <c r="C23" s="307">
        <v>2280</v>
      </c>
      <c r="D23" s="309"/>
      <c r="G23" s="204">
        <v>10.42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454</v>
      </c>
      <c r="P23" s="295" t="str">
        <v>חשמל</v>
      </c>
      <c r="Q23" s="297">
        <f t="shared" si="4"/>
        <v>616.79</v>
      </c>
      <c r="R23" s="297">
        <f t="shared" si="5"/>
        <v>0</v>
      </c>
      <c r="S23" s="297">
        <f t="shared" si="5"/>
        <v>0</v>
      </c>
      <c r="T23" s="297">
        <f t="shared" si="5"/>
        <v>0</v>
      </c>
      <c r="U23" s="297">
        <f t="shared" si="5"/>
        <v>0</v>
      </c>
      <c r="V23" s="297">
        <f t="shared" si="5"/>
        <v>0</v>
      </c>
      <c r="W23" s="297">
        <f t="shared" si="5"/>
        <v>0</v>
      </c>
      <c r="X23" s="297">
        <f t="shared" si="5"/>
        <v>0</v>
      </c>
      <c r="Y23" s="297">
        <f t="shared" si="5"/>
        <v>0</v>
      </c>
      <c r="Z23" s="297">
        <f t="shared" si="5"/>
        <v>0</v>
      </c>
      <c r="AA23" s="297">
        <f t="shared" si="5"/>
        <v>0</v>
      </c>
      <c r="AB23" s="297">
        <f t="shared" si="5"/>
        <v>0</v>
      </c>
      <c r="AC23" s="297">
        <f t="shared" si="5"/>
        <v>0</v>
      </c>
      <c r="AD23" s="297">
        <f t="shared" si="5"/>
        <v>0</v>
      </c>
      <c r="AE23" s="297">
        <f t="shared" si="5"/>
        <v>0</v>
      </c>
      <c r="AF23" s="297">
        <f t="shared" si="5"/>
        <v>0</v>
      </c>
      <c r="AG23" s="297">
        <f t="shared" si="5"/>
        <v>0</v>
      </c>
      <c r="AH23" s="297">
        <f t="shared" si="6"/>
        <v>0</v>
      </c>
      <c r="AI23" s="297">
        <f t="shared" si="6"/>
        <v>0</v>
      </c>
      <c r="AJ23" s="297">
        <f t="shared" si="6"/>
        <v>0</v>
      </c>
      <c r="AK23" s="297">
        <f t="shared" si="6"/>
        <v>0</v>
      </c>
      <c r="AL23" s="297">
        <f t="shared" si="6"/>
        <v>0</v>
      </c>
      <c r="AM23" s="297">
        <f t="shared" si="6"/>
        <v>0</v>
      </c>
      <c r="AN23" s="297">
        <f t="shared" si="6"/>
        <v>0</v>
      </c>
      <c r="AO23" s="297">
        <f t="shared" si="6"/>
        <v>0</v>
      </c>
      <c r="AP23" s="297">
        <f t="shared" si="6"/>
        <v>0</v>
      </c>
      <c r="AQ23" s="297">
        <f t="shared" si="6"/>
        <v>0</v>
      </c>
      <c r="AR23" s="297">
        <f t="shared" si="6"/>
        <v>0</v>
      </c>
      <c r="AS23" s="297">
        <f t="shared" si="6"/>
        <v>0</v>
      </c>
      <c r="AT23" s="297">
        <f t="shared" si="6"/>
        <v>0</v>
      </c>
      <c r="AU23" s="297">
        <f t="shared" si="6"/>
        <v>0</v>
      </c>
      <c r="AV23" s="297">
        <f t="shared" si="6"/>
        <v>0</v>
      </c>
      <c r="AW23" s="294">
        <f t="shared" si="7"/>
        <v>616.79</v>
      </c>
    </row>
    <row r="24" spans="1:49">
      <c r="A24" s="261" t="s">
        <v>24</v>
      </c>
      <c r="B24" s="315"/>
      <c r="C24" s="315">
        <v>31553.260000000002</v>
      </c>
      <c r="D24" s="316">
        <v>42731</v>
      </c>
      <c r="G24" s="204">
        <v>53.91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454</v>
      </c>
      <c r="P24" s="295" t="str">
        <v>גז/נפט</v>
      </c>
      <c r="Q24" s="297">
        <f t="shared" si="4"/>
        <v>0</v>
      </c>
      <c r="R24" s="297">
        <f t="shared" si="5"/>
        <v>0</v>
      </c>
      <c r="S24" s="297">
        <f t="shared" si="5"/>
        <v>0</v>
      </c>
      <c r="T24" s="297">
        <f t="shared" si="5"/>
        <v>0</v>
      </c>
      <c r="U24" s="297">
        <f t="shared" si="5"/>
        <v>0</v>
      </c>
      <c r="V24" s="297">
        <f t="shared" si="5"/>
        <v>0</v>
      </c>
      <c r="W24" s="297">
        <f t="shared" si="5"/>
        <v>0</v>
      </c>
      <c r="X24" s="297">
        <f t="shared" si="5"/>
        <v>0</v>
      </c>
      <c r="Y24" s="297">
        <f t="shared" si="5"/>
        <v>0</v>
      </c>
      <c r="Z24" s="297">
        <f t="shared" si="5"/>
        <v>0</v>
      </c>
      <c r="AA24" s="297">
        <f t="shared" si="5"/>
        <v>0</v>
      </c>
      <c r="AB24" s="297">
        <f t="shared" si="5"/>
        <v>0</v>
      </c>
      <c r="AC24" s="297">
        <f t="shared" si="5"/>
        <v>0</v>
      </c>
      <c r="AD24" s="297">
        <f t="shared" si="5"/>
        <v>0</v>
      </c>
      <c r="AE24" s="297">
        <f t="shared" si="5"/>
        <v>0</v>
      </c>
      <c r="AF24" s="297">
        <f t="shared" si="5"/>
        <v>0</v>
      </c>
      <c r="AG24" s="297">
        <f t="shared" si="5"/>
        <v>0</v>
      </c>
      <c r="AH24" s="297">
        <f t="shared" si="6"/>
        <v>0</v>
      </c>
      <c r="AI24" s="297">
        <f t="shared" si="6"/>
        <v>0</v>
      </c>
      <c r="AJ24" s="297">
        <f t="shared" si="6"/>
        <v>0</v>
      </c>
      <c r="AK24" s="297">
        <f t="shared" si="6"/>
        <v>0</v>
      </c>
      <c r="AL24" s="297">
        <f t="shared" si="6"/>
        <v>0</v>
      </c>
      <c r="AM24" s="297">
        <f t="shared" si="6"/>
        <v>0</v>
      </c>
      <c r="AN24" s="297">
        <f t="shared" si="6"/>
        <v>0</v>
      </c>
      <c r="AO24" s="297">
        <f t="shared" si="6"/>
        <v>0</v>
      </c>
      <c r="AP24" s="297">
        <f t="shared" si="6"/>
        <v>0</v>
      </c>
      <c r="AQ24" s="297">
        <f t="shared" si="6"/>
        <v>0</v>
      </c>
      <c r="AR24" s="297">
        <f t="shared" si="6"/>
        <v>0</v>
      </c>
      <c r="AS24" s="297">
        <f t="shared" si="6"/>
        <v>0</v>
      </c>
      <c r="AT24" s="297">
        <f t="shared" si="6"/>
        <v>0</v>
      </c>
      <c r="AU24" s="297">
        <f t="shared" si="6"/>
        <v>0</v>
      </c>
      <c r="AV24" s="297">
        <f t="shared" si="6"/>
        <v>0</v>
      </c>
      <c r="AW24" s="294">
        <f t="shared" si="7"/>
        <v>0</v>
      </c>
    </row>
    <row r="25" spans="1:49">
      <c r="A25" s="236" t="s">
        <v>27</v>
      </c>
      <c r="B25" s="317" t="s">
        <v>27</v>
      </c>
      <c r="C25" s="317"/>
      <c r="D25" s="318">
        <v>2280</v>
      </c>
      <c r="G25" s="204">
        <v>279.37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טלפון (נייח)</v>
      </c>
      <c r="Q25" s="297">
        <f t="shared" si="4"/>
        <v>0</v>
      </c>
      <c r="R25" s="297">
        <f t="shared" si="5"/>
        <v>0</v>
      </c>
      <c r="S25" s="297">
        <f t="shared" si="5"/>
        <v>0</v>
      </c>
      <c r="T25" s="297">
        <f t="shared" si="5"/>
        <v>0</v>
      </c>
      <c r="U25" s="297">
        <f t="shared" si="5"/>
        <v>0</v>
      </c>
      <c r="V25" s="297">
        <f t="shared" si="5"/>
        <v>0</v>
      </c>
      <c r="W25" s="297">
        <f t="shared" si="5"/>
        <v>0</v>
      </c>
      <c r="X25" s="297">
        <f t="shared" si="5"/>
        <v>0</v>
      </c>
      <c r="Y25" s="297">
        <f t="shared" si="5"/>
        <v>0</v>
      </c>
      <c r="Z25" s="297">
        <f t="shared" si="5"/>
        <v>0</v>
      </c>
      <c r="AA25" s="297">
        <f t="shared" si="5"/>
        <v>0</v>
      </c>
      <c r="AB25" s="297">
        <f t="shared" si="5"/>
        <v>0</v>
      </c>
      <c r="AC25" s="297">
        <f t="shared" si="5"/>
        <v>0</v>
      </c>
      <c r="AD25" s="297">
        <f t="shared" si="5"/>
        <v>0</v>
      </c>
      <c r="AE25" s="297">
        <f t="shared" si="5"/>
        <v>0</v>
      </c>
      <c r="AF25" s="297">
        <f t="shared" si="5"/>
        <v>0</v>
      </c>
      <c r="AG25" s="297">
        <f t="shared" si="5"/>
        <v>0</v>
      </c>
      <c r="AH25" s="297">
        <f t="shared" si="6"/>
        <v>0</v>
      </c>
      <c r="AI25" s="297">
        <f t="shared" si="6"/>
        <v>0</v>
      </c>
      <c r="AJ25" s="297">
        <f t="shared" si="6"/>
        <v>0</v>
      </c>
      <c r="AK25" s="297">
        <f t="shared" si="6"/>
        <v>0</v>
      </c>
      <c r="AL25" s="297">
        <f t="shared" si="6"/>
        <v>0</v>
      </c>
      <c r="AM25" s="297">
        <f t="shared" si="6"/>
        <v>0</v>
      </c>
      <c r="AN25" s="297">
        <f t="shared" si="6"/>
        <v>0</v>
      </c>
      <c r="AO25" s="297">
        <f t="shared" si="6"/>
        <v>0</v>
      </c>
      <c r="AP25" s="297">
        <f t="shared" si="6"/>
        <v>0</v>
      </c>
      <c r="AQ25" s="297">
        <f t="shared" si="6"/>
        <v>0</v>
      </c>
      <c r="AR25" s="297">
        <f t="shared" si="6"/>
        <v>0</v>
      </c>
      <c r="AS25" s="297">
        <f t="shared" si="6"/>
        <v>0</v>
      </c>
      <c r="AT25" s="297">
        <f t="shared" si="6"/>
        <v>0</v>
      </c>
      <c r="AU25" s="297">
        <f t="shared" si="6"/>
        <v>0</v>
      </c>
      <c r="AV25" s="297">
        <f t="shared" si="6"/>
        <v>0</v>
      </c>
      <c r="AW25" s="294">
        <f t="shared" si="7"/>
        <v>0</v>
      </c>
    </row>
    <row r="26" spans="1:49" ht="13.5" thickBot="1">
      <c r="A26" s="263" t="s">
        <v>242</v>
      </c>
      <c r="B26" s="319"/>
      <c r="C26" s="319">
        <v>31553.260000000002</v>
      </c>
      <c r="D26" s="320">
        <v>45011</v>
      </c>
      <c r="G26" s="204">
        <v>276.68</v>
      </c>
      <c r="H26" s="204" t="s">
        <v>126</v>
      </c>
      <c r="I26" s="204" t="str">
        <f>_xlfn.XLOOKUP(H26,[2]Dropdown!B:B,[2]Dropdown!C:C)</f>
        <v>בריאות וטיפולים</v>
      </c>
      <c r="J26" s="204" t="s">
        <v>166</v>
      </c>
      <c r="M26" s="275" t="s">
        <v>455</v>
      </c>
      <c r="P26" s="295" t="str">
        <v>טלפונים ניידים</v>
      </c>
      <c r="Q26" s="297">
        <f t="shared" si="4"/>
        <v>122.4</v>
      </c>
      <c r="R26" s="297">
        <f t="shared" si="5"/>
        <v>0</v>
      </c>
      <c r="S26" s="297">
        <f t="shared" si="5"/>
        <v>0</v>
      </c>
      <c r="T26" s="297">
        <f t="shared" si="5"/>
        <v>0</v>
      </c>
      <c r="U26" s="297">
        <f t="shared" si="5"/>
        <v>0</v>
      </c>
      <c r="V26" s="297">
        <f t="shared" si="5"/>
        <v>0</v>
      </c>
      <c r="W26" s="297">
        <f t="shared" si="5"/>
        <v>0</v>
      </c>
      <c r="X26" s="297">
        <f t="shared" si="5"/>
        <v>0</v>
      </c>
      <c r="Y26" s="297">
        <f t="shared" si="5"/>
        <v>0</v>
      </c>
      <c r="Z26" s="297">
        <f t="shared" si="5"/>
        <v>0</v>
      </c>
      <c r="AA26" s="297">
        <f t="shared" si="5"/>
        <v>0</v>
      </c>
      <c r="AB26" s="297">
        <f t="shared" si="5"/>
        <v>0</v>
      </c>
      <c r="AC26" s="297">
        <f t="shared" si="5"/>
        <v>0</v>
      </c>
      <c r="AD26" s="297">
        <f t="shared" si="5"/>
        <v>0</v>
      </c>
      <c r="AE26" s="297">
        <f t="shared" si="5"/>
        <v>0</v>
      </c>
      <c r="AF26" s="297">
        <f t="shared" si="5"/>
        <v>0</v>
      </c>
      <c r="AG26" s="297">
        <f t="shared" si="5"/>
        <v>0</v>
      </c>
      <c r="AH26" s="297">
        <f t="shared" si="6"/>
        <v>0</v>
      </c>
      <c r="AI26" s="297">
        <f t="shared" si="6"/>
        <v>0</v>
      </c>
      <c r="AJ26" s="297">
        <f t="shared" si="6"/>
        <v>0</v>
      </c>
      <c r="AK26" s="297">
        <f t="shared" si="6"/>
        <v>0</v>
      </c>
      <c r="AL26" s="297">
        <f t="shared" si="6"/>
        <v>0</v>
      </c>
      <c r="AM26" s="297">
        <f t="shared" si="6"/>
        <v>0</v>
      </c>
      <c r="AN26" s="297">
        <f t="shared" si="6"/>
        <v>0</v>
      </c>
      <c r="AO26" s="297">
        <f t="shared" si="6"/>
        <v>0</v>
      </c>
      <c r="AP26" s="297">
        <f t="shared" si="6"/>
        <v>0</v>
      </c>
      <c r="AQ26" s="297">
        <f t="shared" si="6"/>
        <v>0</v>
      </c>
      <c r="AR26" s="297">
        <f t="shared" si="6"/>
        <v>0</v>
      </c>
      <c r="AS26" s="297">
        <f t="shared" si="6"/>
        <v>0</v>
      </c>
      <c r="AT26" s="297">
        <f t="shared" si="6"/>
        <v>0</v>
      </c>
      <c r="AU26" s="297">
        <f t="shared" si="6"/>
        <v>0</v>
      </c>
      <c r="AV26" s="297">
        <f t="shared" si="6"/>
        <v>0</v>
      </c>
      <c r="AW26" s="294">
        <f t="shared" si="7"/>
        <v>122.4</v>
      </c>
    </row>
    <row r="27" spans="1:49" ht="13.5" thickBot="1">
      <c r="A27" s="233"/>
      <c r="B27" s="234"/>
      <c r="C27" s="234"/>
      <c r="D27" s="234"/>
      <c r="G27" s="204">
        <v>191.94</v>
      </c>
      <c r="H27" s="204" t="s">
        <v>127</v>
      </c>
      <c r="I27" s="204" t="str">
        <f>_xlfn.XLOOKUP(H27,[2]Dropdown!B:B,[2]Dropdown!C:C)</f>
        <v>בריאות וטיפולים</v>
      </c>
      <c r="J27" s="204" t="s">
        <v>168</v>
      </c>
      <c r="P27" s="295" t="str">
        <v>ביוב</v>
      </c>
      <c r="Q27" s="297">
        <f t="shared" si="4"/>
        <v>0</v>
      </c>
      <c r="R27" s="297">
        <f t="shared" si="5"/>
        <v>0</v>
      </c>
      <c r="S27" s="297">
        <f t="shared" si="5"/>
        <v>0</v>
      </c>
      <c r="T27" s="297">
        <f t="shared" si="5"/>
        <v>0</v>
      </c>
      <c r="U27" s="297">
        <f t="shared" si="5"/>
        <v>0</v>
      </c>
      <c r="V27" s="297">
        <f t="shared" si="5"/>
        <v>0</v>
      </c>
      <c r="W27" s="297">
        <f t="shared" si="5"/>
        <v>0</v>
      </c>
      <c r="X27" s="297">
        <f t="shared" si="5"/>
        <v>0</v>
      </c>
      <c r="Y27" s="297">
        <f t="shared" si="5"/>
        <v>0</v>
      </c>
      <c r="Z27" s="297">
        <f t="shared" si="5"/>
        <v>0</v>
      </c>
      <c r="AA27" s="297">
        <f t="shared" si="5"/>
        <v>0</v>
      </c>
      <c r="AB27" s="297">
        <f t="shared" si="5"/>
        <v>0</v>
      </c>
      <c r="AC27" s="297">
        <f t="shared" si="5"/>
        <v>0</v>
      </c>
      <c r="AD27" s="297">
        <f t="shared" si="5"/>
        <v>0</v>
      </c>
      <c r="AE27" s="297">
        <f t="shared" si="5"/>
        <v>0</v>
      </c>
      <c r="AF27" s="297">
        <f t="shared" si="5"/>
        <v>0</v>
      </c>
      <c r="AG27" s="297">
        <f t="shared" si="5"/>
        <v>0</v>
      </c>
      <c r="AH27" s="297">
        <f t="shared" si="6"/>
        <v>0</v>
      </c>
      <c r="AI27" s="297">
        <f t="shared" si="6"/>
        <v>0</v>
      </c>
      <c r="AJ27" s="297">
        <f t="shared" si="6"/>
        <v>0</v>
      </c>
      <c r="AK27" s="297">
        <f t="shared" si="6"/>
        <v>0</v>
      </c>
      <c r="AL27" s="297">
        <f t="shared" si="6"/>
        <v>0</v>
      </c>
      <c r="AM27" s="297">
        <f t="shared" si="6"/>
        <v>0</v>
      </c>
      <c r="AN27" s="297">
        <f t="shared" si="6"/>
        <v>0</v>
      </c>
      <c r="AO27" s="297">
        <f t="shared" si="6"/>
        <v>0</v>
      </c>
      <c r="AP27" s="297">
        <f t="shared" si="6"/>
        <v>0</v>
      </c>
      <c r="AQ27" s="297">
        <f t="shared" si="6"/>
        <v>0</v>
      </c>
      <c r="AR27" s="297">
        <f t="shared" si="6"/>
        <v>0</v>
      </c>
      <c r="AS27" s="297">
        <f t="shared" si="6"/>
        <v>0</v>
      </c>
      <c r="AT27" s="297">
        <f t="shared" si="6"/>
        <v>0</v>
      </c>
      <c r="AU27" s="297">
        <f t="shared" si="6"/>
        <v>0</v>
      </c>
      <c r="AV27" s="297">
        <f t="shared" si="6"/>
        <v>0</v>
      </c>
      <c r="AW27" s="294">
        <f t="shared" si="7"/>
        <v>0</v>
      </c>
    </row>
    <row r="28" spans="1:49">
      <c r="A28" s="467" t="s">
        <v>28</v>
      </c>
      <c r="B28" s="321" t="s">
        <v>29</v>
      </c>
      <c r="C28" s="321">
        <v>-32401.730000000018</v>
      </c>
      <c r="D28" s="322">
        <v>154.26000000002387</v>
      </c>
      <c r="G28" s="204">
        <v>274.89999999999998</v>
      </c>
      <c r="H28" s="204" t="s">
        <v>133</v>
      </c>
      <c r="I28" s="204" t="str">
        <f>_xlfn.XLOOKUP(H28,[2]Dropdown!B:B,[2]Dropdown!C:C)</f>
        <v>ביטוחים ופיננסים</v>
      </c>
      <c r="J28" s="204" t="s">
        <v>168</v>
      </c>
      <c r="P28" s="295" t="str">
        <v>כבלים</v>
      </c>
      <c r="Q28" s="297">
        <f t="shared" si="4"/>
        <v>167.87</v>
      </c>
      <c r="R28" s="297">
        <f t="shared" si="5"/>
        <v>0</v>
      </c>
      <c r="S28" s="297">
        <f t="shared" si="5"/>
        <v>0</v>
      </c>
      <c r="T28" s="297">
        <f t="shared" si="5"/>
        <v>0</v>
      </c>
      <c r="U28" s="297">
        <f t="shared" si="5"/>
        <v>0</v>
      </c>
      <c r="V28" s="297">
        <f t="shared" si="5"/>
        <v>0</v>
      </c>
      <c r="W28" s="297">
        <f t="shared" si="5"/>
        <v>0</v>
      </c>
      <c r="X28" s="297">
        <f t="shared" si="5"/>
        <v>0</v>
      </c>
      <c r="Y28" s="297">
        <f t="shared" si="5"/>
        <v>0</v>
      </c>
      <c r="Z28" s="297">
        <f t="shared" si="5"/>
        <v>0</v>
      </c>
      <c r="AA28" s="297">
        <f t="shared" si="5"/>
        <v>0</v>
      </c>
      <c r="AB28" s="297">
        <f t="shared" si="5"/>
        <v>0</v>
      </c>
      <c r="AC28" s="297">
        <f t="shared" si="5"/>
        <v>0</v>
      </c>
      <c r="AD28" s="297">
        <f t="shared" si="5"/>
        <v>0</v>
      </c>
      <c r="AE28" s="297">
        <f t="shared" si="5"/>
        <v>0</v>
      </c>
      <c r="AF28" s="297">
        <f t="shared" si="5"/>
        <v>0</v>
      </c>
      <c r="AG28" s="297">
        <f t="shared" si="5"/>
        <v>0</v>
      </c>
      <c r="AH28" s="297">
        <f t="shared" si="6"/>
        <v>0</v>
      </c>
      <c r="AI28" s="297">
        <f t="shared" si="6"/>
        <v>0</v>
      </c>
      <c r="AJ28" s="297">
        <f t="shared" si="6"/>
        <v>0</v>
      </c>
      <c r="AK28" s="297">
        <f t="shared" si="6"/>
        <v>0</v>
      </c>
      <c r="AL28" s="297">
        <f t="shared" si="6"/>
        <v>0</v>
      </c>
      <c r="AM28" s="297">
        <f t="shared" si="6"/>
        <v>0</v>
      </c>
      <c r="AN28" s="297">
        <f t="shared" si="6"/>
        <v>0</v>
      </c>
      <c r="AO28" s="297">
        <f t="shared" si="6"/>
        <v>0</v>
      </c>
      <c r="AP28" s="297">
        <f t="shared" si="6"/>
        <v>0</v>
      </c>
      <c r="AQ28" s="297">
        <f t="shared" si="6"/>
        <v>0</v>
      </c>
      <c r="AR28" s="297">
        <f t="shared" si="6"/>
        <v>0</v>
      </c>
      <c r="AS28" s="297">
        <f t="shared" si="6"/>
        <v>0</v>
      </c>
      <c r="AT28" s="297">
        <f t="shared" si="6"/>
        <v>0</v>
      </c>
      <c r="AU28" s="297">
        <f t="shared" si="6"/>
        <v>0</v>
      </c>
      <c r="AV28" s="297">
        <f t="shared" si="6"/>
        <v>0</v>
      </c>
      <c r="AW28" s="294">
        <f t="shared" si="7"/>
        <v>167.87</v>
      </c>
    </row>
    <row r="29" spans="1:49">
      <c r="A29" s="468"/>
      <c r="B29" s="323" t="s">
        <v>30</v>
      </c>
      <c r="C29" s="324">
        <v>-34248.610000000015</v>
      </c>
      <c r="D29" s="325">
        <v>6283.910000000018</v>
      </c>
      <c r="G29" s="204">
        <v>521.98</v>
      </c>
      <c r="H29" s="204" t="s">
        <v>133</v>
      </c>
      <c r="I29" s="204" t="str">
        <f>_xlfn.XLOOKUP(H29,[2]Dropdown!B:B,[2]Dropdown!C:C)</f>
        <v>ביטוחים ופיננסים</v>
      </c>
      <c r="J29" s="204" t="s">
        <v>166</v>
      </c>
      <c r="M29" s="275" t="s">
        <v>454</v>
      </c>
      <c r="P29" s="295" t="str">
        <v>אינטרנט</v>
      </c>
      <c r="Q29" s="297">
        <f t="shared" si="4"/>
        <v>95</v>
      </c>
      <c r="R29" s="297">
        <f t="shared" si="5"/>
        <v>0</v>
      </c>
      <c r="S29" s="297">
        <f t="shared" si="5"/>
        <v>0</v>
      </c>
      <c r="T29" s="297">
        <f t="shared" si="5"/>
        <v>0</v>
      </c>
      <c r="U29" s="297">
        <f t="shared" si="5"/>
        <v>0</v>
      </c>
      <c r="V29" s="297">
        <f t="shared" si="5"/>
        <v>0</v>
      </c>
      <c r="W29" s="297">
        <f t="shared" si="5"/>
        <v>0</v>
      </c>
      <c r="X29" s="297">
        <f t="shared" si="5"/>
        <v>0</v>
      </c>
      <c r="Y29" s="297">
        <f t="shared" si="5"/>
        <v>0</v>
      </c>
      <c r="Z29" s="297">
        <f t="shared" si="5"/>
        <v>0</v>
      </c>
      <c r="AA29" s="297">
        <f t="shared" si="5"/>
        <v>0</v>
      </c>
      <c r="AB29" s="297">
        <f t="shared" si="5"/>
        <v>0</v>
      </c>
      <c r="AC29" s="297">
        <f t="shared" si="5"/>
        <v>0</v>
      </c>
      <c r="AD29" s="297">
        <f t="shared" si="5"/>
        <v>0</v>
      </c>
      <c r="AE29" s="297">
        <f t="shared" si="5"/>
        <v>0</v>
      </c>
      <c r="AF29" s="297">
        <f t="shared" si="5"/>
        <v>0</v>
      </c>
      <c r="AG29" s="297">
        <f t="shared" si="5"/>
        <v>0</v>
      </c>
      <c r="AH29" s="297">
        <f t="shared" si="6"/>
        <v>0</v>
      </c>
      <c r="AI29" s="297">
        <f t="shared" si="6"/>
        <v>0</v>
      </c>
      <c r="AJ29" s="297">
        <f t="shared" si="6"/>
        <v>0</v>
      </c>
      <c r="AK29" s="297">
        <f t="shared" si="6"/>
        <v>0</v>
      </c>
      <c r="AL29" s="297">
        <f t="shared" si="6"/>
        <v>0</v>
      </c>
      <c r="AM29" s="297">
        <f t="shared" si="6"/>
        <v>0</v>
      </c>
      <c r="AN29" s="297">
        <f t="shared" si="6"/>
        <v>0</v>
      </c>
      <c r="AO29" s="297">
        <f t="shared" si="6"/>
        <v>0</v>
      </c>
      <c r="AP29" s="297">
        <f t="shared" si="6"/>
        <v>0</v>
      </c>
      <c r="AQ29" s="297">
        <f t="shared" si="6"/>
        <v>0</v>
      </c>
      <c r="AR29" s="297">
        <f t="shared" si="6"/>
        <v>0</v>
      </c>
      <c r="AS29" s="297">
        <f t="shared" si="6"/>
        <v>0</v>
      </c>
      <c r="AT29" s="297">
        <f t="shared" si="6"/>
        <v>0</v>
      </c>
      <c r="AU29" s="297">
        <f t="shared" si="6"/>
        <v>0</v>
      </c>
      <c r="AV29" s="297">
        <f t="shared" si="6"/>
        <v>0</v>
      </c>
      <c r="AW29" s="294">
        <f t="shared" si="7"/>
        <v>95</v>
      </c>
    </row>
    <row r="30" spans="1:49">
      <c r="A30" s="243" t="s">
        <v>31</v>
      </c>
      <c r="B30" s="323" t="s">
        <v>32</v>
      </c>
      <c r="C30" s="323">
        <v>751.38999999998487</v>
      </c>
      <c r="D30" s="326">
        <v>16283.910000000018</v>
      </c>
      <c r="G30" s="204">
        <v>71.55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166</v>
      </c>
      <c r="M30" s="275" t="s">
        <v>454</v>
      </c>
      <c r="P30" s="295" t="str">
        <v>ועד בית/ישוב</v>
      </c>
      <c r="Q30" s="297">
        <f t="shared" si="4"/>
        <v>1760.4</v>
      </c>
      <c r="R30" s="297">
        <f t="shared" si="5"/>
        <v>0</v>
      </c>
      <c r="S30" s="297">
        <f t="shared" si="5"/>
        <v>0</v>
      </c>
      <c r="T30" s="297">
        <f t="shared" si="5"/>
        <v>0</v>
      </c>
      <c r="U30" s="297">
        <f t="shared" si="5"/>
        <v>0</v>
      </c>
      <c r="V30" s="297">
        <f t="shared" si="5"/>
        <v>0</v>
      </c>
      <c r="W30" s="297">
        <f t="shared" si="5"/>
        <v>0</v>
      </c>
      <c r="X30" s="297">
        <f t="shared" si="5"/>
        <v>0</v>
      </c>
      <c r="Y30" s="297">
        <f t="shared" si="5"/>
        <v>0</v>
      </c>
      <c r="Z30" s="297">
        <f t="shared" si="5"/>
        <v>0</v>
      </c>
      <c r="AA30" s="297">
        <f t="shared" si="5"/>
        <v>0</v>
      </c>
      <c r="AB30" s="297">
        <f t="shared" si="5"/>
        <v>0</v>
      </c>
      <c r="AC30" s="297">
        <f t="shared" si="5"/>
        <v>0</v>
      </c>
      <c r="AD30" s="297">
        <f t="shared" si="5"/>
        <v>0</v>
      </c>
      <c r="AE30" s="297">
        <f t="shared" si="5"/>
        <v>0</v>
      </c>
      <c r="AF30" s="297">
        <f t="shared" si="5"/>
        <v>0</v>
      </c>
      <c r="AG30" s="297">
        <f t="shared" si="5"/>
        <v>0</v>
      </c>
      <c r="AH30" s="297">
        <f t="shared" si="6"/>
        <v>0</v>
      </c>
      <c r="AI30" s="297">
        <f t="shared" si="6"/>
        <v>0</v>
      </c>
      <c r="AJ30" s="297">
        <f t="shared" si="6"/>
        <v>0</v>
      </c>
      <c r="AK30" s="297">
        <f t="shared" si="6"/>
        <v>0</v>
      </c>
      <c r="AL30" s="297">
        <f t="shared" si="6"/>
        <v>0</v>
      </c>
      <c r="AM30" s="297">
        <f t="shared" si="6"/>
        <v>0</v>
      </c>
      <c r="AN30" s="297">
        <f t="shared" si="6"/>
        <v>0</v>
      </c>
      <c r="AO30" s="297">
        <f t="shared" si="6"/>
        <v>0</v>
      </c>
      <c r="AP30" s="297">
        <f t="shared" si="6"/>
        <v>0</v>
      </c>
      <c r="AQ30" s="297">
        <f t="shared" si="6"/>
        <v>0</v>
      </c>
      <c r="AR30" s="297">
        <f t="shared" si="6"/>
        <v>0</v>
      </c>
      <c r="AS30" s="297">
        <f t="shared" si="6"/>
        <v>0</v>
      </c>
      <c r="AT30" s="297">
        <f t="shared" si="6"/>
        <v>0</v>
      </c>
      <c r="AU30" s="297">
        <f t="shared" si="6"/>
        <v>0</v>
      </c>
      <c r="AV30" s="297">
        <f t="shared" si="6"/>
        <v>0</v>
      </c>
      <c r="AW30" s="294">
        <f t="shared" si="7"/>
        <v>1760.4</v>
      </c>
    </row>
    <row r="31" spans="1:49">
      <c r="A31" s="463" t="s">
        <v>14</v>
      </c>
      <c r="B31" s="323" t="s">
        <v>33</v>
      </c>
      <c r="C31" s="323">
        <v>-2047.1799999999976</v>
      </c>
      <c r="D31" s="326">
        <v>6129.6499999999942</v>
      </c>
      <c r="G31" s="204">
        <v>127.47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עוזרת בית</v>
      </c>
      <c r="Q31" s="297">
        <f t="shared" si="4"/>
        <v>454.3</v>
      </c>
      <c r="R31" s="297">
        <f t="shared" si="5"/>
        <v>0</v>
      </c>
      <c r="S31" s="297">
        <f t="shared" si="5"/>
        <v>0</v>
      </c>
      <c r="T31" s="297">
        <f t="shared" si="5"/>
        <v>0</v>
      </c>
      <c r="U31" s="297">
        <f t="shared" si="5"/>
        <v>0</v>
      </c>
      <c r="V31" s="297">
        <f t="shared" si="5"/>
        <v>0</v>
      </c>
      <c r="W31" s="297">
        <f t="shared" si="5"/>
        <v>0</v>
      </c>
      <c r="X31" s="297">
        <f t="shared" si="5"/>
        <v>0</v>
      </c>
      <c r="Y31" s="297">
        <f t="shared" si="5"/>
        <v>0</v>
      </c>
      <c r="Z31" s="297">
        <f t="shared" si="5"/>
        <v>0</v>
      </c>
      <c r="AA31" s="297">
        <f t="shared" si="5"/>
        <v>0</v>
      </c>
      <c r="AB31" s="297">
        <f t="shared" si="5"/>
        <v>0</v>
      </c>
      <c r="AC31" s="297">
        <f t="shared" si="5"/>
        <v>0</v>
      </c>
      <c r="AD31" s="297">
        <f t="shared" si="5"/>
        <v>0</v>
      </c>
      <c r="AE31" s="297">
        <f t="shared" si="5"/>
        <v>0</v>
      </c>
      <c r="AF31" s="297">
        <f t="shared" si="5"/>
        <v>0</v>
      </c>
      <c r="AG31" s="297">
        <f t="shared" si="5"/>
        <v>0</v>
      </c>
      <c r="AH31" s="297">
        <f t="shared" si="6"/>
        <v>0</v>
      </c>
      <c r="AI31" s="297">
        <f t="shared" si="6"/>
        <v>0</v>
      </c>
      <c r="AJ31" s="297">
        <f t="shared" si="6"/>
        <v>0</v>
      </c>
      <c r="AK31" s="297">
        <f t="shared" si="6"/>
        <v>0</v>
      </c>
      <c r="AL31" s="297">
        <f t="shared" si="6"/>
        <v>0</v>
      </c>
      <c r="AM31" s="297">
        <f t="shared" si="6"/>
        <v>0</v>
      </c>
      <c r="AN31" s="297">
        <f t="shared" si="6"/>
        <v>0</v>
      </c>
      <c r="AO31" s="297">
        <f t="shared" si="6"/>
        <v>0</v>
      </c>
      <c r="AP31" s="297">
        <f t="shared" si="6"/>
        <v>0</v>
      </c>
      <c r="AQ31" s="297">
        <f t="shared" si="6"/>
        <v>0</v>
      </c>
      <c r="AR31" s="297">
        <f t="shared" si="6"/>
        <v>0</v>
      </c>
      <c r="AS31" s="297">
        <f t="shared" si="6"/>
        <v>0</v>
      </c>
      <c r="AT31" s="297">
        <f t="shared" si="6"/>
        <v>0</v>
      </c>
      <c r="AU31" s="297">
        <f t="shared" si="6"/>
        <v>0</v>
      </c>
      <c r="AV31" s="297">
        <f t="shared" si="6"/>
        <v>0</v>
      </c>
      <c r="AW31" s="294">
        <f t="shared" si="7"/>
        <v>454.3</v>
      </c>
    </row>
    <row r="32" spans="1:49" ht="13.5" thickBot="1">
      <c r="A32" s="464"/>
      <c r="B32" s="327" t="s">
        <v>34</v>
      </c>
      <c r="C32" s="327">
        <v>-1846.8799999999974</v>
      </c>
      <c r="D32" s="328">
        <v>6129.6499999999942</v>
      </c>
      <c r="G32" s="204">
        <v>98.53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 t="str">
        <v>גינון</v>
      </c>
      <c r="Q32" s="297">
        <f t="shared" si="4"/>
        <v>0</v>
      </c>
      <c r="R32" s="297">
        <f t="shared" si="5"/>
        <v>0</v>
      </c>
      <c r="S32" s="297">
        <f t="shared" si="5"/>
        <v>0</v>
      </c>
      <c r="T32" s="297">
        <f t="shared" si="5"/>
        <v>0</v>
      </c>
      <c r="U32" s="297">
        <f t="shared" si="5"/>
        <v>0</v>
      </c>
      <c r="V32" s="297">
        <f t="shared" si="5"/>
        <v>0</v>
      </c>
      <c r="W32" s="297">
        <f t="shared" si="5"/>
        <v>0</v>
      </c>
      <c r="X32" s="297">
        <f t="shared" si="5"/>
        <v>0</v>
      </c>
      <c r="Y32" s="297">
        <f t="shared" si="5"/>
        <v>0</v>
      </c>
      <c r="Z32" s="297">
        <f t="shared" si="5"/>
        <v>0</v>
      </c>
      <c r="AA32" s="297">
        <f t="shared" si="5"/>
        <v>0</v>
      </c>
      <c r="AB32" s="297">
        <f t="shared" si="5"/>
        <v>0</v>
      </c>
      <c r="AC32" s="297">
        <f t="shared" si="5"/>
        <v>0</v>
      </c>
      <c r="AD32" s="297">
        <f t="shared" si="5"/>
        <v>0</v>
      </c>
      <c r="AE32" s="297">
        <f t="shared" si="5"/>
        <v>0</v>
      </c>
      <c r="AF32" s="297">
        <f t="shared" si="5"/>
        <v>0</v>
      </c>
      <c r="AG32" s="297">
        <f t="shared" si="5"/>
        <v>0</v>
      </c>
      <c r="AH32" s="297">
        <f t="shared" si="6"/>
        <v>0</v>
      </c>
      <c r="AI32" s="297">
        <f t="shared" si="6"/>
        <v>0</v>
      </c>
      <c r="AJ32" s="297">
        <f t="shared" si="6"/>
        <v>0</v>
      </c>
      <c r="AK32" s="297">
        <f t="shared" si="6"/>
        <v>0</v>
      </c>
      <c r="AL32" s="297">
        <f t="shared" si="6"/>
        <v>0</v>
      </c>
      <c r="AM32" s="297">
        <f t="shared" si="6"/>
        <v>0</v>
      </c>
      <c r="AN32" s="297">
        <f t="shared" si="6"/>
        <v>0</v>
      </c>
      <c r="AO32" s="297">
        <f t="shared" si="6"/>
        <v>0</v>
      </c>
      <c r="AP32" s="297">
        <f t="shared" si="6"/>
        <v>0</v>
      </c>
      <c r="AQ32" s="297">
        <f t="shared" si="6"/>
        <v>0</v>
      </c>
      <c r="AR32" s="297">
        <f t="shared" si="6"/>
        <v>0</v>
      </c>
      <c r="AS32" s="297">
        <f t="shared" si="6"/>
        <v>0</v>
      </c>
      <c r="AT32" s="297">
        <f t="shared" si="6"/>
        <v>0</v>
      </c>
      <c r="AU32" s="297">
        <f t="shared" si="6"/>
        <v>0</v>
      </c>
      <c r="AV32" s="297">
        <f t="shared" si="6"/>
        <v>0</v>
      </c>
      <c r="AW32" s="294">
        <f t="shared" si="7"/>
        <v>0</v>
      </c>
    </row>
    <row r="33" spans="1:49" ht="13.5" thickBot="1">
      <c r="A33" s="247"/>
      <c r="B33" s="329"/>
      <c r="C33" s="329"/>
      <c r="D33" s="329"/>
      <c r="G33" s="204">
        <v>4000</v>
      </c>
      <c r="H33" s="204" t="s">
        <v>176</v>
      </c>
      <c r="I33" s="204" t="str">
        <f>_xlfn.XLOOKUP(H33,[2]Dropdown!B:B,[2]Dropdown!C:C)</f>
        <v>ביטוחים ופיננסים</v>
      </c>
      <c r="J33" s="204" t="s">
        <v>179</v>
      </c>
      <c r="P33" s="295" t="str">
        <v>ביטוח דירה</v>
      </c>
      <c r="Q33" s="297">
        <f t="shared" si="4"/>
        <v>100</v>
      </c>
      <c r="R33" s="297">
        <f t="shared" si="5"/>
        <v>0</v>
      </c>
      <c r="S33" s="297">
        <f t="shared" si="5"/>
        <v>0</v>
      </c>
      <c r="T33" s="297">
        <f t="shared" si="5"/>
        <v>0</v>
      </c>
      <c r="U33" s="297">
        <f t="shared" si="5"/>
        <v>0</v>
      </c>
      <c r="V33" s="297">
        <f t="shared" si="5"/>
        <v>0</v>
      </c>
      <c r="W33" s="297">
        <f t="shared" si="5"/>
        <v>0</v>
      </c>
      <c r="X33" s="297">
        <f t="shared" si="5"/>
        <v>0</v>
      </c>
      <c r="Y33" s="297">
        <f t="shared" si="5"/>
        <v>0</v>
      </c>
      <c r="Z33" s="297">
        <f t="shared" si="5"/>
        <v>0</v>
      </c>
      <c r="AA33" s="297">
        <f t="shared" si="5"/>
        <v>0</v>
      </c>
      <c r="AB33" s="297">
        <f t="shared" si="5"/>
        <v>0</v>
      </c>
      <c r="AC33" s="297">
        <f t="shared" si="5"/>
        <v>0</v>
      </c>
      <c r="AD33" s="297">
        <f t="shared" si="5"/>
        <v>0</v>
      </c>
      <c r="AE33" s="297">
        <f t="shared" si="5"/>
        <v>0</v>
      </c>
      <c r="AF33" s="297">
        <f t="shared" si="5"/>
        <v>0</v>
      </c>
      <c r="AG33" s="297">
        <f t="shared" si="5"/>
        <v>0</v>
      </c>
      <c r="AH33" s="297">
        <f t="shared" si="6"/>
        <v>0</v>
      </c>
      <c r="AI33" s="297">
        <f t="shared" si="6"/>
        <v>0</v>
      </c>
      <c r="AJ33" s="297">
        <f t="shared" si="6"/>
        <v>0</v>
      </c>
      <c r="AK33" s="297">
        <f t="shared" si="6"/>
        <v>0</v>
      </c>
      <c r="AL33" s="297">
        <f t="shared" si="6"/>
        <v>0</v>
      </c>
      <c r="AM33" s="297">
        <f t="shared" si="6"/>
        <v>0</v>
      </c>
      <c r="AN33" s="297">
        <f t="shared" si="6"/>
        <v>0</v>
      </c>
      <c r="AO33" s="297">
        <f t="shared" si="6"/>
        <v>0</v>
      </c>
      <c r="AP33" s="297">
        <f t="shared" si="6"/>
        <v>0</v>
      </c>
      <c r="AQ33" s="297">
        <f t="shared" si="6"/>
        <v>0</v>
      </c>
      <c r="AR33" s="297">
        <f t="shared" si="6"/>
        <v>0</v>
      </c>
      <c r="AS33" s="297">
        <f t="shared" si="6"/>
        <v>0</v>
      </c>
      <c r="AT33" s="297">
        <f t="shared" si="6"/>
        <v>0</v>
      </c>
      <c r="AU33" s="297">
        <f t="shared" si="6"/>
        <v>0</v>
      </c>
      <c r="AV33" s="297">
        <f t="shared" si="6"/>
        <v>0</v>
      </c>
      <c r="AW33" s="294">
        <f t="shared" si="7"/>
        <v>100</v>
      </c>
    </row>
    <row r="34" spans="1:49">
      <c r="A34" s="266"/>
      <c r="B34" s="330"/>
      <c r="C34" s="331" t="s">
        <v>35</v>
      </c>
      <c r="D34" s="332" t="s">
        <v>14</v>
      </c>
      <c r="E34" s="277"/>
      <c r="G34" s="204">
        <f>454.3</f>
        <v>454.3</v>
      </c>
      <c r="H34" s="204" t="s">
        <v>83</v>
      </c>
      <c r="I34" s="204" t="str">
        <f>_xlfn.XLOOKUP(H34,[2]Dropdown!B:B,[2]Dropdown!C:C)</f>
        <v>תחזוקת דירה ותקשורת</v>
      </c>
      <c r="J34" s="204" t="s">
        <v>179</v>
      </c>
      <c r="L34" s="228"/>
      <c r="M34" s="228"/>
      <c r="N34" s="228"/>
      <c r="P34" s="295" t="str">
        <v>רכישות לבית</v>
      </c>
      <c r="Q34" s="297">
        <f t="shared" si="4"/>
        <v>0</v>
      </c>
      <c r="R34" s="297">
        <f t="shared" si="5"/>
        <v>0</v>
      </c>
      <c r="S34" s="297">
        <f t="shared" si="5"/>
        <v>0</v>
      </c>
      <c r="T34" s="297">
        <f t="shared" si="5"/>
        <v>0</v>
      </c>
      <c r="U34" s="297">
        <f t="shared" si="5"/>
        <v>0</v>
      </c>
      <c r="V34" s="297">
        <f t="shared" si="5"/>
        <v>0</v>
      </c>
      <c r="W34" s="297">
        <f t="shared" si="5"/>
        <v>0</v>
      </c>
      <c r="X34" s="297">
        <f t="shared" si="5"/>
        <v>0</v>
      </c>
      <c r="Y34" s="297">
        <f t="shared" si="5"/>
        <v>0</v>
      </c>
      <c r="Z34" s="297">
        <f t="shared" si="5"/>
        <v>0</v>
      </c>
      <c r="AA34" s="297">
        <f t="shared" si="5"/>
        <v>0</v>
      </c>
      <c r="AB34" s="297">
        <f t="shared" si="5"/>
        <v>0</v>
      </c>
      <c r="AC34" s="297">
        <f t="shared" si="5"/>
        <v>0</v>
      </c>
      <c r="AD34" s="297">
        <f t="shared" si="5"/>
        <v>0</v>
      </c>
      <c r="AE34" s="297">
        <f t="shared" si="5"/>
        <v>0</v>
      </c>
      <c r="AF34" s="297">
        <f t="shared" si="5"/>
        <v>0</v>
      </c>
      <c r="AG34" s="297">
        <f t="shared" ref="AB34:AQ37" si="8">SUMIFS($G:$G,$H:$H,$P34,$F:$F,TEXT(AG$5,"00") &amp; "." &amp; TEXT($A$1,"00"))</f>
        <v>0</v>
      </c>
      <c r="AH34" s="297">
        <f t="shared" si="8"/>
        <v>0</v>
      </c>
      <c r="AI34" s="297">
        <f t="shared" si="8"/>
        <v>0</v>
      </c>
      <c r="AJ34" s="297">
        <f t="shared" si="8"/>
        <v>0</v>
      </c>
      <c r="AK34" s="297">
        <f t="shared" si="8"/>
        <v>0</v>
      </c>
      <c r="AL34" s="297">
        <f t="shared" si="6"/>
        <v>0</v>
      </c>
      <c r="AM34" s="297">
        <f t="shared" si="6"/>
        <v>0</v>
      </c>
      <c r="AN34" s="297">
        <f t="shared" si="6"/>
        <v>0</v>
      </c>
      <c r="AO34" s="297">
        <f t="shared" si="6"/>
        <v>0</v>
      </c>
      <c r="AP34" s="297">
        <f t="shared" si="6"/>
        <v>0</v>
      </c>
      <c r="AQ34" s="297">
        <f t="shared" si="6"/>
        <v>0</v>
      </c>
      <c r="AR34" s="297">
        <f t="shared" si="6"/>
        <v>0</v>
      </c>
      <c r="AS34" s="297">
        <f t="shared" si="6"/>
        <v>0</v>
      </c>
      <c r="AT34" s="297">
        <f t="shared" si="6"/>
        <v>0</v>
      </c>
      <c r="AU34" s="297">
        <f t="shared" si="6"/>
        <v>0</v>
      </c>
      <c r="AV34" s="297">
        <f t="shared" si="6"/>
        <v>0</v>
      </c>
      <c r="AW34" s="294">
        <f t="shared" si="7"/>
        <v>0</v>
      </c>
    </row>
    <row r="35" spans="1:49">
      <c r="A35" s="457" t="s">
        <v>36</v>
      </c>
      <c r="B35" s="300" t="s">
        <v>288</v>
      </c>
      <c r="C35" s="333"/>
      <c r="D35" s="303">
        <v>58550</v>
      </c>
      <c r="E35" s="277"/>
      <c r="G35" s="204">
        <f>12000+2000</f>
        <v>14000</v>
      </c>
      <c r="H35" s="204" t="s">
        <v>335</v>
      </c>
      <c r="I35" s="204" t="str">
        <f>_xlfn.XLOOKUP(H35,[2]Dropdown!B:B,[2]Dropdown!C:C)</f>
        <v>עסק</v>
      </c>
      <c r="J35" s="204" t="s">
        <v>352</v>
      </c>
      <c r="P35" s="295" t="str">
        <v>אחזקת בית ותיקונים</v>
      </c>
      <c r="Q35" s="297">
        <f t="shared" si="4"/>
        <v>0</v>
      </c>
      <c r="R35" s="297">
        <f t="shared" ref="R35:AA37" si="9">SUMIFS($G:$G,$H:$H,$P35,$F:$F,TEXT(R$5,"00") &amp; "." &amp; TEXT($A$1,"00"))</f>
        <v>0</v>
      </c>
      <c r="S35" s="297">
        <f t="shared" si="9"/>
        <v>0</v>
      </c>
      <c r="T35" s="297">
        <f t="shared" si="9"/>
        <v>0</v>
      </c>
      <c r="U35" s="297">
        <f t="shared" si="9"/>
        <v>0</v>
      </c>
      <c r="V35" s="297">
        <f t="shared" si="9"/>
        <v>0</v>
      </c>
      <c r="W35" s="297">
        <f t="shared" si="9"/>
        <v>0</v>
      </c>
      <c r="X35" s="297">
        <f t="shared" si="9"/>
        <v>0</v>
      </c>
      <c r="Y35" s="297">
        <f t="shared" si="9"/>
        <v>0</v>
      </c>
      <c r="Z35" s="297">
        <f t="shared" si="9"/>
        <v>0</v>
      </c>
      <c r="AA35" s="297">
        <f t="shared" si="9"/>
        <v>0</v>
      </c>
      <c r="AB35" s="297">
        <f t="shared" si="8"/>
        <v>0</v>
      </c>
      <c r="AC35" s="297">
        <f t="shared" si="8"/>
        <v>0</v>
      </c>
      <c r="AD35" s="297">
        <f t="shared" si="8"/>
        <v>0</v>
      </c>
      <c r="AE35" s="297">
        <f t="shared" si="8"/>
        <v>0</v>
      </c>
      <c r="AF35" s="297">
        <f t="shared" si="8"/>
        <v>0</v>
      </c>
      <c r="AG35" s="297">
        <f t="shared" si="8"/>
        <v>0</v>
      </c>
      <c r="AH35" s="297">
        <f t="shared" si="8"/>
        <v>0</v>
      </c>
      <c r="AI35" s="297">
        <f t="shared" si="8"/>
        <v>0</v>
      </c>
      <c r="AJ35" s="297">
        <f t="shared" si="8"/>
        <v>0</v>
      </c>
      <c r="AK35" s="297">
        <f t="shared" si="8"/>
        <v>0</v>
      </c>
      <c r="AL35" s="297">
        <f t="shared" si="8"/>
        <v>0</v>
      </c>
      <c r="AM35" s="297">
        <f t="shared" si="8"/>
        <v>0</v>
      </c>
      <c r="AN35" s="297">
        <f t="shared" si="8"/>
        <v>0</v>
      </c>
      <c r="AO35" s="297">
        <f t="shared" si="8"/>
        <v>0</v>
      </c>
      <c r="AP35" s="297">
        <f t="shared" si="8"/>
        <v>0</v>
      </c>
      <c r="AQ35" s="297">
        <f t="shared" si="8"/>
        <v>0</v>
      </c>
      <c r="AR35" s="297">
        <f t="shared" ref="AR35:AV37" si="10">SUMIFS($G:$G,$H:$H,$P35,$F:$F,TEXT(AR$5,"00") &amp; "." &amp; TEXT($A$1,"00"))</f>
        <v>0</v>
      </c>
      <c r="AS35" s="297">
        <f t="shared" si="10"/>
        <v>0</v>
      </c>
      <c r="AT35" s="297">
        <f t="shared" si="10"/>
        <v>0</v>
      </c>
      <c r="AU35" s="297">
        <f t="shared" si="10"/>
        <v>0</v>
      </c>
      <c r="AV35" s="297">
        <f t="shared" si="10"/>
        <v>0</v>
      </c>
      <c r="AW35" s="294">
        <f t="shared" si="7"/>
        <v>0</v>
      </c>
    </row>
    <row r="36" spans="1:49">
      <c r="A36" s="458"/>
      <c r="B36" s="307" t="s">
        <v>227</v>
      </c>
      <c r="C36" s="307"/>
      <c r="D36" s="303">
        <v>136176</v>
      </c>
      <c r="E36" s="277"/>
      <c r="G36" s="204">
        <v>3217.61</v>
      </c>
      <c r="H36" s="204" t="s">
        <v>328</v>
      </c>
      <c r="I36" s="204" t="str">
        <f>_xlfn.XLOOKUP(H36,[2]Dropdown!B:B,[2]Dropdown!C:C)</f>
        <v>עסק</v>
      </c>
      <c r="J36" s="204" t="s">
        <v>352</v>
      </c>
      <c r="P36" s="295" t="str">
        <v>מנויים דיגטליים</v>
      </c>
      <c r="Q36" s="297">
        <f t="shared" si="4"/>
        <v>0</v>
      </c>
      <c r="R36" s="297">
        <f t="shared" si="9"/>
        <v>0</v>
      </c>
      <c r="S36" s="297">
        <f t="shared" si="9"/>
        <v>0</v>
      </c>
      <c r="T36" s="297">
        <f t="shared" si="9"/>
        <v>0</v>
      </c>
      <c r="U36" s="297">
        <f t="shared" si="9"/>
        <v>0</v>
      </c>
      <c r="V36" s="297">
        <f t="shared" si="9"/>
        <v>0</v>
      </c>
      <c r="W36" s="297">
        <f t="shared" si="9"/>
        <v>0</v>
      </c>
      <c r="X36" s="297">
        <f t="shared" si="9"/>
        <v>0</v>
      </c>
      <c r="Y36" s="297">
        <f t="shared" si="9"/>
        <v>0</v>
      </c>
      <c r="Z36" s="297">
        <f t="shared" si="9"/>
        <v>0</v>
      </c>
      <c r="AA36" s="297">
        <f t="shared" si="9"/>
        <v>0</v>
      </c>
      <c r="AB36" s="297">
        <f t="shared" si="8"/>
        <v>0</v>
      </c>
      <c r="AC36" s="297">
        <f t="shared" si="8"/>
        <v>0</v>
      </c>
      <c r="AD36" s="297">
        <f t="shared" si="8"/>
        <v>0</v>
      </c>
      <c r="AE36" s="297">
        <f t="shared" si="8"/>
        <v>0</v>
      </c>
      <c r="AF36" s="297">
        <f t="shared" si="8"/>
        <v>0</v>
      </c>
      <c r="AG36" s="297">
        <f t="shared" si="8"/>
        <v>0</v>
      </c>
      <c r="AH36" s="297">
        <f t="shared" si="8"/>
        <v>0</v>
      </c>
      <c r="AI36" s="297">
        <f t="shared" si="8"/>
        <v>0</v>
      </c>
      <c r="AJ36" s="297">
        <f t="shared" si="8"/>
        <v>0</v>
      </c>
      <c r="AK36" s="297">
        <f t="shared" si="8"/>
        <v>0</v>
      </c>
      <c r="AL36" s="297">
        <f t="shared" si="8"/>
        <v>0</v>
      </c>
      <c r="AM36" s="297">
        <f t="shared" si="8"/>
        <v>0</v>
      </c>
      <c r="AN36" s="297">
        <f t="shared" si="8"/>
        <v>0</v>
      </c>
      <c r="AO36" s="297">
        <f t="shared" si="8"/>
        <v>0</v>
      </c>
      <c r="AP36" s="297">
        <f t="shared" si="8"/>
        <v>0</v>
      </c>
      <c r="AQ36" s="297">
        <f t="shared" si="8"/>
        <v>0</v>
      </c>
      <c r="AR36" s="297">
        <f t="shared" si="10"/>
        <v>0</v>
      </c>
      <c r="AS36" s="297">
        <f t="shared" si="10"/>
        <v>0</v>
      </c>
      <c r="AT36" s="297">
        <f t="shared" si="10"/>
        <v>0</v>
      </c>
      <c r="AU36" s="297">
        <f t="shared" si="10"/>
        <v>0</v>
      </c>
      <c r="AV36" s="297">
        <f t="shared" si="10"/>
        <v>0</v>
      </c>
      <c r="AW36" s="294">
        <f t="shared" si="7"/>
        <v>0</v>
      </c>
    </row>
    <row r="37" spans="1:49">
      <c r="A37" s="458"/>
      <c r="B37" s="307"/>
      <c r="C37" s="307"/>
      <c r="D37" s="303"/>
      <c r="E37" s="277"/>
      <c r="G37" s="204">
        <v>11306</v>
      </c>
      <c r="H37" s="204" t="s">
        <v>326</v>
      </c>
      <c r="I37" s="204" t="str">
        <f>_xlfn.XLOOKUP(H37,[2]Dropdown!B:B,[2]Dropdown!C:C)</f>
        <v>עסק</v>
      </c>
      <c r="J37" s="204" t="s">
        <v>400</v>
      </c>
      <c r="P37" s="295" t="str">
        <v>בנייה</v>
      </c>
      <c r="Q37" s="297">
        <f t="shared" si="4"/>
        <v>2360</v>
      </c>
      <c r="R37" s="297">
        <f t="shared" si="9"/>
        <v>0</v>
      </c>
      <c r="S37" s="297">
        <f t="shared" si="9"/>
        <v>0</v>
      </c>
      <c r="T37" s="297">
        <f t="shared" si="9"/>
        <v>0</v>
      </c>
      <c r="U37" s="297">
        <f t="shared" si="9"/>
        <v>0</v>
      </c>
      <c r="V37" s="297">
        <f t="shared" si="9"/>
        <v>0</v>
      </c>
      <c r="W37" s="297">
        <f t="shared" si="9"/>
        <v>0</v>
      </c>
      <c r="X37" s="297">
        <f t="shared" si="9"/>
        <v>0</v>
      </c>
      <c r="Y37" s="297">
        <f t="shared" si="9"/>
        <v>0</v>
      </c>
      <c r="Z37" s="297">
        <f t="shared" si="9"/>
        <v>0</v>
      </c>
      <c r="AA37" s="297">
        <f t="shared" si="9"/>
        <v>0</v>
      </c>
      <c r="AB37" s="297">
        <f t="shared" si="8"/>
        <v>0</v>
      </c>
      <c r="AC37" s="297">
        <f t="shared" si="8"/>
        <v>0</v>
      </c>
      <c r="AD37" s="297">
        <f t="shared" si="8"/>
        <v>0</v>
      </c>
      <c r="AE37" s="297">
        <f t="shared" si="8"/>
        <v>0</v>
      </c>
      <c r="AF37" s="297">
        <f t="shared" si="8"/>
        <v>0</v>
      </c>
      <c r="AG37" s="297">
        <f t="shared" si="8"/>
        <v>0</v>
      </c>
      <c r="AH37" s="297">
        <f t="shared" si="8"/>
        <v>0</v>
      </c>
      <c r="AI37" s="297">
        <f t="shared" si="8"/>
        <v>0</v>
      </c>
      <c r="AJ37" s="297">
        <f t="shared" si="8"/>
        <v>0</v>
      </c>
      <c r="AK37" s="297">
        <f t="shared" si="8"/>
        <v>0</v>
      </c>
      <c r="AL37" s="297">
        <f t="shared" si="8"/>
        <v>0</v>
      </c>
      <c r="AM37" s="297">
        <f t="shared" si="8"/>
        <v>0</v>
      </c>
      <c r="AN37" s="297">
        <f t="shared" si="8"/>
        <v>0</v>
      </c>
      <c r="AO37" s="297">
        <f t="shared" si="8"/>
        <v>0</v>
      </c>
      <c r="AP37" s="297">
        <f t="shared" si="8"/>
        <v>0</v>
      </c>
      <c r="AQ37" s="297">
        <f t="shared" si="8"/>
        <v>0</v>
      </c>
      <c r="AR37" s="297">
        <f t="shared" si="10"/>
        <v>0</v>
      </c>
      <c r="AS37" s="297">
        <f t="shared" si="10"/>
        <v>0</v>
      </c>
      <c r="AT37" s="297">
        <f t="shared" si="10"/>
        <v>0</v>
      </c>
      <c r="AU37" s="297">
        <f t="shared" si="10"/>
        <v>0</v>
      </c>
      <c r="AV37" s="297">
        <f t="shared" si="10"/>
        <v>0</v>
      </c>
      <c r="AW37" s="294">
        <f t="shared" si="7"/>
        <v>2360</v>
      </c>
    </row>
    <row r="38" spans="1:49">
      <c r="A38" s="459"/>
      <c r="B38" s="307"/>
      <c r="C38" s="307"/>
      <c r="D38" s="309"/>
      <c r="E38" s="277"/>
      <c r="G38" s="204">
        <v>5534</v>
      </c>
      <c r="H38" s="204" t="s">
        <v>327</v>
      </c>
      <c r="I38" s="204" t="str">
        <f>_xlfn.XLOOKUP(H38,[2]Dropdown!B:B,[2]Dropdown!C:C)</f>
        <v>עסק</v>
      </c>
      <c r="J38" s="204" t="s">
        <v>400</v>
      </c>
      <c r="P38" s="287"/>
    </row>
    <row r="39" spans="1:49" ht="13.5" thickBot="1">
      <c r="A39" s="263"/>
      <c r="B39" s="319"/>
      <c r="C39" s="319">
        <v>0</v>
      </c>
      <c r="D39" s="320">
        <v>194726</v>
      </c>
      <c r="E39" s="277"/>
      <c r="G39" s="204">
        <v>4794</v>
      </c>
      <c r="H39" s="204" t="s">
        <v>329</v>
      </c>
      <c r="I39" s="204" t="str">
        <f>_xlfn.XLOOKUP(H39,[2]Dropdown!B:B,[2]Dropdown!C:C)</f>
        <v>עסק</v>
      </c>
      <c r="J39" s="204" t="s">
        <v>400</v>
      </c>
    </row>
    <row r="40" spans="1:49" ht="13.5" thickBot="1">
      <c r="B40" s="323"/>
      <c r="C40" s="323"/>
      <c r="D40" s="334"/>
      <c r="G40" s="204">
        <v>600</v>
      </c>
      <c r="H40" s="204" t="s">
        <v>330</v>
      </c>
      <c r="I40" s="204" t="str">
        <f>_xlfn.XLOOKUP(H40,[2]Dropdown!B:B,[2]Dropdown!C:C)</f>
        <v>עסק</v>
      </c>
      <c r="J40" s="204" t="s">
        <v>352</v>
      </c>
    </row>
    <row r="41" spans="1:49">
      <c r="A41" s="204" t="s">
        <v>175</v>
      </c>
      <c r="B41" s="335"/>
      <c r="C41" s="336" t="s">
        <v>315</v>
      </c>
      <c r="D41" s="337"/>
      <c r="G41" s="204">
        <v>1710</v>
      </c>
      <c r="H41" s="204" t="s">
        <v>236</v>
      </c>
      <c r="I41" s="204" t="str">
        <f>_xlfn.XLOOKUP(H41,[2]Dropdown!B:B,[2]Dropdown!C:C)</f>
        <v>עסק</v>
      </c>
      <c r="J41" s="204" t="s">
        <v>352</v>
      </c>
    </row>
    <row r="42" spans="1:49">
      <c r="A42" s="204" t="s">
        <v>314</v>
      </c>
      <c r="B42" s="335">
        <v>0</v>
      </c>
      <c r="C42" s="338" t="s">
        <v>286</v>
      </c>
      <c r="D42" s="303">
        <v>7000</v>
      </c>
      <c r="G42" s="204">
        <v>43.9</v>
      </c>
      <c r="H42" s="204" t="s">
        <v>406</v>
      </c>
      <c r="I42" s="204" t="str">
        <f>_xlfn.XLOOKUP(H42,[2]Dropdown!B:B,[2]Dropdown!C:C)</f>
        <v>מזון וקניות</v>
      </c>
      <c r="J42" s="204" t="s">
        <v>168</v>
      </c>
      <c r="M42" s="275" t="s">
        <v>446</v>
      </c>
    </row>
    <row r="43" spans="1:49">
      <c r="A43" s="204" t="s">
        <v>12</v>
      </c>
      <c r="B43" s="335">
        <v>6282.8600000000006</v>
      </c>
      <c r="C43" s="338" t="s">
        <v>62</v>
      </c>
      <c r="D43" s="303">
        <v>1000</v>
      </c>
      <c r="G43" s="204">
        <v>66.62</v>
      </c>
      <c r="H43" s="204" t="s">
        <v>406</v>
      </c>
      <c r="I43" s="204" t="str">
        <f>_xlfn.XLOOKUP(H43,[2]Dropdown!B:B,[2]Dropdown!C:C)</f>
        <v>מזון וקניות</v>
      </c>
      <c r="J43" s="204" t="s">
        <v>399</v>
      </c>
      <c r="M43" s="275" t="s">
        <v>441</v>
      </c>
    </row>
    <row r="44" spans="1:49">
      <c r="A44" s="204" t="s">
        <v>135</v>
      </c>
      <c r="B44" s="335">
        <v>0</v>
      </c>
      <c r="C44" s="339"/>
      <c r="D44" s="309"/>
      <c r="G44" s="204">
        <v>600</v>
      </c>
      <c r="H44" s="204" t="s">
        <v>111</v>
      </c>
      <c r="I44" s="204" t="str">
        <f>_xlfn.XLOOKUP(H44,[2]Dropdown!B:B,[2]Dropdown!C:C)</f>
        <v>ילדים וחינוך</v>
      </c>
      <c r="J44" s="204" t="s">
        <v>166</v>
      </c>
      <c r="M44" s="275" t="s">
        <v>409</v>
      </c>
    </row>
    <row r="45" spans="1:49">
      <c r="A45" s="204" t="s">
        <v>11</v>
      </c>
      <c r="B45" s="335">
        <v>-200.30000000000018</v>
      </c>
      <c r="C45" s="340"/>
      <c r="D45" s="309"/>
      <c r="G45" s="204">
        <v>700</v>
      </c>
      <c r="H45" s="204" t="s">
        <v>111</v>
      </c>
      <c r="I45" s="204" t="str">
        <f>_xlfn.XLOOKUP(H45,[2]Dropdown!B:B,[2]Dropdown!C:C)</f>
        <v>ילדים וחינוך</v>
      </c>
      <c r="J45" s="204" t="s">
        <v>166</v>
      </c>
      <c r="M45" s="275" t="s">
        <v>383</v>
      </c>
    </row>
    <row r="46" spans="1:49" ht="13.5" thickBot="1">
      <c r="B46" s="335"/>
      <c r="C46" s="341"/>
      <c r="D46" s="320">
        <v>8000</v>
      </c>
      <c r="G46" s="204">
        <v>450</v>
      </c>
      <c r="H46" s="204" t="s">
        <v>111</v>
      </c>
      <c r="I46" s="204" t="str">
        <f>_xlfn.XLOOKUP(H46,[2]Dropdown!B:B,[2]Dropdown!C:C)</f>
        <v>ילדים וחינוך</v>
      </c>
      <c r="J46" s="204" t="s">
        <v>166</v>
      </c>
      <c r="M46" s="275" t="s">
        <v>382</v>
      </c>
    </row>
    <row r="47" spans="1:49">
      <c r="D47" s="136"/>
      <c r="G47" s="204">
        <f>390+150</f>
        <v>540</v>
      </c>
      <c r="H47" s="204" t="s">
        <v>111</v>
      </c>
      <c r="I47" s="204" t="str">
        <f>_xlfn.XLOOKUP(H47,[2]Dropdown!B:B,[2]Dropdown!C:C)</f>
        <v>ילדים וחינוך</v>
      </c>
      <c r="J47" s="204" t="s">
        <v>165</v>
      </c>
      <c r="M47" s="275" t="s">
        <v>410</v>
      </c>
    </row>
    <row r="48" spans="1:49" ht="13.5" thickBot="1">
      <c r="D48" s="136"/>
      <c r="G48" s="204">
        <v>280</v>
      </c>
      <c r="H48" s="204" t="s">
        <v>111</v>
      </c>
      <c r="I48" s="204" t="str">
        <f>_xlfn.XLOOKUP(H48,[2]Dropdown!B:B,[2]Dropdown!C:C)</f>
        <v>ילדים וחינוך</v>
      </c>
      <c r="J48" s="204" t="s">
        <v>165</v>
      </c>
      <c r="M48" s="275" t="s">
        <v>411</v>
      </c>
    </row>
    <row r="49" spans="1:14">
      <c r="D49" s="136"/>
      <c r="F49" s="219" t="s">
        <v>404</v>
      </c>
      <c r="G49" s="225"/>
      <c r="H49" s="225"/>
      <c r="I49" s="225"/>
      <c r="J49" s="225"/>
      <c r="K49" s="225"/>
      <c r="L49" s="225"/>
      <c r="M49" s="274"/>
      <c r="N49" s="274"/>
    </row>
    <row r="50" spans="1:14">
      <c r="D50" s="136"/>
      <c r="G50" s="204">
        <v>587.72</v>
      </c>
      <c r="H50" s="204" t="s">
        <v>111</v>
      </c>
      <c r="I50" s="204" t="str">
        <f>_xlfn.XLOOKUP(H50,[2]Dropdown!B:B,[2]Dropdown!C:C)</f>
        <v>ילדים וחינוך</v>
      </c>
      <c r="J50" s="204" t="s">
        <v>165</v>
      </c>
      <c r="K50" s="227">
        <v>8</v>
      </c>
      <c r="M50" s="275" t="s">
        <v>412</v>
      </c>
    </row>
    <row r="51" spans="1:14">
      <c r="D51" s="136"/>
      <c r="G51" s="204">
        <v>1138.8</v>
      </c>
      <c r="H51" s="204" t="s">
        <v>279</v>
      </c>
      <c r="I51" s="204" t="str">
        <f>_xlfn.XLOOKUP(H51,[2]Dropdown!B:B,[2]Dropdown!C:C)</f>
        <v>מזון וקניות</v>
      </c>
      <c r="J51" s="204" t="s">
        <v>166</v>
      </c>
      <c r="K51" s="227">
        <v>4</v>
      </c>
      <c r="L51" s="253" t="s">
        <v>442</v>
      </c>
      <c r="M51" s="275" t="s">
        <v>443</v>
      </c>
    </row>
    <row r="52" spans="1:14">
      <c r="D52" s="136"/>
      <c r="G52" s="204">
        <v>567</v>
      </c>
      <c r="H52" s="204" t="s">
        <v>279</v>
      </c>
      <c r="I52" s="204" t="str">
        <f>_xlfn.XLOOKUP(H52,[2]Dropdown!B:B,[2]Dropdown!C:C)</f>
        <v>מזון וקניות</v>
      </c>
      <c r="J52" s="204" t="s">
        <v>166</v>
      </c>
      <c r="K52" s="227">
        <v>2</v>
      </c>
      <c r="L52" s="253" t="s">
        <v>418</v>
      </c>
      <c r="M52" s="275" t="s">
        <v>434</v>
      </c>
    </row>
    <row r="53" spans="1:14">
      <c r="D53" s="136"/>
      <c r="G53" s="204">
        <v>425</v>
      </c>
      <c r="H53" s="204" t="s">
        <v>111</v>
      </c>
      <c r="I53" s="204" t="str">
        <f>_xlfn.XLOOKUP(H53,[2]Dropdown!B:B,[2]Dropdown!C:C)</f>
        <v>ילדים וחינוך</v>
      </c>
      <c r="J53" s="204" t="s">
        <v>166</v>
      </c>
      <c r="K53" s="227">
        <v>1</v>
      </c>
      <c r="L53" s="253" t="s">
        <v>419</v>
      </c>
      <c r="M53" s="275" t="s">
        <v>433</v>
      </c>
    </row>
    <row r="54" spans="1:14">
      <c r="G54" s="204">
        <v>616.34</v>
      </c>
      <c r="H54" s="204" t="s">
        <v>279</v>
      </c>
      <c r="I54" s="204" t="str">
        <f>_xlfn.XLOOKUP(H54,[2]Dropdown!B:B,[2]Dropdown!C:C)</f>
        <v>מזון וקניות</v>
      </c>
      <c r="J54" s="204" t="s">
        <v>166</v>
      </c>
      <c r="K54" s="227">
        <v>2</v>
      </c>
      <c r="L54" s="253" t="s">
        <v>445</v>
      </c>
      <c r="M54" s="275" t="s">
        <v>444</v>
      </c>
    </row>
    <row r="55" spans="1:14">
      <c r="G55" s="204">
        <v>588</v>
      </c>
      <c r="H55" s="204" t="s">
        <v>100</v>
      </c>
      <c r="I55" s="204" t="str">
        <f>_xlfn.XLOOKUP(H55,[2]Dropdown!B:B,[2]Dropdown!C:C)</f>
        <v>רכב ונסיעות</v>
      </c>
      <c r="J55" s="204" t="s">
        <v>400</v>
      </c>
      <c r="K55" s="227">
        <v>1</v>
      </c>
      <c r="L55" s="253" t="s">
        <v>457</v>
      </c>
      <c r="M55" s="275" t="s">
        <v>458</v>
      </c>
    </row>
    <row r="56" spans="1:14" ht="13.5" thickBot="1">
      <c r="G56" s="204">
        <v>2360</v>
      </c>
      <c r="H56" s="204" t="s">
        <v>374</v>
      </c>
      <c r="I56" s="204" t="str">
        <f>_xlfn.XLOOKUP(H56,[2]Dropdown!B:B,[2]Dropdown!C:C)</f>
        <v>תחזוקת דירה ותקשורת</v>
      </c>
      <c r="J56" s="204" t="s">
        <v>400</v>
      </c>
      <c r="K56" s="227">
        <v>3</v>
      </c>
      <c r="L56" s="253" t="s">
        <v>415</v>
      </c>
      <c r="M56" s="275" t="s">
        <v>435</v>
      </c>
    </row>
    <row r="57" spans="1:14">
      <c r="F57" s="219" t="s">
        <v>287</v>
      </c>
      <c r="G57" s="225"/>
      <c r="H57" s="225"/>
      <c r="I57" s="225"/>
      <c r="J57" s="225"/>
      <c r="K57" s="225"/>
      <c r="L57" s="225"/>
      <c r="M57" s="274"/>
      <c r="N57" s="274"/>
    </row>
    <row r="58" spans="1:14">
      <c r="F58" s="226" t="s">
        <v>459</v>
      </c>
      <c r="G58" s="204">
        <v>90</v>
      </c>
      <c r="H58" s="204" t="s">
        <v>140</v>
      </c>
      <c r="I58" s="204" t="str">
        <f>_xlfn.XLOOKUP(H58,[2]Dropdown!B:B,[2]Dropdown!C:C)</f>
        <v>תרבות ופנאי</v>
      </c>
      <c r="J58" s="204" t="s">
        <v>165</v>
      </c>
    </row>
    <row r="59" spans="1:14">
      <c r="F59" s="226" t="s">
        <v>459</v>
      </c>
      <c r="G59" s="204">
        <v>10</v>
      </c>
      <c r="H59" s="204" t="s">
        <v>140</v>
      </c>
      <c r="I59" s="204" t="str">
        <f>_xlfn.XLOOKUP(H59,[2]Dropdown!B:B,[2]Dropdown!C:C)</f>
        <v>תרבות ופנאי</v>
      </c>
      <c r="J59" s="204" t="s">
        <v>165</v>
      </c>
    </row>
    <row r="60" spans="1:14">
      <c r="F60" s="226" t="s">
        <v>460</v>
      </c>
      <c r="G60" s="204">
        <v>14.56</v>
      </c>
      <c r="H60" s="204" t="s">
        <v>91</v>
      </c>
      <c r="I60" s="204" t="str">
        <f>_xlfn.XLOOKUP(H60,[2]Dropdown!B:B,[2]Dropdown!C:C)</f>
        <v>מזון וקניות</v>
      </c>
      <c r="J60" s="204" t="s">
        <v>167</v>
      </c>
    </row>
    <row r="61" spans="1:14">
      <c r="F61" s="226" t="s">
        <v>461</v>
      </c>
      <c r="G61" s="204">
        <v>46.8</v>
      </c>
      <c r="H61" s="204" t="s">
        <v>91</v>
      </c>
      <c r="I61" s="204" t="str">
        <f>_xlfn.XLOOKUP(H61,[2]Dropdown!B:B,[2]Dropdown!C:C)</f>
        <v>מזון וקניות</v>
      </c>
      <c r="J61" s="204" t="s">
        <v>165</v>
      </c>
    </row>
    <row r="62" spans="1:14">
      <c r="F62" s="226" t="s">
        <v>461</v>
      </c>
      <c r="G62" s="250">
        <v>17</v>
      </c>
      <c r="H62" s="204" t="s">
        <v>140</v>
      </c>
      <c r="I62" s="204" t="str">
        <f>_xlfn.XLOOKUP(H62,[2]Dropdown!B:B,[2]Dropdown!C:C)</f>
        <v>תרבות ופנאי</v>
      </c>
      <c r="J62" s="204" t="s">
        <v>165</v>
      </c>
    </row>
    <row r="63" spans="1:14">
      <c r="E63" s="204"/>
      <c r="F63" s="226" t="s">
        <v>461</v>
      </c>
      <c r="G63" s="250">
        <v>93</v>
      </c>
      <c r="H63" s="204" t="s">
        <v>91</v>
      </c>
      <c r="I63" s="204" t="str">
        <f>_xlfn.XLOOKUP(H63,[2]Dropdown!B:B,[2]Dropdown!C:C)</f>
        <v>מזון וקניות</v>
      </c>
      <c r="J63" s="204" t="s">
        <v>165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F64" s="226" t="s">
        <v>461</v>
      </c>
      <c r="G64" s="250">
        <v>76</v>
      </c>
      <c r="H64" s="204" t="s">
        <v>111</v>
      </c>
      <c r="I64" s="204" t="str">
        <f>_xlfn.XLOOKUP(H64,[2]Dropdown!B:B,[2]Dropdown!C:C)</f>
        <v>ילדים וחינוך</v>
      </c>
      <c r="J64" s="204" t="s">
        <v>165</v>
      </c>
    </row>
    <row r="65" spans="1:13">
      <c r="A65" s="204" t="s">
        <v>426</v>
      </c>
      <c r="B65" s="204">
        <v>11367.9</v>
      </c>
      <c r="C65" s="204">
        <v>9547</v>
      </c>
      <c r="D65" s="204">
        <v>0</v>
      </c>
      <c r="E65" s="204">
        <f>IF(C65-B65&lt;0,(C65-B65)*-1,0)</f>
        <v>1820.8999999999996</v>
      </c>
      <c r="F65" s="226" t="s">
        <v>462</v>
      </c>
      <c r="G65" s="250">
        <v>737.71</v>
      </c>
      <c r="H65" s="204" t="s">
        <v>91</v>
      </c>
      <c r="I65" s="204" t="str">
        <f>_xlfn.XLOOKUP(H65,[2]Dropdown!B:B,[2]Dropdown!C:C)</f>
        <v>מזון וקניות</v>
      </c>
      <c r="J65" s="204" t="s">
        <v>165</v>
      </c>
    </row>
    <row r="66" spans="1:13">
      <c r="A66" s="227" t="s">
        <v>425</v>
      </c>
      <c r="B66" s="251">
        <v>14049.06</v>
      </c>
      <c r="C66" s="204">
        <v>8000</v>
      </c>
      <c r="D66" s="204">
        <v>0</v>
      </c>
      <c r="E66" s="204">
        <f t="shared" ref="E66:E71" si="11">IF(C66-B66&lt;0,(C66-B66)*-1,0)</f>
        <v>6049.0599999999995</v>
      </c>
      <c r="F66" s="226" t="s">
        <v>462</v>
      </c>
      <c r="G66" s="250">
        <v>123.52</v>
      </c>
      <c r="H66" s="204" t="s">
        <v>91</v>
      </c>
      <c r="I66" s="204" t="str">
        <f>_xlfn.XLOOKUP(H66,[2]Dropdown!B:B,[2]Dropdown!C:C)</f>
        <v>מזון וקניות</v>
      </c>
      <c r="J66" s="204" t="s">
        <v>165</v>
      </c>
    </row>
    <row r="67" spans="1:13">
      <c r="A67" s="227" t="s">
        <v>424</v>
      </c>
      <c r="B67" s="136">
        <v>1909.6</v>
      </c>
      <c r="C67" s="204">
        <v>3240</v>
      </c>
      <c r="D67" s="204">
        <v>1330.4</v>
      </c>
      <c r="E67" s="204">
        <f t="shared" si="11"/>
        <v>0</v>
      </c>
      <c r="F67" s="226" t="s">
        <v>462</v>
      </c>
      <c r="G67" s="250">
        <v>15</v>
      </c>
      <c r="H67" s="204" t="s">
        <v>140</v>
      </c>
      <c r="I67" s="204" t="str">
        <f>_xlfn.XLOOKUP(H67,[2]Dropdown!B:B,[2]Dropdown!C:C)</f>
        <v>תרבות ופנאי</v>
      </c>
      <c r="J67" s="204" t="s">
        <v>165</v>
      </c>
    </row>
    <row r="68" spans="1:13">
      <c r="A68" s="227" t="s">
        <v>423</v>
      </c>
      <c r="B68" s="136">
        <v>4379.3866666666672</v>
      </c>
      <c r="C68" s="204">
        <v>6750</v>
      </c>
      <c r="D68" s="204">
        <v>2370.6133333333328</v>
      </c>
      <c r="E68" s="204">
        <f t="shared" si="11"/>
        <v>0</v>
      </c>
      <c r="F68" s="226" t="s">
        <v>463</v>
      </c>
      <c r="G68" s="250">
        <v>-3831</v>
      </c>
      <c r="H68" s="204" t="s">
        <v>327</v>
      </c>
      <c r="I68" s="204" t="str">
        <f>_xlfn.XLOOKUP(H68,[2]Dropdown!B:B,[2]Dropdown!C:C)</f>
        <v>עסק</v>
      </c>
      <c r="J68" s="204" t="s">
        <v>352</v>
      </c>
      <c r="M68" s="275" t="s">
        <v>464</v>
      </c>
    </row>
    <row r="69" spans="1:13">
      <c r="A69" s="252" t="s">
        <v>422</v>
      </c>
      <c r="B69" s="136">
        <v>1683.5</v>
      </c>
      <c r="C69" s="204">
        <v>2600</v>
      </c>
      <c r="D69" s="204">
        <v>916.5</v>
      </c>
      <c r="E69" s="204">
        <f t="shared" si="11"/>
        <v>0</v>
      </c>
      <c r="F69" s="226" t="s">
        <v>463</v>
      </c>
      <c r="G69" s="204">
        <v>27</v>
      </c>
      <c r="H69" s="204" t="s">
        <v>139</v>
      </c>
      <c r="I69" s="204" t="str">
        <f>_xlfn.XLOOKUP(H69,[2]Dropdown!B:B,[2]Dropdown!C:C)</f>
        <v>תרבות ופנאי</v>
      </c>
      <c r="J69" s="204" t="s">
        <v>167</v>
      </c>
    </row>
    <row r="70" spans="1:13">
      <c r="A70" s="227" t="s">
        <v>421</v>
      </c>
      <c r="B70" s="136">
        <v>1173.42</v>
      </c>
      <c r="C70" s="204">
        <v>980</v>
      </c>
      <c r="D70" s="204">
        <v>0</v>
      </c>
      <c r="E70" s="204">
        <f t="shared" si="11"/>
        <v>193.42000000000007</v>
      </c>
      <c r="F70" s="226" t="s">
        <v>463</v>
      </c>
      <c r="G70" s="250">
        <v>329.83</v>
      </c>
      <c r="H70" s="204" t="s">
        <v>96</v>
      </c>
      <c r="I70" s="204" t="str">
        <f>_xlfn.XLOOKUP(H70,[2]Dropdown!B:B,[2]Dropdown!C:C)</f>
        <v>מזון וקניות</v>
      </c>
      <c r="J70" s="204" t="s">
        <v>399</v>
      </c>
    </row>
    <row r="71" spans="1:13">
      <c r="A71" s="227" t="s">
        <v>420</v>
      </c>
      <c r="B71" s="136">
        <v>4331.92</v>
      </c>
      <c r="C71" s="204">
        <v>3830</v>
      </c>
      <c r="D71" s="204">
        <v>0</v>
      </c>
      <c r="E71" s="204">
        <f t="shared" si="11"/>
        <v>501.92000000000007</v>
      </c>
      <c r="F71" s="226" t="s">
        <v>465</v>
      </c>
      <c r="G71" s="250">
        <v>539.79</v>
      </c>
      <c r="H71" s="204" t="s">
        <v>91</v>
      </c>
      <c r="I71" s="204" t="str">
        <f>_xlfn.XLOOKUP(H71,[2]Dropdown!B:B,[2]Dropdown!C:C)</f>
        <v>מזון וקניות</v>
      </c>
      <c r="J71" s="204" t="s">
        <v>165</v>
      </c>
    </row>
    <row r="72" spans="1:13">
      <c r="A72" s="227"/>
      <c r="B72" s="136"/>
      <c r="E72" s="204"/>
      <c r="F72" s="226" t="s">
        <v>465</v>
      </c>
      <c r="G72" s="250">
        <v>264.16000000000003</v>
      </c>
      <c r="H72" s="204" t="s">
        <v>91</v>
      </c>
      <c r="I72" s="204" t="str">
        <f>_xlfn.XLOOKUP(H72,[2]Dropdown!B:B,[2]Dropdown!C:C)</f>
        <v>מזון וקניות</v>
      </c>
      <c r="J72" s="204" t="s">
        <v>165</v>
      </c>
    </row>
    <row r="73" spans="1:13">
      <c r="A73" s="227"/>
      <c r="B73" s="136"/>
      <c r="F73" s="226" t="s">
        <v>465</v>
      </c>
      <c r="G73" s="250">
        <v>150</v>
      </c>
      <c r="H73" s="204" t="s">
        <v>109</v>
      </c>
      <c r="I73" s="204" t="str">
        <f>_xlfn.XLOOKUP(H73,[2]Dropdown!B:B,[2]Dropdown!C:C)</f>
        <v>ילדים וחינוך</v>
      </c>
      <c r="J73" s="204" t="s">
        <v>166</v>
      </c>
    </row>
    <row r="74" spans="1:13">
      <c r="F74" s="226" t="s">
        <v>466</v>
      </c>
      <c r="G74" s="204">
        <v>207</v>
      </c>
      <c r="H74" s="204" t="s">
        <v>93</v>
      </c>
      <c r="I74" s="204" t="str">
        <f>_xlfn.XLOOKUP(H74,[2]Dropdown!B:B,[2]Dropdown!C:C)</f>
        <v>מזון וקניות</v>
      </c>
      <c r="J74" s="204" t="s">
        <v>165</v>
      </c>
    </row>
    <row r="75" spans="1:13">
      <c r="F75" s="226" t="s">
        <v>466</v>
      </c>
      <c r="G75" s="204">
        <v>565.91</v>
      </c>
      <c r="H75" s="204" t="s">
        <v>91</v>
      </c>
      <c r="I75" s="204" t="str">
        <f>_xlfn.XLOOKUP(H75,[2]Dropdown!B:B,[2]Dropdown!C:C)</f>
        <v>מזון וקניות</v>
      </c>
      <c r="J75" s="204" t="s">
        <v>167</v>
      </c>
    </row>
    <row r="76" spans="1:13">
      <c r="F76" s="226" t="s">
        <v>466</v>
      </c>
      <c r="G76" s="250">
        <v>254.6</v>
      </c>
      <c r="H76" s="204" t="s">
        <v>99</v>
      </c>
      <c r="I76" s="204" t="str">
        <f>_xlfn.XLOOKUP(H76,[2]Dropdown!B:B,[2]Dropdown!C:C)</f>
        <v>רכב ונסיעות</v>
      </c>
      <c r="J76" s="204" t="s">
        <v>400</v>
      </c>
    </row>
    <row r="77" spans="1:13">
      <c r="F77" s="226" t="s">
        <v>467</v>
      </c>
      <c r="G77" s="250">
        <v>67</v>
      </c>
      <c r="H77" s="204" t="s">
        <v>103</v>
      </c>
      <c r="I77" s="204" t="str">
        <f>_xlfn.XLOOKUP(H77,[2]Dropdown!B:B,[2]Dropdown!C:C)</f>
        <v>רכב ונסיעות</v>
      </c>
      <c r="J77" s="204" t="s">
        <v>165</v>
      </c>
    </row>
    <row r="78" spans="1:13">
      <c r="F78" s="226" t="s">
        <v>467</v>
      </c>
      <c r="G78" s="250">
        <v>360</v>
      </c>
      <c r="H78" s="204" t="s">
        <v>276</v>
      </c>
      <c r="I78" s="204" t="str">
        <f>_xlfn.XLOOKUP(H78,[2]Dropdown!B:B,[2]Dropdown!C:C)</f>
        <v>תרבות ופנאי</v>
      </c>
      <c r="J78" s="204" t="s">
        <v>399</v>
      </c>
    </row>
    <row r="79" spans="1:13">
      <c r="F79" s="226" t="s">
        <v>467</v>
      </c>
      <c r="G79" s="250">
        <v>65</v>
      </c>
      <c r="H79" s="204" t="s">
        <v>276</v>
      </c>
      <c r="I79" s="204" t="str">
        <f>_xlfn.XLOOKUP(H79,[2]Dropdown!B:B,[2]Dropdown!C:C)</f>
        <v>תרבות ופנאי</v>
      </c>
      <c r="J79" s="204" t="s">
        <v>399</v>
      </c>
    </row>
    <row r="80" spans="1:13">
      <c r="F80" s="226" t="s">
        <v>468</v>
      </c>
      <c r="G80" s="250">
        <v>359.8</v>
      </c>
      <c r="H80" s="204" t="s">
        <v>91</v>
      </c>
      <c r="I80" s="204" t="str">
        <f>_xlfn.XLOOKUP(H80,[2]Dropdown!B:B,[2]Dropdown!C:C)</f>
        <v>מזון וקניות</v>
      </c>
      <c r="J80" s="204" t="s">
        <v>400</v>
      </c>
    </row>
    <row r="81" spans="6:13">
      <c r="F81" s="226" t="s">
        <v>468</v>
      </c>
      <c r="G81" s="250">
        <v>1588</v>
      </c>
      <c r="H81" s="204" t="s">
        <v>101</v>
      </c>
      <c r="I81" s="204" t="str">
        <f>_xlfn.XLOOKUP(H81,[2]Dropdown!B:B,[2]Dropdown!C:C)</f>
        <v>רכב ונסיעות</v>
      </c>
      <c r="J81" s="204" t="s">
        <v>400</v>
      </c>
      <c r="M81" s="275" t="s">
        <v>436</v>
      </c>
    </row>
    <row r="82" spans="6:13">
      <c r="F82" s="226" t="s">
        <v>468</v>
      </c>
      <c r="G82" s="250">
        <v>273.33</v>
      </c>
      <c r="H82" s="204" t="s">
        <v>91</v>
      </c>
      <c r="I82" s="204" t="str">
        <f>_xlfn.XLOOKUP(H82,[2]Dropdown!B:B,[2]Dropdown!C:C)</f>
        <v>מזון וקניות</v>
      </c>
      <c r="J82" s="204" t="s">
        <v>166</v>
      </c>
    </row>
    <row r="83" spans="6:13">
      <c r="F83" s="226" t="s">
        <v>468</v>
      </c>
      <c r="G83" s="250">
        <v>105.65</v>
      </c>
      <c r="H83" s="204" t="s">
        <v>91</v>
      </c>
      <c r="I83" s="204" t="str">
        <f>_xlfn.XLOOKUP(H83,[2]Dropdown!B:B,[2]Dropdown!C:C)</f>
        <v>מזון וקניות</v>
      </c>
      <c r="J83" s="204" t="s">
        <v>166</v>
      </c>
    </row>
    <row r="84" spans="6:13">
      <c r="F84" s="226" t="s">
        <v>468</v>
      </c>
      <c r="G84" s="250">
        <v>709.5</v>
      </c>
      <c r="H84" s="204" t="s">
        <v>91</v>
      </c>
      <c r="I84" s="204" t="str">
        <f>_xlfn.XLOOKUP(H84,[2]Dropdown!B:B,[2]Dropdown!C:C)</f>
        <v>מזון וקניות</v>
      </c>
      <c r="J84" s="204" t="s">
        <v>166</v>
      </c>
    </row>
    <row r="85" spans="6:13">
      <c r="F85" s="226" t="s">
        <v>468</v>
      </c>
      <c r="G85" s="250">
        <v>13.8</v>
      </c>
      <c r="H85" s="204" t="s">
        <v>91</v>
      </c>
      <c r="I85" s="204" t="str">
        <f>_xlfn.XLOOKUP(H85,[2]Dropdown!B:B,[2]Dropdown!C:C)</f>
        <v>מזון וקניות</v>
      </c>
      <c r="J85" s="204" t="s">
        <v>168</v>
      </c>
    </row>
    <row r="86" spans="6:13">
      <c r="F86" s="226" t="s">
        <v>468</v>
      </c>
      <c r="G86" s="250">
        <v>37</v>
      </c>
      <c r="H86" s="204" t="s">
        <v>276</v>
      </c>
      <c r="I86" s="204" t="str">
        <f>_xlfn.XLOOKUP(H86,[2]Dropdown!B:B,[2]Dropdown!C:C)</f>
        <v>תרבות ופנאי</v>
      </c>
      <c r="J86" s="204" t="s">
        <v>168</v>
      </c>
    </row>
    <row r="87" spans="6:13">
      <c r="F87" s="226" t="s">
        <v>469</v>
      </c>
      <c r="G87" s="250">
        <v>150</v>
      </c>
      <c r="H87" s="204" t="s">
        <v>109</v>
      </c>
      <c r="I87" s="204" t="str">
        <f>_xlfn.XLOOKUP(H87,[2]Dropdown!B:B,[2]Dropdown!C:C)</f>
        <v>ילדים וחינוך</v>
      </c>
      <c r="J87" s="204" t="s">
        <v>166</v>
      </c>
    </row>
    <row r="88" spans="6:13">
      <c r="F88" s="226" t="s">
        <v>470</v>
      </c>
      <c r="G88" s="250">
        <v>537.63</v>
      </c>
      <c r="H88" s="204" t="s">
        <v>91</v>
      </c>
      <c r="I88" s="204" t="str">
        <f>_xlfn.XLOOKUP(H88,[2]Dropdown!B:B,[2]Dropdown!C:C)</f>
        <v>מזון וקניות</v>
      </c>
      <c r="J88" s="204" t="s">
        <v>166</v>
      </c>
    </row>
    <row r="89" spans="6:13">
      <c r="F89" s="226" t="s">
        <v>470</v>
      </c>
      <c r="G89" s="250">
        <v>75</v>
      </c>
      <c r="H89" s="204" t="s">
        <v>139</v>
      </c>
      <c r="I89" s="204" t="str">
        <f>_xlfn.XLOOKUP(H89,[2]Dropdown!B:B,[2]Dropdown!C:C)</f>
        <v>תרבות ופנאי</v>
      </c>
      <c r="J89" s="204" t="s">
        <v>168</v>
      </c>
    </row>
    <row r="90" spans="6:13">
      <c r="F90" s="226" t="s">
        <v>470</v>
      </c>
      <c r="G90" s="250">
        <v>37</v>
      </c>
      <c r="H90" s="204" t="s">
        <v>276</v>
      </c>
      <c r="I90" s="204" t="str">
        <f>_xlfn.XLOOKUP(H90,[2]Dropdown!B:B,[2]Dropdown!C:C)</f>
        <v>תרבות ופנאי</v>
      </c>
      <c r="J90" s="204" t="s">
        <v>168</v>
      </c>
    </row>
    <row r="91" spans="6:13">
      <c r="F91" s="226" t="s">
        <v>470</v>
      </c>
      <c r="G91" s="204">
        <v>27</v>
      </c>
      <c r="H91" s="204" t="s">
        <v>139</v>
      </c>
      <c r="I91" s="204" t="str">
        <f>_xlfn.XLOOKUP(H91,[2]Dropdown!B:B,[2]Dropdown!C:C)</f>
        <v>תרבות ופנאי</v>
      </c>
      <c r="J91" s="204" t="s">
        <v>168</v>
      </c>
    </row>
    <row r="92" spans="6:13">
      <c r="F92" s="226" t="s">
        <v>470</v>
      </c>
      <c r="G92" s="250">
        <v>441.13</v>
      </c>
      <c r="H92" s="204" t="s">
        <v>279</v>
      </c>
      <c r="I92" s="204" t="str">
        <f>_xlfn.XLOOKUP(H92,[2]Dropdown!B:B,[2]Dropdown!C:C)</f>
        <v>מזון וקניות</v>
      </c>
      <c r="J92" s="204" t="s">
        <v>400</v>
      </c>
    </row>
    <row r="93" spans="6:13">
      <c r="F93" s="226" t="s">
        <v>471</v>
      </c>
      <c r="G93" s="250">
        <v>7.76</v>
      </c>
      <c r="H93" s="204" t="s">
        <v>91</v>
      </c>
      <c r="I93" s="204" t="str">
        <f>_xlfn.XLOOKUP(H93,[2]Dropdown!B:B,[2]Dropdown!C:C)</f>
        <v>מזון וקניות</v>
      </c>
      <c r="J93" s="204" t="s">
        <v>166</v>
      </c>
    </row>
    <row r="94" spans="6:13">
      <c r="F94" s="226" t="s">
        <v>471</v>
      </c>
      <c r="G94" s="250">
        <v>24.25</v>
      </c>
      <c r="H94" s="204" t="s">
        <v>91</v>
      </c>
      <c r="I94" s="204" t="str">
        <f>_xlfn.XLOOKUP(H94,[2]Dropdown!B:B,[2]Dropdown!C:C)</f>
        <v>מזון וקניות</v>
      </c>
      <c r="J94" s="204" t="s">
        <v>166</v>
      </c>
    </row>
    <row r="95" spans="6:13">
      <c r="F95" s="226" t="s">
        <v>471</v>
      </c>
      <c r="G95" s="250">
        <v>69.900000000000006</v>
      </c>
      <c r="H95" s="204" t="s">
        <v>91</v>
      </c>
      <c r="I95" s="204" t="str">
        <f>_xlfn.XLOOKUP(H95,[2]Dropdown!B:B,[2]Dropdown!C:C)</f>
        <v>מזון וקניות</v>
      </c>
      <c r="J95" s="204" t="s">
        <v>166</v>
      </c>
    </row>
    <row r="96" spans="6:13">
      <c r="F96" s="226" t="s">
        <v>471</v>
      </c>
      <c r="G96" s="250">
        <v>13.3</v>
      </c>
      <c r="H96" s="204" t="s">
        <v>91</v>
      </c>
      <c r="I96" s="204" t="str">
        <f>_xlfn.XLOOKUP(H96,[2]Dropdown!B:B,[2]Dropdown!C:C)</f>
        <v>מזון וקניות</v>
      </c>
      <c r="J96" s="204" t="s">
        <v>166</v>
      </c>
    </row>
    <row r="97" spans="6:10">
      <c r="F97" s="226" t="s">
        <v>471</v>
      </c>
      <c r="G97" s="250">
        <v>17</v>
      </c>
      <c r="H97" s="204" t="s">
        <v>276</v>
      </c>
      <c r="I97" s="204" t="str">
        <f>_xlfn.XLOOKUP(H97,[2]Dropdown!B:B,[2]Dropdown!C:C)</f>
        <v>תרבות ופנאי</v>
      </c>
      <c r="J97" s="204" t="s">
        <v>166</v>
      </c>
    </row>
    <row r="98" spans="6:10">
      <c r="F98" s="226" t="s">
        <v>471</v>
      </c>
      <c r="G98" s="250">
        <v>-373.08</v>
      </c>
      <c r="H98" s="204" t="s">
        <v>133</v>
      </c>
      <c r="I98" s="204" t="str">
        <f>_xlfn.XLOOKUP(H98,[2]Dropdown!B:B,[2]Dropdown!C:C)</f>
        <v>ביטוחים ופיננסים</v>
      </c>
      <c r="J98" s="204" t="s">
        <v>166</v>
      </c>
    </row>
    <row r="99" spans="6:10">
      <c r="F99" s="226" t="s">
        <v>471</v>
      </c>
      <c r="G99" s="250">
        <v>34</v>
      </c>
      <c r="H99" s="204" t="s">
        <v>276</v>
      </c>
      <c r="I99" s="204" t="str">
        <f>_xlfn.XLOOKUP(H99,[2]Dropdown!B:B,[2]Dropdown!C:C)</f>
        <v>תרבות ופנאי</v>
      </c>
      <c r="J99" s="204" t="s">
        <v>166</v>
      </c>
    </row>
    <row r="100" spans="6:10">
      <c r="F100" s="226" t="s">
        <v>471</v>
      </c>
      <c r="G100" s="204">
        <v>110</v>
      </c>
      <c r="H100" s="204" t="s">
        <v>121</v>
      </c>
      <c r="I100" s="204" t="str">
        <f>_xlfn.XLOOKUP(H100,[2]Dropdown!B:B,[2]Dropdown!C:C)</f>
        <v>תרבות ופנאי</v>
      </c>
      <c r="J100" s="204" t="s">
        <v>168</v>
      </c>
    </row>
    <row r="101" spans="6:10">
      <c r="F101" s="226" t="s">
        <v>472</v>
      </c>
      <c r="G101" s="250">
        <v>35</v>
      </c>
      <c r="H101" s="204" t="s">
        <v>91</v>
      </c>
      <c r="I101" s="204" t="str">
        <f>_xlfn.XLOOKUP(H101,[2]Dropdown!B:B,[2]Dropdown!C:C)</f>
        <v>מזון וקניות</v>
      </c>
      <c r="J101" s="204" t="s">
        <v>166</v>
      </c>
    </row>
    <row r="102" spans="6:10">
      <c r="F102" s="226" t="s">
        <v>472</v>
      </c>
      <c r="G102" s="250">
        <v>316.08999999999997</v>
      </c>
      <c r="H102" s="204" t="s">
        <v>91</v>
      </c>
      <c r="I102" s="204" t="str">
        <f>_xlfn.XLOOKUP(H102,[2]Dropdown!B:B,[2]Dropdown!C:C)</f>
        <v>מזון וקניות</v>
      </c>
      <c r="J102" s="204" t="s">
        <v>166</v>
      </c>
    </row>
    <row r="103" spans="6:10">
      <c r="F103" s="226" t="s">
        <v>472</v>
      </c>
      <c r="G103" s="250">
        <v>202</v>
      </c>
      <c r="H103" s="204" t="s">
        <v>95</v>
      </c>
      <c r="I103" s="204" t="str">
        <f>_xlfn.XLOOKUP(H103,[2]Dropdown!B:B,[2]Dropdown!C:C)</f>
        <v>מזון וקניות</v>
      </c>
      <c r="J103" s="204" t="s">
        <v>169</v>
      </c>
    </row>
    <row r="104" spans="6:10">
      <c r="F104" s="226" t="s">
        <v>472</v>
      </c>
      <c r="G104" s="250">
        <v>465.95</v>
      </c>
      <c r="H104" s="204" t="s">
        <v>91</v>
      </c>
      <c r="I104" s="204" t="str">
        <f>_xlfn.XLOOKUP(H104,[2]Dropdown!B:B,[2]Dropdown!C:C)</f>
        <v>מזון וקניות</v>
      </c>
      <c r="J104" s="204" t="s">
        <v>166</v>
      </c>
    </row>
    <row r="105" spans="6:10">
      <c r="F105" s="226" t="s">
        <v>472</v>
      </c>
      <c r="G105" s="250">
        <v>350</v>
      </c>
      <c r="H105" s="204" t="s">
        <v>93</v>
      </c>
      <c r="I105" s="204" t="str">
        <f>_xlfn.XLOOKUP(H105,[2]Dropdown!B:B,[2]Dropdown!C:C)</f>
        <v>מזון וקניות</v>
      </c>
      <c r="J105" s="204" t="s">
        <v>400</v>
      </c>
    </row>
    <row r="106" spans="6:10">
      <c r="F106" s="226" t="s">
        <v>472</v>
      </c>
      <c r="G106" s="250">
        <v>75.400000000000006</v>
      </c>
      <c r="H106" s="204" t="s">
        <v>96</v>
      </c>
      <c r="I106" s="204" t="str">
        <f>_xlfn.XLOOKUP(H106,[2]Dropdown!B:B,[2]Dropdown!C:C)</f>
        <v>מזון וקניות</v>
      </c>
      <c r="J106" s="204" t="s">
        <v>400</v>
      </c>
    </row>
    <row r="107" spans="6:10">
      <c r="F107" s="226" t="s">
        <v>473</v>
      </c>
      <c r="G107" s="250">
        <v>150</v>
      </c>
      <c r="H107" s="204" t="s">
        <v>109</v>
      </c>
      <c r="I107" s="204" t="str">
        <f>_xlfn.XLOOKUP(H107,[2]Dropdown!B:B,[2]Dropdown!C:C)</f>
        <v>ילדים וחינוך</v>
      </c>
      <c r="J107" s="204" t="s">
        <v>166</v>
      </c>
    </row>
    <row r="108" spans="6:10">
      <c r="F108" s="226" t="s">
        <v>474</v>
      </c>
      <c r="G108" s="250">
        <v>786.35</v>
      </c>
      <c r="H108" s="204" t="s">
        <v>91</v>
      </c>
      <c r="I108" s="204" t="str">
        <f>_xlfn.XLOOKUP(H108,[2]Dropdown!B:B,[2]Dropdown!C:C)</f>
        <v>מזון וקניות</v>
      </c>
      <c r="J108" s="204" t="s">
        <v>166</v>
      </c>
    </row>
    <row r="109" spans="6:10">
      <c r="F109" s="226" t="s">
        <v>474</v>
      </c>
      <c r="G109" s="250">
        <v>56.4</v>
      </c>
      <c r="H109" s="204" t="s">
        <v>91</v>
      </c>
      <c r="I109" s="204" t="str">
        <f>_xlfn.XLOOKUP(H109,[2]Dropdown!B:B,[2]Dropdown!C:C)</f>
        <v>מזון וקניות</v>
      </c>
      <c r="J109" s="204" t="s">
        <v>168</v>
      </c>
    </row>
    <row r="110" spans="6:10">
      <c r="F110" s="226" t="s">
        <v>474</v>
      </c>
      <c r="G110" s="250">
        <v>29.85</v>
      </c>
      <c r="H110" s="204" t="s">
        <v>91</v>
      </c>
      <c r="I110" s="204" t="str">
        <f>_xlfn.XLOOKUP(H110,[2]Dropdown!B:B,[2]Dropdown!C:C)</f>
        <v>מזון וקניות</v>
      </c>
      <c r="J110" s="204" t="s">
        <v>168</v>
      </c>
    </row>
    <row r="111" spans="6:10">
      <c r="F111" s="226" t="s">
        <v>475</v>
      </c>
      <c r="G111" s="250">
        <v>240</v>
      </c>
      <c r="H111" s="204" t="s">
        <v>95</v>
      </c>
      <c r="I111" s="204" t="str">
        <f>_xlfn.XLOOKUP(H111,[2]Dropdown!B:B,[2]Dropdown!C:C)</f>
        <v>מזון וקניות</v>
      </c>
      <c r="J111" s="204" t="s">
        <v>166</v>
      </c>
    </row>
    <row r="112" spans="6:10">
      <c r="F112" s="226" t="s">
        <v>475</v>
      </c>
      <c r="G112" s="250">
        <v>50</v>
      </c>
      <c r="H112" s="204" t="s">
        <v>95</v>
      </c>
      <c r="I112" s="204" t="str">
        <f>_xlfn.XLOOKUP(H112,[2]Dropdown!B:B,[2]Dropdown!C:C)</f>
        <v>מזון וקניות</v>
      </c>
      <c r="J112" s="204" t="s">
        <v>166</v>
      </c>
    </row>
    <row r="113" spans="6:10">
      <c r="F113" s="226" t="s">
        <v>476</v>
      </c>
      <c r="G113" s="250">
        <v>374.25</v>
      </c>
      <c r="H113" s="204" t="s">
        <v>93</v>
      </c>
      <c r="I113" s="204" t="str">
        <f>_xlfn.XLOOKUP(H113,[2]Dropdown!B:B,[2]Dropdown!C:C)</f>
        <v>מזון וקניות</v>
      </c>
      <c r="J113" s="204" t="s">
        <v>166</v>
      </c>
    </row>
    <row r="114" spans="6:10">
      <c r="F114" s="226" t="s">
        <v>476</v>
      </c>
      <c r="G114" s="250">
        <v>150</v>
      </c>
      <c r="H114" s="204" t="s">
        <v>109</v>
      </c>
      <c r="I114" s="204" t="str">
        <f>_xlfn.XLOOKUP(H114,[2]Dropdown!B:B,[2]Dropdown!C:C)</f>
        <v>ילדים וחינוך</v>
      </c>
      <c r="J114" s="204" t="s">
        <v>166</v>
      </c>
    </row>
    <row r="115" spans="6:10">
      <c r="F115" s="226" t="s">
        <v>476</v>
      </c>
      <c r="G115" s="250">
        <v>104.74</v>
      </c>
      <c r="H115" s="204" t="s">
        <v>96</v>
      </c>
      <c r="I115" s="204" t="str">
        <f>_xlfn.XLOOKUP(H115,[2]Dropdown!B:B,[2]Dropdown!C:C)</f>
        <v>מזון וקניות</v>
      </c>
      <c r="J115" s="204" t="s">
        <v>169</v>
      </c>
    </row>
    <row r="116" spans="6:10">
      <c r="F116" s="226" t="s">
        <v>476</v>
      </c>
      <c r="G116" s="250">
        <v>95.89</v>
      </c>
      <c r="H116" s="204" t="s">
        <v>91</v>
      </c>
      <c r="I116" s="204" t="str">
        <f>_xlfn.XLOOKUP(H116,[2]Dropdown!B:B,[2]Dropdown!C:C)</f>
        <v>מזון וקניות</v>
      </c>
      <c r="J116" s="204" t="s">
        <v>168</v>
      </c>
    </row>
    <row r="117" spans="6:10">
      <c r="F117" s="226" t="s">
        <v>477</v>
      </c>
      <c r="G117" s="250">
        <v>46</v>
      </c>
      <c r="H117" s="204" t="s">
        <v>91</v>
      </c>
      <c r="I117" s="204" t="str">
        <f>_xlfn.XLOOKUP(H117,[2]Dropdown!B:B,[2]Dropdown!C:C)</f>
        <v>מזון וקניות</v>
      </c>
      <c r="J117" s="204" t="s">
        <v>166</v>
      </c>
    </row>
    <row r="118" spans="6:10">
      <c r="F118" s="226" t="s">
        <v>477</v>
      </c>
      <c r="G118" s="250">
        <v>195.07</v>
      </c>
      <c r="H118" s="204" t="s">
        <v>91</v>
      </c>
      <c r="I118" s="204" t="str">
        <f>_xlfn.XLOOKUP(H118,[2]Dropdown!B:B,[2]Dropdown!C:C)</f>
        <v>מזון וקניות</v>
      </c>
      <c r="J118" s="204" t="s">
        <v>166</v>
      </c>
    </row>
    <row r="119" spans="6:10">
      <c r="F119" s="226" t="s">
        <v>477</v>
      </c>
      <c r="G119" s="250">
        <v>32.340000000000003</v>
      </c>
      <c r="H119" s="204" t="s">
        <v>91</v>
      </c>
      <c r="I119" s="204" t="str">
        <f>_xlfn.XLOOKUP(H119,[2]Dropdown!B:B,[2]Dropdown!C:C)</f>
        <v>מזון וקניות</v>
      </c>
      <c r="J119" s="204" t="s">
        <v>166</v>
      </c>
    </row>
    <row r="120" spans="6:10">
      <c r="F120" s="226" t="s">
        <v>478</v>
      </c>
      <c r="G120" s="250">
        <v>592.74</v>
      </c>
      <c r="H120" s="204" t="s">
        <v>95</v>
      </c>
      <c r="I120" s="204" t="str">
        <f>_xlfn.XLOOKUP(H120,[2]Dropdown!B:B,[2]Dropdown!C:C)</f>
        <v>מזון וקניות</v>
      </c>
      <c r="J120" s="204" t="s">
        <v>166</v>
      </c>
    </row>
    <row r="121" spans="6:10">
      <c r="F121" s="226" t="s">
        <v>478</v>
      </c>
      <c r="G121" s="250">
        <v>202.5</v>
      </c>
      <c r="H121" s="204" t="s">
        <v>121</v>
      </c>
      <c r="I121" s="204" t="str">
        <f>_xlfn.XLOOKUP(H121,[2]Dropdown!B:B,[2]Dropdown!C:C)</f>
        <v>תרבות ופנאי</v>
      </c>
      <c r="J121" s="204" t="s">
        <v>168</v>
      </c>
    </row>
    <row r="122" spans="6:10">
      <c r="F122" s="226" t="s">
        <v>479</v>
      </c>
      <c r="G122" s="250">
        <v>120</v>
      </c>
      <c r="H122" s="204" t="s">
        <v>108</v>
      </c>
      <c r="I122" s="204" t="str">
        <f>_xlfn.XLOOKUP(H122,[2]Dropdown!B:B,[2]Dropdown!C:C)</f>
        <v>ילדים וחינוך</v>
      </c>
      <c r="J122" s="204" t="s">
        <v>166</v>
      </c>
    </row>
    <row r="123" spans="6:10">
      <c r="F123" s="226" t="s">
        <v>479</v>
      </c>
      <c r="G123" s="250">
        <v>40</v>
      </c>
      <c r="H123" s="204" t="s">
        <v>91</v>
      </c>
      <c r="I123" s="204" t="str">
        <f>_xlfn.XLOOKUP(H123,[2]Dropdown!B:B,[2]Dropdown!C:C)</f>
        <v>מזון וקניות</v>
      </c>
      <c r="J123" s="204" t="s">
        <v>166</v>
      </c>
    </row>
    <row r="124" spans="6:10">
      <c r="F124" s="226" t="s">
        <v>479</v>
      </c>
      <c r="G124" s="250">
        <v>67</v>
      </c>
      <c r="H124" s="204" t="s">
        <v>276</v>
      </c>
      <c r="I124" s="204" t="str">
        <f>_xlfn.XLOOKUP(H124,[2]Dropdown!B:B,[2]Dropdown!C:C)</f>
        <v>תרבות ופנאי</v>
      </c>
      <c r="J124" s="204" t="s">
        <v>166</v>
      </c>
    </row>
    <row r="125" spans="6:10">
      <c r="F125" s="226" t="s">
        <v>479</v>
      </c>
      <c r="G125" s="250">
        <v>48</v>
      </c>
      <c r="H125" s="204" t="s">
        <v>91</v>
      </c>
      <c r="I125" s="204" t="str">
        <f>_xlfn.XLOOKUP(H125,[2]Dropdown!B:B,[2]Dropdown!C:C)</f>
        <v>מזון וקניות</v>
      </c>
      <c r="J125" s="204" t="s">
        <v>166</v>
      </c>
    </row>
    <row r="126" spans="6:10">
      <c r="F126" s="226" t="s">
        <v>479</v>
      </c>
      <c r="G126" s="250">
        <v>20</v>
      </c>
      <c r="H126" s="204" t="s">
        <v>276</v>
      </c>
      <c r="I126" s="204" t="str">
        <f>_xlfn.XLOOKUP(H126,[2]Dropdown!B:B,[2]Dropdown!C:C)</f>
        <v>תרבות ופנאי</v>
      </c>
      <c r="J126" s="204" t="s">
        <v>168</v>
      </c>
    </row>
    <row r="127" spans="6:10">
      <c r="F127" s="226" t="s">
        <v>479</v>
      </c>
      <c r="G127" s="250">
        <v>15</v>
      </c>
      <c r="H127" s="204" t="s">
        <v>276</v>
      </c>
      <c r="I127" s="204" t="str">
        <f>_xlfn.XLOOKUP(H127,[2]Dropdown!B:B,[2]Dropdown!C:C)</f>
        <v>תרבות ופנאי</v>
      </c>
      <c r="J127" s="204" t="s">
        <v>168</v>
      </c>
    </row>
    <row r="128" spans="6:10">
      <c r="F128" s="226" t="s">
        <v>480</v>
      </c>
      <c r="G128" s="250">
        <v>73</v>
      </c>
      <c r="H128" s="204" t="s">
        <v>276</v>
      </c>
      <c r="I128" s="204" t="str">
        <f>_xlfn.XLOOKUP(H128,[2]Dropdown!B:B,[2]Dropdown!C:C)</f>
        <v>תרבות ופנאי</v>
      </c>
      <c r="J128" s="204" t="s">
        <v>166</v>
      </c>
    </row>
    <row r="129" spans="6:10">
      <c r="F129" s="226" t="s">
        <v>480</v>
      </c>
      <c r="G129" s="250">
        <v>45</v>
      </c>
      <c r="H129" s="204" t="s">
        <v>276</v>
      </c>
      <c r="I129" s="204" t="str">
        <f>_xlfn.XLOOKUP(H129,[2]Dropdown!B:B,[2]Dropdown!C:C)</f>
        <v>תרבות ופנאי</v>
      </c>
      <c r="J129" s="204" t="s">
        <v>166</v>
      </c>
    </row>
    <row r="130" spans="6:10">
      <c r="F130" s="226" t="s">
        <v>481</v>
      </c>
      <c r="G130" s="250">
        <v>480</v>
      </c>
      <c r="H130" s="204" t="s">
        <v>126</v>
      </c>
      <c r="I130" s="204" t="str">
        <f>_xlfn.XLOOKUP(H130,[2]Dropdown!B:B,[2]Dropdown!C:C)</f>
        <v>בריאות וטיפולים</v>
      </c>
      <c r="J130" s="204" t="s">
        <v>20</v>
      </c>
    </row>
    <row r="131" spans="6:10">
      <c r="F131" s="226" t="s">
        <v>481</v>
      </c>
      <c r="G131" s="250">
        <v>280</v>
      </c>
      <c r="H131" s="204" t="s">
        <v>91</v>
      </c>
      <c r="I131" s="204" t="str">
        <f>_xlfn.XLOOKUP(H131,[2]Dropdown!B:B,[2]Dropdown!C:C)</f>
        <v>מזון וקניות</v>
      </c>
      <c r="J131" s="204" t="s">
        <v>166</v>
      </c>
    </row>
    <row r="132" spans="6:10">
      <c r="F132" s="226" t="s">
        <v>482</v>
      </c>
      <c r="G132" s="250">
        <v>289.7</v>
      </c>
      <c r="H132" s="204" t="s">
        <v>123</v>
      </c>
      <c r="I132" s="204" t="str">
        <f>_xlfn.XLOOKUP(H132,[2]Dropdown!B:B,[2]Dropdown!C:C)</f>
        <v>תרבות ופנאי</v>
      </c>
      <c r="J132" s="204" t="s">
        <v>166</v>
      </c>
    </row>
    <row r="133" spans="6:10">
      <c r="F133" s="226" t="s">
        <v>482</v>
      </c>
      <c r="G133" s="250">
        <v>233.7</v>
      </c>
      <c r="H133" s="204" t="s">
        <v>123</v>
      </c>
      <c r="I133" s="204" t="str">
        <f>_xlfn.XLOOKUP(H133,[2]Dropdown!B:B,[2]Dropdown!C:C)</f>
        <v>תרבות ופנאי</v>
      </c>
      <c r="J133" s="204" t="s">
        <v>166</v>
      </c>
    </row>
    <row r="134" spans="6:10">
      <c r="F134" s="226" t="s">
        <v>482</v>
      </c>
      <c r="G134" s="250">
        <v>5</v>
      </c>
      <c r="H134" s="204" t="s">
        <v>123</v>
      </c>
      <c r="I134" s="204" t="str">
        <f>_xlfn.XLOOKUP(H134,[2]Dropdown!B:B,[2]Dropdown!C:C)</f>
        <v>תרבות ופנאי</v>
      </c>
      <c r="J134" s="204" t="s">
        <v>166</v>
      </c>
    </row>
    <row r="135" spans="6:10">
      <c r="F135" s="226" t="s">
        <v>482</v>
      </c>
      <c r="G135" s="250">
        <v>286</v>
      </c>
      <c r="H135" s="204" t="s">
        <v>123</v>
      </c>
      <c r="I135" s="204" t="str">
        <f>_xlfn.XLOOKUP(H135,[2]Dropdown!B:B,[2]Dropdown!C:C)</f>
        <v>תרבות ופנאי</v>
      </c>
      <c r="J135" s="204" t="s">
        <v>166</v>
      </c>
    </row>
    <row r="136" spans="6:10">
      <c r="F136" s="226" t="s">
        <v>482</v>
      </c>
      <c r="G136" s="250">
        <v>106.8</v>
      </c>
      <c r="H136" s="204" t="s">
        <v>91</v>
      </c>
      <c r="I136" s="204" t="str">
        <f>_xlfn.XLOOKUP(H136,[2]Dropdown!B:B,[2]Dropdown!C:C)</f>
        <v>מזון וקניות</v>
      </c>
      <c r="J136" s="204" t="s">
        <v>168</v>
      </c>
    </row>
    <row r="137" spans="6:10">
      <c r="F137" s="226" t="s">
        <v>482</v>
      </c>
      <c r="G137" s="250">
        <v>262.61</v>
      </c>
      <c r="H137" s="204" t="s">
        <v>91</v>
      </c>
      <c r="I137" s="204" t="str">
        <f>_xlfn.XLOOKUP(H137,[2]Dropdown!B:B,[2]Dropdown!C:C)</f>
        <v>מזון וקניות</v>
      </c>
      <c r="J137" s="204" t="s">
        <v>168</v>
      </c>
    </row>
    <row r="138" spans="6:10">
      <c r="F138" s="226" t="s">
        <v>482</v>
      </c>
      <c r="G138" s="250">
        <v>27</v>
      </c>
      <c r="H138" s="204" t="s">
        <v>139</v>
      </c>
      <c r="I138" s="204" t="str">
        <f>_xlfn.XLOOKUP(H138,[2]Dropdown!B:B,[2]Dropdown!C:C)</f>
        <v>תרבות ופנאי</v>
      </c>
      <c r="J138" s="204" t="s">
        <v>168</v>
      </c>
    </row>
    <row r="139" spans="6:10">
      <c r="F139" s="226" t="s">
        <v>482</v>
      </c>
      <c r="G139" s="250">
        <v>135.32</v>
      </c>
      <c r="H139" s="204" t="s">
        <v>96</v>
      </c>
      <c r="I139" s="204" t="str">
        <f>_xlfn.XLOOKUP(H139,[2]Dropdown!B:B,[2]Dropdown!C:C)</f>
        <v>מזון וקניות</v>
      </c>
      <c r="J139" s="204" t="s">
        <v>168</v>
      </c>
    </row>
    <row r="140" spans="6:10">
      <c r="F140" s="226" t="s">
        <v>483</v>
      </c>
      <c r="G140" s="250">
        <v>12</v>
      </c>
      <c r="H140" s="204" t="s">
        <v>91</v>
      </c>
      <c r="I140" s="204" t="str">
        <f>_xlfn.XLOOKUP(H140,[2]Dropdown!B:B,[2]Dropdown!C:C)</f>
        <v>מזון וקניות</v>
      </c>
      <c r="J140" s="204" t="s">
        <v>166</v>
      </c>
    </row>
    <row r="141" spans="6:10">
      <c r="F141" s="226" t="s">
        <v>483</v>
      </c>
      <c r="G141" s="250">
        <v>11</v>
      </c>
      <c r="H141" s="204" t="s">
        <v>91</v>
      </c>
      <c r="I141" s="204" t="str">
        <f>_xlfn.XLOOKUP(H141,[2]Dropdown!B:B,[2]Dropdown!C:C)</f>
        <v>מזון וקניות</v>
      </c>
      <c r="J141" s="204" t="s">
        <v>166</v>
      </c>
    </row>
    <row r="142" spans="6:10">
      <c r="F142" s="226" t="s">
        <v>483</v>
      </c>
      <c r="G142" s="250">
        <v>47</v>
      </c>
      <c r="H142" s="204" t="s">
        <v>91</v>
      </c>
      <c r="I142" s="204" t="str">
        <f>_xlfn.XLOOKUP(H142,[2]Dropdown!B:B,[2]Dropdown!C:C)</f>
        <v>מזון וקניות</v>
      </c>
      <c r="J142" s="204" t="s">
        <v>166</v>
      </c>
    </row>
    <row r="143" spans="6:10">
      <c r="F143" s="226" t="s">
        <v>483</v>
      </c>
      <c r="G143" s="250">
        <v>522</v>
      </c>
      <c r="H143" s="204" t="s">
        <v>276</v>
      </c>
      <c r="I143" s="204" t="str">
        <f>_xlfn.XLOOKUP(H143,[2]Dropdown!B:B,[2]Dropdown!C:C)</f>
        <v>תרבות ופנאי</v>
      </c>
      <c r="J143" s="204" t="s">
        <v>168</v>
      </c>
    </row>
    <row r="144" spans="6:10">
      <c r="F144" s="226" t="s">
        <v>483</v>
      </c>
      <c r="G144" s="250">
        <v>34.9</v>
      </c>
      <c r="H144" s="204" t="s">
        <v>115</v>
      </c>
      <c r="I144" s="204" t="str">
        <f>_xlfn.XLOOKUP(H144,[2]Dropdown!B:B,[2]Dropdown!C:C)</f>
        <v>ילדים וחינוך</v>
      </c>
      <c r="J144" s="204" t="s">
        <v>400</v>
      </c>
    </row>
    <row r="145" spans="6:10">
      <c r="F145" s="226" t="s">
        <v>483</v>
      </c>
      <c r="G145" s="250">
        <v>248.59</v>
      </c>
      <c r="H145" s="204" t="s">
        <v>99</v>
      </c>
      <c r="I145" s="204" t="str">
        <f>_xlfn.XLOOKUP(H145,[2]Dropdown!B:B,[2]Dropdown!C:C)</f>
        <v>רכב ונסיעות</v>
      </c>
      <c r="J145" s="204" t="s">
        <v>400</v>
      </c>
    </row>
    <row r="146" spans="6:10">
      <c r="F146" s="226" t="s">
        <v>483</v>
      </c>
      <c r="G146" s="250">
        <v>52.05</v>
      </c>
      <c r="H146" s="204" t="s">
        <v>307</v>
      </c>
      <c r="I146" s="204" t="str">
        <f>_xlfn.XLOOKUP(H146,[2]Dropdown!B:B,[2]Dropdown!C:C)</f>
        <v>תחזוקת דירה ותקשורת</v>
      </c>
      <c r="J146" s="204" t="s">
        <v>400</v>
      </c>
    </row>
    <row r="147" spans="6:10">
      <c r="F147" s="226" t="s">
        <v>484</v>
      </c>
      <c r="G147" s="250">
        <v>336</v>
      </c>
      <c r="H147" s="204" t="s">
        <v>91</v>
      </c>
      <c r="I147" s="204" t="str">
        <f>_xlfn.XLOOKUP(H147,[2]Dropdown!B:B,[2]Dropdown!C:C)</f>
        <v>מזון וקניות</v>
      </c>
      <c r="J147" s="204" t="s">
        <v>166</v>
      </c>
    </row>
    <row r="148" spans="6:10">
      <c r="F148" s="226" t="s">
        <v>484</v>
      </c>
      <c r="G148" s="250">
        <v>175</v>
      </c>
      <c r="H148" s="204" t="s">
        <v>96</v>
      </c>
      <c r="I148" s="204" t="str">
        <f>_xlfn.XLOOKUP(H148,[2]Dropdown!B:B,[2]Dropdown!C:C)</f>
        <v>מזון וקניות</v>
      </c>
      <c r="J148" s="204" t="s">
        <v>166</v>
      </c>
    </row>
    <row r="149" spans="6:10">
      <c r="F149" s="226" t="s">
        <v>484</v>
      </c>
      <c r="G149" s="250">
        <v>48.7</v>
      </c>
      <c r="H149" s="204" t="s">
        <v>103</v>
      </c>
      <c r="I149" s="204" t="str">
        <f>_xlfn.XLOOKUP(H149,[2]Dropdown!B:B,[2]Dropdown!C:C)</f>
        <v>רכב ונסיעות</v>
      </c>
      <c r="J149" s="204" t="s">
        <v>166</v>
      </c>
    </row>
    <row r="150" spans="6:10">
      <c r="F150" s="226" t="s">
        <v>484</v>
      </c>
      <c r="G150" s="250">
        <v>600</v>
      </c>
      <c r="H150" s="204" t="s">
        <v>116</v>
      </c>
      <c r="I150" s="204" t="str">
        <f>_xlfn.XLOOKUP(H150,[2]Dropdown!B:B,[2]Dropdown!C:C)</f>
        <v>ילדים וחינוך</v>
      </c>
      <c r="J150" s="204" t="s">
        <v>166</v>
      </c>
    </row>
    <row r="151" spans="6:10">
      <c r="F151" s="226" t="s">
        <v>484</v>
      </c>
      <c r="G151" s="250">
        <v>600</v>
      </c>
      <c r="H151" s="204" t="s">
        <v>116</v>
      </c>
      <c r="I151" s="204" t="str">
        <f>_xlfn.XLOOKUP(H151,[2]Dropdown!B:B,[2]Dropdown!C:C)</f>
        <v>ילדים וחינוך</v>
      </c>
      <c r="J151" s="204" t="s">
        <v>166</v>
      </c>
    </row>
    <row r="152" spans="6:10">
      <c r="F152" s="226" t="s">
        <v>484</v>
      </c>
      <c r="G152" s="250">
        <v>37</v>
      </c>
      <c r="H152" s="204" t="s">
        <v>139</v>
      </c>
      <c r="I152" s="204" t="str">
        <f>_xlfn.XLOOKUP(H152,[2]Dropdown!B:B,[2]Dropdown!C:C)</f>
        <v>תרבות ופנאי</v>
      </c>
      <c r="J152" s="204" t="s">
        <v>168</v>
      </c>
    </row>
    <row r="153" spans="6:10">
      <c r="F153" s="226" t="s">
        <v>485</v>
      </c>
      <c r="G153" s="250">
        <v>184.16</v>
      </c>
      <c r="H153" s="204" t="s">
        <v>96</v>
      </c>
      <c r="I153" s="204" t="str">
        <f>_xlfn.XLOOKUP(H153,[2]Dropdown!B:B,[2]Dropdown!C:C)</f>
        <v>מזון וקניות</v>
      </c>
      <c r="J153" s="204" t="s">
        <v>169</v>
      </c>
    </row>
    <row r="154" spans="6:10">
      <c r="F154" s="226" t="s">
        <v>485</v>
      </c>
      <c r="G154" s="250">
        <v>342.15</v>
      </c>
      <c r="H154" s="204" t="s">
        <v>91</v>
      </c>
      <c r="I154" s="204" t="str">
        <f>_xlfn.XLOOKUP(H154,[2]Dropdown!B:B,[2]Dropdown!C:C)</f>
        <v>מזון וקניות</v>
      </c>
      <c r="J154" s="204" t="s">
        <v>166</v>
      </c>
    </row>
    <row r="155" spans="6:10">
      <c r="F155" s="226" t="s">
        <v>485</v>
      </c>
      <c r="G155" s="250">
        <v>34</v>
      </c>
      <c r="H155" s="204" t="s">
        <v>91</v>
      </c>
      <c r="I155" s="204" t="str">
        <f>_xlfn.XLOOKUP(H155,[2]Dropdown!B:B,[2]Dropdown!C:C)</f>
        <v>מזון וקניות</v>
      </c>
      <c r="J155" s="204" t="s">
        <v>166</v>
      </c>
    </row>
    <row r="156" spans="6:10">
      <c r="F156" s="226" t="s">
        <v>485</v>
      </c>
      <c r="G156" s="250">
        <v>64.44</v>
      </c>
      <c r="H156" s="204" t="s">
        <v>91</v>
      </c>
      <c r="I156" s="204" t="str">
        <f>_xlfn.XLOOKUP(H156,[2]Dropdown!B:B,[2]Dropdown!C:C)</f>
        <v>מזון וקניות</v>
      </c>
      <c r="J156" s="204" t="s">
        <v>166</v>
      </c>
    </row>
    <row r="157" spans="6:10">
      <c r="F157" s="226" t="s">
        <v>485</v>
      </c>
      <c r="G157" s="250">
        <v>154.74</v>
      </c>
      <c r="H157" s="204" t="s">
        <v>96</v>
      </c>
      <c r="I157" s="204" t="str">
        <f>_xlfn.XLOOKUP(H157,[2]Dropdown!B:B,[2]Dropdown!C:C)</f>
        <v>מזון וקניות</v>
      </c>
      <c r="J157" s="204" t="s">
        <v>166</v>
      </c>
    </row>
    <row r="158" spans="6:10">
      <c r="F158" s="226" t="s">
        <v>485</v>
      </c>
      <c r="G158" s="250">
        <v>65</v>
      </c>
      <c r="H158" s="204" t="s">
        <v>139</v>
      </c>
      <c r="I158" s="204" t="str">
        <f>_xlfn.XLOOKUP(H158,[2]Dropdown!B:B,[2]Dropdown!C:C)</f>
        <v>תרבות ופנאי</v>
      </c>
      <c r="J158" s="204" t="s">
        <v>168</v>
      </c>
    </row>
    <row r="159" spans="6:10">
      <c r="F159" s="226" t="s">
        <v>485</v>
      </c>
      <c r="G159" s="250">
        <v>28</v>
      </c>
      <c r="H159" s="204" t="s">
        <v>139</v>
      </c>
      <c r="I159" s="204" t="str">
        <f>_xlfn.XLOOKUP(H159,[2]Dropdown!B:B,[2]Dropdown!C:C)</f>
        <v>תרבות ופנאי</v>
      </c>
      <c r="J159" s="204" t="s">
        <v>168</v>
      </c>
    </row>
    <row r="160" spans="6:10">
      <c r="F160" s="226" t="s">
        <v>485</v>
      </c>
      <c r="G160" s="250">
        <v>19</v>
      </c>
      <c r="H160" s="204" t="s">
        <v>139</v>
      </c>
      <c r="I160" s="204" t="str">
        <f>_xlfn.XLOOKUP(H160,[2]Dropdown!B:B,[2]Dropdown!C:C)</f>
        <v>תרבות ופנאי</v>
      </c>
      <c r="J160" s="204" t="s">
        <v>168</v>
      </c>
    </row>
    <row r="161" spans="6:10">
      <c r="F161" s="226" t="s">
        <v>485</v>
      </c>
      <c r="G161" s="250">
        <v>164.34</v>
      </c>
      <c r="H161" s="204" t="s">
        <v>99</v>
      </c>
      <c r="I161" s="204" t="str">
        <f>_xlfn.XLOOKUP(H161,[2]Dropdown!B:B,[2]Dropdown!C:C)</f>
        <v>רכב ונסיעות</v>
      </c>
      <c r="J161" s="204" t="s">
        <v>400</v>
      </c>
    </row>
    <row r="162" spans="6:10">
      <c r="F162" s="226" t="s">
        <v>486</v>
      </c>
      <c r="G162" s="250">
        <v>359.07</v>
      </c>
      <c r="H162" s="204" t="s">
        <v>91</v>
      </c>
      <c r="I162" s="204" t="str">
        <f>_xlfn.XLOOKUP(H162,[2]Dropdown!B:B,[2]Dropdown!C:C)</f>
        <v>מזון וקניות</v>
      </c>
      <c r="J162" s="204" t="s">
        <v>168</v>
      </c>
    </row>
    <row r="163" spans="6:10">
      <c r="F163" s="226" t="s">
        <v>486</v>
      </c>
      <c r="G163" s="250">
        <v>178</v>
      </c>
      <c r="H163" s="204" t="s">
        <v>121</v>
      </c>
      <c r="I163" s="204" t="str">
        <f>_xlfn.XLOOKUP(H163,[2]Dropdown!B:B,[2]Dropdown!C:C)</f>
        <v>תרבות ופנאי</v>
      </c>
      <c r="J163" s="204" t="s">
        <v>166</v>
      </c>
    </row>
    <row r="164" spans="6:10">
      <c r="F164" s="226" t="s">
        <v>486</v>
      </c>
      <c r="G164" s="250">
        <v>-272.60000000000002</v>
      </c>
      <c r="H164" s="204" t="s">
        <v>307</v>
      </c>
      <c r="I164" s="204" t="str">
        <f>_xlfn.XLOOKUP(H164,[2]Dropdown!B:B,[2]Dropdown!C:C)</f>
        <v>תחזוקת דירה ותקשורת</v>
      </c>
      <c r="J164" s="204" t="s">
        <v>400</v>
      </c>
    </row>
    <row r="165" spans="6:10">
      <c r="F165" s="226" t="s">
        <v>487</v>
      </c>
      <c r="G165" s="250">
        <v>342</v>
      </c>
      <c r="H165" s="204" t="s">
        <v>123</v>
      </c>
      <c r="I165" s="204" t="str">
        <f>_xlfn.XLOOKUP(H165,[2]Dropdown!B:B,[2]Dropdown!C:C)</f>
        <v>תרבות ופנאי</v>
      </c>
      <c r="J165" s="204" t="s">
        <v>168</v>
      </c>
    </row>
    <row r="166" spans="6:10">
      <c r="F166" s="226" t="s">
        <v>487</v>
      </c>
      <c r="G166" s="250">
        <v>1</v>
      </c>
      <c r="H166" s="204" t="s">
        <v>307</v>
      </c>
      <c r="I166" s="204" t="str">
        <f>_xlfn.XLOOKUP(H166,[2]Dropdown!B:B,[2]Dropdown!C:C)</f>
        <v>תחזוקת דירה ותקשורת</v>
      </c>
      <c r="J166" s="204" t="s">
        <v>166</v>
      </c>
    </row>
    <row r="167" spans="6:10">
      <c r="F167" s="226" t="s">
        <v>488</v>
      </c>
      <c r="G167" s="250">
        <v>402.78</v>
      </c>
      <c r="H167" s="204" t="s">
        <v>91</v>
      </c>
      <c r="I167" s="204" t="str">
        <f>_xlfn.XLOOKUP(H167,[2]Dropdown!B:B,[2]Dropdown!C:C)</f>
        <v>מזון וקניות</v>
      </c>
      <c r="J167" s="204" t="s">
        <v>166</v>
      </c>
    </row>
    <row r="168" spans="6:10">
      <c r="F168" s="226" t="s">
        <v>488</v>
      </c>
      <c r="G168" s="250">
        <v>335</v>
      </c>
      <c r="H168" s="204" t="s">
        <v>111</v>
      </c>
      <c r="I168" s="204" t="str">
        <f>_xlfn.XLOOKUP(H168,[2]Dropdown!B:B,[2]Dropdown!C:C)</f>
        <v>ילדים וחינוך</v>
      </c>
      <c r="J168" s="204" t="s">
        <v>166</v>
      </c>
    </row>
    <row r="169" spans="6:10">
      <c r="G169" s="250"/>
      <c r="I169" s="204">
        <f>_xlfn.XLOOKUP(H169,[2]Dropdown!B:B,[2]Dropdown!C:C)</f>
        <v>0</v>
      </c>
    </row>
    <row r="170" spans="6:10">
      <c r="G170" s="250"/>
      <c r="I170" s="204">
        <f>_xlfn.XLOOKUP(H170,[2]Dropdown!B:B,[2]Dropdown!C:C)</f>
        <v>0</v>
      </c>
    </row>
    <row r="171" spans="6:10">
      <c r="G171" s="250"/>
      <c r="I171" s="204">
        <f>_xlfn.XLOOKUP(H171,[2]Dropdown!B:B,[2]Dropdown!C:C)</f>
        <v>0</v>
      </c>
    </row>
    <row r="172" spans="6:10">
      <c r="G172" s="250"/>
      <c r="I172" s="204">
        <f>_xlfn.XLOOKUP(H172,[2]Dropdown!B:B,[2]Dropdown!C:C)</f>
        <v>0</v>
      </c>
    </row>
    <row r="173" spans="6:10">
      <c r="G173" s="250"/>
      <c r="I173" s="204">
        <f>_xlfn.XLOOKUP(H173,[2]Dropdown!B:B,[2]Dropdown!C:C)</f>
        <v>0</v>
      </c>
    </row>
    <row r="174" spans="6:10">
      <c r="G174" s="250"/>
      <c r="I174" s="204">
        <f>_xlfn.XLOOKUP(H174,[2]Dropdown!B:B,[2]Dropdown!C:C)</f>
        <v>0</v>
      </c>
    </row>
    <row r="175" spans="6:10">
      <c r="G175" s="250"/>
      <c r="I175" s="204">
        <f>_xlfn.XLOOKUP(H175,[2]Dropdown!B:B,[2]Dropdown!C:C)</f>
        <v>0</v>
      </c>
    </row>
    <row r="176" spans="6:10">
      <c r="G176" s="250"/>
      <c r="I176" s="204">
        <f>_xlfn.XLOOKUP(H176,[2]Dropdown!B:B,[2]Dropdown!C:C)</f>
        <v>0</v>
      </c>
    </row>
    <row r="177" spans="7:9">
      <c r="G177" s="250"/>
      <c r="I177" s="204">
        <f>_xlfn.XLOOKUP(H177,[2]Dropdown!B:B,[2]Dropdown!C:C)</f>
        <v>0</v>
      </c>
    </row>
    <row r="178" spans="7:9">
      <c r="G178" s="250"/>
      <c r="I178" s="204">
        <f>_xlfn.XLOOKUP(H178,[2]Dropdown!B:B,[2]Dropdown!C:C)</f>
        <v>0</v>
      </c>
    </row>
    <row r="179" spans="7:9">
      <c r="G179" s="250"/>
      <c r="I179" s="204">
        <f>_xlfn.XLOOKUP(H179,[2]Dropdown!B:B,[2]Dropdown!C:C)</f>
        <v>0</v>
      </c>
    </row>
    <row r="180" spans="7:9">
      <c r="G180" s="250"/>
      <c r="I180" s="204">
        <f>_xlfn.XLOOKUP(H180,[2]Dropdown!B:B,[2]Dropdown!C:C)</f>
        <v>0</v>
      </c>
    </row>
    <row r="181" spans="7:9">
      <c r="G181" s="250"/>
      <c r="I181" s="204">
        <f>_xlfn.XLOOKUP(H181,[2]Dropdown!B:B,[2]Dropdown!C:C)</f>
        <v>0</v>
      </c>
    </row>
    <row r="182" spans="7:9">
      <c r="G182" s="250"/>
      <c r="I182" s="204">
        <f>_xlfn.XLOOKUP(H182,[2]Dropdown!B:B,[2]Dropdown!C:C)</f>
        <v>0</v>
      </c>
    </row>
    <row r="183" spans="7:9">
      <c r="G183" s="250"/>
      <c r="I183" s="204">
        <f>_xlfn.XLOOKUP(H183,[2]Dropdown!B:B,[2]Dropdown!C:C)</f>
        <v>0</v>
      </c>
    </row>
    <row r="184" spans="7:9">
      <c r="G184" s="250"/>
      <c r="I184" s="204">
        <f>_xlfn.XLOOKUP(H184,[2]Dropdown!B:B,[2]Dropdown!C:C)</f>
        <v>0</v>
      </c>
    </row>
    <row r="185" spans="7:9">
      <c r="G185" s="250"/>
      <c r="I185" s="204">
        <f>_xlfn.XLOOKUP(H185,[2]Dropdown!B:B,[2]Dropdown!C:C)</f>
        <v>0</v>
      </c>
    </row>
    <row r="186" spans="7:9">
      <c r="G186" s="250"/>
      <c r="I186" s="204">
        <f>_xlfn.XLOOKUP(H186,[2]Dropdown!B:B,[2]Dropdown!C:C)</f>
        <v>0</v>
      </c>
    </row>
    <row r="187" spans="7:9">
      <c r="G187" s="250"/>
      <c r="I187" s="204">
        <f>_xlfn.XLOOKUP(H187,[2]Dropdown!B:B,[2]Dropdown!C:C)</f>
        <v>0</v>
      </c>
    </row>
    <row r="188" spans="7:9">
      <c r="G188" s="250"/>
      <c r="I188" s="204">
        <f>_xlfn.XLOOKUP(H188,[2]Dropdown!B:B,[2]Dropdown!C:C)</f>
        <v>0</v>
      </c>
    </row>
    <row r="189" spans="7:9">
      <c r="G189" s="250"/>
      <c r="I189" s="204">
        <f>_xlfn.XLOOKUP(H189,[2]Dropdown!B:B,[2]Dropdown!C:C)</f>
        <v>0</v>
      </c>
    </row>
    <row r="190" spans="7:9">
      <c r="G190" s="250"/>
      <c r="I190" s="204">
        <f>_xlfn.XLOOKUP(H190,[2]Dropdown!B:B,[2]Dropdown!C:C)</f>
        <v>0</v>
      </c>
    </row>
    <row r="191" spans="7:9">
      <c r="G191" s="250"/>
      <c r="I191" s="204">
        <f>_xlfn.XLOOKUP(H191,[2]Dropdown!B:B,[2]Dropdown!C:C)</f>
        <v>0</v>
      </c>
    </row>
    <row r="192" spans="7:9">
      <c r="G192" s="250"/>
      <c r="I192" s="204">
        <f>_xlfn.XLOOKUP(H192,[2]Dropdown!B:B,[2]Dropdown!C:C)</f>
        <v>0</v>
      </c>
    </row>
    <row r="193" spans="7:9">
      <c r="G193" s="250"/>
      <c r="I193" s="204">
        <f>_xlfn.XLOOKUP(H193,[2]Dropdown!B:B,[2]Dropdown!C:C)</f>
        <v>0</v>
      </c>
    </row>
    <row r="194" spans="7:9">
      <c r="G194" s="250"/>
      <c r="I194" s="204">
        <f>_xlfn.XLOOKUP(H194,[2]Dropdown!B:B,[2]Dropdown!C:C)</f>
        <v>0</v>
      </c>
    </row>
    <row r="195" spans="7:9">
      <c r="G195" s="250"/>
      <c r="I195" s="204">
        <f>_xlfn.XLOOKUP(H195,[2]Dropdown!B:B,[2]Dropdown!C:C)</f>
        <v>0</v>
      </c>
    </row>
    <row r="196" spans="7:9">
      <c r="G196" s="250"/>
      <c r="I196" s="204">
        <f>_xlfn.XLOOKUP(H196,[2]Dropdown!B:B,[2]Dropdown!C:C)</f>
        <v>0</v>
      </c>
    </row>
    <row r="197" spans="7:9">
      <c r="G197" s="250"/>
      <c r="I197" s="204">
        <f>_xlfn.XLOOKUP(H197,[2]Dropdown!B:B,[2]Dropdown!C:C)</f>
        <v>0</v>
      </c>
    </row>
    <row r="198" spans="7:9">
      <c r="G198" s="250"/>
      <c r="I198" s="204">
        <f>_xlfn.XLOOKUP(H198,[2]Dropdown!B:B,[2]Dropdown!C:C)</f>
        <v>0</v>
      </c>
    </row>
    <row r="199" spans="7:9">
      <c r="G199" s="250"/>
      <c r="I199" s="204">
        <f>_xlfn.XLOOKUP(H199,[2]Dropdown!B:B,[2]Dropdown!C:C)</f>
        <v>0</v>
      </c>
    </row>
    <row r="200" spans="7:9">
      <c r="G200" s="250"/>
      <c r="I200" s="204">
        <f>_xlfn.XLOOKUP(H200,[2]Dropdown!B:B,[2]Dropdown!C:C)</f>
        <v>0</v>
      </c>
    </row>
    <row r="201" spans="7:9">
      <c r="G201" s="250"/>
      <c r="I201" s="204">
        <f>_xlfn.XLOOKUP(H201,[2]Dropdown!B:B,[2]Dropdown!C:C)</f>
        <v>0</v>
      </c>
    </row>
    <row r="202" spans="7:9">
      <c r="G202" s="250"/>
      <c r="I202" s="204">
        <f>_xlfn.XLOOKUP(H202,[2]Dropdown!B:B,[2]Dropdown!C:C)</f>
        <v>0</v>
      </c>
    </row>
    <row r="203" spans="7:9">
      <c r="G203" s="250"/>
      <c r="I203" s="204">
        <f>_xlfn.XLOOKUP(H203,[2]Dropdown!B:B,[2]Dropdown!C:C)</f>
        <v>0</v>
      </c>
    </row>
    <row r="204" spans="7:9">
      <c r="G204" s="250"/>
      <c r="I204" s="204">
        <f>_xlfn.XLOOKUP(H204,[2]Dropdown!B:B,[2]Dropdown!C:C)</f>
        <v>0</v>
      </c>
    </row>
    <row r="205" spans="7:9">
      <c r="G205" s="250"/>
      <c r="I205" s="204">
        <f>_xlfn.XLOOKUP(H205,[2]Dropdown!B:B,[2]Dropdown!C:C)</f>
        <v>0</v>
      </c>
    </row>
    <row r="206" spans="7:9">
      <c r="G206" s="250"/>
      <c r="I206" s="204">
        <f>_xlfn.XLOOKUP(H206,[2]Dropdown!B:B,[2]Dropdown!C:C)</f>
        <v>0</v>
      </c>
    </row>
    <row r="207" spans="7:9">
      <c r="G207" s="250"/>
      <c r="I207" s="204">
        <f>_xlfn.XLOOKUP(H207,[2]Dropdown!B:B,[2]Dropdown!C:C)</f>
        <v>0</v>
      </c>
    </row>
    <row r="208" spans="7:9">
      <c r="G208" s="250"/>
      <c r="I208" s="204">
        <f>_xlfn.XLOOKUP(H208,[2]Dropdown!B:B,[2]Dropdown!C:C)</f>
        <v>0</v>
      </c>
    </row>
    <row r="209" spans="7:9">
      <c r="G209" s="250"/>
      <c r="I209" s="204">
        <f>_xlfn.XLOOKUP(H209,[2]Dropdown!B:B,[2]Dropdown!C:C)</f>
        <v>0</v>
      </c>
    </row>
    <row r="210" spans="7:9">
      <c r="G210" s="250"/>
      <c r="I210" s="204">
        <f>_xlfn.XLOOKUP(H210,[2]Dropdown!B:B,[2]Dropdown!C:C)</f>
        <v>0</v>
      </c>
    </row>
    <row r="211" spans="7:9">
      <c r="G211" s="250"/>
      <c r="I211" s="204">
        <f>_xlfn.XLOOKUP(H211,[2]Dropdown!B:B,[2]Dropdown!C:C)</f>
        <v>0</v>
      </c>
    </row>
    <row r="212" spans="7:9">
      <c r="G212" s="250"/>
      <c r="I212" s="204">
        <f>_xlfn.XLOOKUP(H212,[2]Dropdown!B:B,[2]Dropdown!C:C)</f>
        <v>0</v>
      </c>
    </row>
    <row r="213" spans="7:9">
      <c r="G213" s="250"/>
      <c r="I213" s="204">
        <f>_xlfn.XLOOKUP(H213,[2]Dropdown!B:B,[2]Dropdown!C:C)</f>
        <v>0</v>
      </c>
    </row>
    <row r="214" spans="7:9">
      <c r="G214" s="250"/>
      <c r="I214" s="204">
        <f>_xlfn.XLOOKUP(H214,[2]Dropdown!B:B,[2]Dropdown!C:C)</f>
        <v>0</v>
      </c>
    </row>
    <row r="215" spans="7:9">
      <c r="G215" s="250"/>
      <c r="I215" s="204">
        <f>_xlfn.XLOOKUP(H215,[2]Dropdown!B:B,[2]Dropdown!C:C)</f>
        <v>0</v>
      </c>
    </row>
    <row r="216" spans="7:9">
      <c r="G216" s="250"/>
      <c r="I216" s="204">
        <f>_xlfn.XLOOKUP(H216,[2]Dropdown!B:B,[2]Dropdown!C:C)</f>
        <v>0</v>
      </c>
    </row>
    <row r="217" spans="7:9">
      <c r="G217" s="250"/>
      <c r="I217" s="204">
        <f>_xlfn.XLOOKUP(H217,[2]Dropdown!B:B,[2]Dropdown!C:C)</f>
        <v>0</v>
      </c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</sheetData>
  <mergeCells count="8">
    <mergeCell ref="A31:A32"/>
    <mergeCell ref="A35:A38"/>
    <mergeCell ref="A2:A6"/>
    <mergeCell ref="A7:A8"/>
    <mergeCell ref="A9:A10"/>
    <mergeCell ref="A11:A13"/>
    <mergeCell ref="A20:A23"/>
    <mergeCell ref="A28:A29"/>
  </mergeCells>
  <conditionalFormatting sqref="C2">
    <cfRule type="duplicateValues" dxfId="122" priority="1" stopIfTrue="1"/>
  </conditionalFormatting>
  <conditionalFormatting sqref="Q6:AV13">
    <cfRule type="cellIs" dxfId="121" priority="3" operator="greaterThan">
      <formula>0</formula>
    </cfRule>
  </conditionalFormatting>
  <conditionalFormatting sqref="Q19:AV37">
    <cfRule type="cellIs" dxfId="120" priority="4" operator="greaterThan">
      <formula>0</formula>
    </cfRule>
  </conditionalFormatting>
  <dataValidations count="2">
    <dataValidation type="list" errorStyle="warning" allowBlank="1" showInputMessage="1" showErrorMessage="1" errorTitle="חסרה קטגוריה" sqref="H58:H169 H50:H56 H3:H48" xr:uid="{91F20FA0-CDA1-43A2-BD24-114B40C1584E}">
      <formula1>סוג_הוצאה</formula1>
    </dataValidation>
    <dataValidation type="list" errorStyle="warning" allowBlank="1" showInputMessage="1" showErrorMessage="1" errorTitle="חסרה קטגוריה" sqref="J330:J331 J50:J56 J58:J169 J3:J48" xr:uid="{CBDD4E08-24C4-4F78-85F6-87C28DD851D3}">
      <formula1>סוג_תשלום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104149-422D-4A67-8D91-2CD3F35F4927}">
          <x14:formula1>
            <xm:f>Dropdown!$D$2:$D$9</xm:f>
          </x14:formula1>
          <xm:sqref>P18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W265"/>
  <sheetViews>
    <sheetView rightToLeft="1" zoomScale="85" zoomScaleNormal="85" workbookViewId="0">
      <selection activeCell="R44" sqref="R44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1.8554687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10.2851562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350" bestFit="1" customWidth="1"/>
    <col min="15" max="15" width="9.28515625" style="222"/>
    <col min="16" max="16" width="20.42578125" style="204" bestFit="1" customWidth="1"/>
    <col min="17" max="17" width="11.85546875" style="204" bestFit="1" customWidth="1"/>
    <col min="18" max="18" width="10.28515625" style="204" bestFit="1" customWidth="1"/>
    <col min="19" max="19" width="5.42578125" style="204" bestFit="1" customWidth="1"/>
    <col min="20" max="20" width="2.28515625" style="204" bestFit="1" customWidth="1"/>
    <col min="21" max="21" width="5.42578125" style="204" bestFit="1" customWidth="1"/>
    <col min="22" max="23" width="4.28515625" style="204" bestFit="1" customWidth="1"/>
    <col min="24" max="24" width="5.42578125" style="204" bestFit="1" customWidth="1"/>
    <col min="25" max="25" width="4.28515625" style="204" bestFit="1" customWidth="1"/>
    <col min="26" max="26" width="5.42578125" style="204" bestFit="1" customWidth="1"/>
    <col min="27" max="28" width="4.28515625" style="204" bestFit="1" customWidth="1"/>
    <col min="29" max="29" width="5.42578125" style="204" bestFit="1" customWidth="1"/>
    <col min="30" max="31" width="4.28515625" style="204" bestFit="1" customWidth="1"/>
    <col min="32" max="32" width="5.42578125" style="204" bestFit="1" customWidth="1"/>
    <col min="33" max="34" width="4.28515625" style="204" bestFit="1" customWidth="1"/>
    <col min="35" max="37" width="3.28515625" style="204" bestFit="1" customWidth="1"/>
    <col min="38" max="39" width="4.28515625" style="204" bestFit="1" customWidth="1"/>
    <col min="40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198</v>
      </c>
      <c r="B1" s="214" t="s">
        <v>197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348" t="s">
        <v>313</v>
      </c>
    </row>
    <row r="2" spans="1:49">
      <c r="A2" s="458" t="s">
        <v>15</v>
      </c>
      <c r="B2" s="300" t="s">
        <v>16</v>
      </c>
      <c r="C2" s="300">
        <v>20378.030000000002</v>
      </c>
      <c r="D2" s="301"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349"/>
    </row>
    <row r="3" spans="1:49">
      <c r="A3" s="458"/>
      <c r="B3" s="300" t="s">
        <v>136</v>
      </c>
      <c r="C3" s="300">
        <v>1906.9999999999998</v>
      </c>
      <c r="D3" s="301"/>
      <c r="G3" s="204">
        <v>10</v>
      </c>
      <c r="H3" s="204" t="s">
        <v>19</v>
      </c>
      <c r="I3" s="204" t="str">
        <f>_xlfn.XLOOKUP(H3,[2]Dropdown!B:B,[2]Dropdown!C:C)</f>
        <v>ביטוחים ופיננסים</v>
      </c>
      <c r="J3" s="204" t="s">
        <v>352</v>
      </c>
    </row>
    <row r="4" spans="1:49">
      <c r="A4" s="458"/>
      <c r="B4" s="302" t="s">
        <v>17</v>
      </c>
      <c r="C4" s="302">
        <v>4526.3100000000004</v>
      </c>
      <c r="D4" s="303">
        <v>28780.350000000002</v>
      </c>
      <c r="G4" s="204">
        <v>371.4</v>
      </c>
      <c r="H4" s="204" t="s">
        <v>298</v>
      </c>
      <c r="I4" s="204" t="str">
        <f>_xlfn.XLOOKUP(H4,[2]Dropdown!B:B,[2]Dropdown!C:C)</f>
        <v>תחזוקת דירה ותקשורת</v>
      </c>
      <c r="J4" s="204" t="s">
        <v>166</v>
      </c>
    </row>
    <row r="5" spans="1:49">
      <c r="A5" s="458"/>
      <c r="B5" s="302"/>
      <c r="C5" s="302"/>
      <c r="D5" s="304"/>
      <c r="G5" s="204">
        <v>703.8</v>
      </c>
      <c r="H5" s="204" t="s">
        <v>70</v>
      </c>
      <c r="I5" s="204" t="str">
        <f>_xlfn.XLOOKUP(H5,[2]Dropdown!B:B,[2]Dropdown!C:C)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302"/>
      <c r="C6" s="302"/>
      <c r="D6" s="304"/>
      <c r="G6" s="204">
        <v>1760.4</v>
      </c>
      <c r="H6" s="204" t="s">
        <v>81</v>
      </c>
      <c r="I6" s="204" t="str">
        <f>_xlfn.XLOOKUP(H6,[2]Dropdown!B:B,[2]Dropdown!C:C)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16265.519999999999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405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17700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350</v>
      </c>
      <c r="AT6" s="297">
        <f t="shared" si="3"/>
        <v>160000</v>
      </c>
      <c r="AU6" s="297">
        <f t="shared" si="3"/>
        <v>0</v>
      </c>
      <c r="AV6" s="297">
        <f t="shared" si="3"/>
        <v>32175.759999999998</v>
      </c>
      <c r="AW6" s="294">
        <f>SUM(Q6:AV6)</f>
        <v>226896.28</v>
      </c>
    </row>
    <row r="7" spans="1:49">
      <c r="A7" s="465" t="s">
        <v>18</v>
      </c>
      <c r="B7" s="302" t="s">
        <v>18</v>
      </c>
      <c r="C7" s="302">
        <v>0</v>
      </c>
      <c r="D7" s="304">
        <v>0</v>
      </c>
      <c r="G7" s="204">
        <v>0</v>
      </c>
      <c r="H7" s="204" t="s">
        <v>75</v>
      </c>
      <c r="I7" s="204" t="str">
        <f>_xlfn.XLOOKUP(H7,[2]Dropdown!B:B,[2]Dropdown!C:C)</f>
        <v>תחזוקת דירה ותקשורת</v>
      </c>
      <c r="J7" s="204" t="s">
        <v>20</v>
      </c>
      <c r="P7" s="288" t="s">
        <v>425</v>
      </c>
      <c r="Q7" s="297">
        <f t="shared" si="0"/>
        <v>2673.77</v>
      </c>
      <c r="R7" s="297">
        <f t="shared" si="1"/>
        <v>0</v>
      </c>
      <c r="S7" s="297">
        <f t="shared" si="1"/>
        <v>750.66</v>
      </c>
      <c r="T7" s="297">
        <f t="shared" si="1"/>
        <v>-79.12</v>
      </c>
      <c r="U7" s="297">
        <f t="shared" si="1"/>
        <v>148</v>
      </c>
      <c r="V7" s="297">
        <f t="shared" si="1"/>
        <v>735.53</v>
      </c>
      <c r="W7" s="297">
        <f t="shared" si="1"/>
        <v>0</v>
      </c>
      <c r="X7" s="297">
        <f t="shared" si="1"/>
        <v>0</v>
      </c>
      <c r="Y7" s="297">
        <f t="shared" si="1"/>
        <v>867.68000000000006</v>
      </c>
      <c r="Z7" s="297">
        <f t="shared" si="1"/>
        <v>0</v>
      </c>
      <c r="AA7" s="297">
        <f t="shared" si="1"/>
        <v>339.3</v>
      </c>
      <c r="AB7" s="297">
        <f t="shared" si="2"/>
        <v>743.07999999999993</v>
      </c>
      <c r="AC7" s="297">
        <f t="shared" si="2"/>
        <v>0</v>
      </c>
      <c r="AD7" s="297">
        <f t="shared" si="2"/>
        <v>358.9</v>
      </c>
      <c r="AE7" s="297">
        <f t="shared" si="2"/>
        <v>943.24</v>
      </c>
      <c r="AF7" s="297">
        <f t="shared" si="2"/>
        <v>0</v>
      </c>
      <c r="AG7" s="297">
        <f t="shared" si="2"/>
        <v>326.32</v>
      </c>
      <c r="AH7" s="297">
        <f t="shared" si="2"/>
        <v>295.89999999999998</v>
      </c>
      <c r="AI7" s="297">
        <f t="shared" si="2"/>
        <v>0</v>
      </c>
      <c r="AJ7" s="297">
        <f t="shared" si="2"/>
        <v>826.88</v>
      </c>
      <c r="AK7" s="297">
        <f t="shared" si="2"/>
        <v>0</v>
      </c>
      <c r="AL7" s="297">
        <f t="shared" si="3"/>
        <v>289.2</v>
      </c>
      <c r="AM7" s="297">
        <f t="shared" si="3"/>
        <v>129.28</v>
      </c>
      <c r="AN7" s="297">
        <f t="shared" si="3"/>
        <v>152.95999999999998</v>
      </c>
      <c r="AO7" s="297">
        <f t="shared" si="3"/>
        <v>12</v>
      </c>
      <c r="AP7" s="297">
        <f t="shared" si="3"/>
        <v>390.7</v>
      </c>
      <c r="AQ7" s="297">
        <f t="shared" si="3"/>
        <v>588.56000000000006</v>
      </c>
      <c r="AR7" s="297">
        <f t="shared" si="3"/>
        <v>0</v>
      </c>
      <c r="AS7" s="297">
        <f t="shared" si="3"/>
        <v>0</v>
      </c>
      <c r="AT7" s="297">
        <f t="shared" si="3"/>
        <v>1313.2</v>
      </c>
      <c r="AU7" s="297">
        <f t="shared" si="3"/>
        <v>317.3</v>
      </c>
      <c r="AV7" s="297">
        <f t="shared" si="3"/>
        <v>372.59000000000003</v>
      </c>
      <c r="AW7" s="294">
        <f t="shared" ref="AW7:AW13" si="4">SUM(Q7:AV7)</f>
        <v>12495.93</v>
      </c>
    </row>
    <row r="8" spans="1:49">
      <c r="A8" s="466"/>
      <c r="B8" s="302" t="s">
        <v>68</v>
      </c>
      <c r="C8" s="302">
        <v>4532.74</v>
      </c>
      <c r="D8" s="304"/>
      <c r="G8" s="204">
        <v>95</v>
      </c>
      <c r="H8" s="204" t="s">
        <v>79</v>
      </c>
      <c r="I8" s="204" t="str">
        <f>_xlfn.XLOOKUP(H8,[2]Dropdown!B:B,[2]Dropdown!C:C)</f>
        <v>תחזוקת דירה ותקשורת</v>
      </c>
      <c r="J8" s="204" t="s">
        <v>20</v>
      </c>
      <c r="P8" s="288" t="s">
        <v>424</v>
      </c>
      <c r="Q8" s="297">
        <f t="shared" si="0"/>
        <v>587</v>
      </c>
      <c r="R8" s="297">
        <f t="shared" si="1"/>
        <v>0</v>
      </c>
      <c r="S8" s="297">
        <f t="shared" si="1"/>
        <v>244.99</v>
      </c>
      <c r="T8" s="297">
        <f t="shared" si="1"/>
        <v>0</v>
      </c>
      <c r="U8" s="297">
        <f t="shared" si="1"/>
        <v>48.8</v>
      </c>
      <c r="V8" s="297">
        <f t="shared" si="1"/>
        <v>0</v>
      </c>
      <c r="W8" s="297">
        <f t="shared" si="1"/>
        <v>0</v>
      </c>
      <c r="X8" s="297">
        <f t="shared" si="1"/>
        <v>568.63</v>
      </c>
      <c r="Y8" s="297">
        <f t="shared" si="1"/>
        <v>0</v>
      </c>
      <c r="Z8" s="297">
        <f t="shared" si="1"/>
        <v>1473.9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290.34999999999997</v>
      </c>
      <c r="AF8" s="297">
        <f t="shared" si="2"/>
        <v>0</v>
      </c>
      <c r="AG8" s="297">
        <f t="shared" si="2"/>
        <v>0</v>
      </c>
      <c r="AH8" s="297">
        <f t="shared" si="2"/>
        <v>128.91</v>
      </c>
      <c r="AI8" s="297">
        <f t="shared" si="2"/>
        <v>200</v>
      </c>
      <c r="AJ8" s="297">
        <f t="shared" si="2"/>
        <v>467.23</v>
      </c>
      <c r="AK8" s="297">
        <f t="shared" si="2"/>
        <v>0</v>
      </c>
      <c r="AL8" s="297">
        <f t="shared" si="3"/>
        <v>0</v>
      </c>
      <c r="AM8" s="297">
        <f t="shared" si="3"/>
        <v>284.2</v>
      </c>
      <c r="AN8" s="297">
        <f t="shared" si="3"/>
        <v>95.47</v>
      </c>
      <c r="AO8" s="297">
        <f t="shared" si="3"/>
        <v>0</v>
      </c>
      <c r="AP8" s="297">
        <f t="shared" si="3"/>
        <v>20</v>
      </c>
      <c r="AQ8" s="297">
        <f t="shared" si="3"/>
        <v>82.92</v>
      </c>
      <c r="AR8" s="297">
        <f t="shared" si="3"/>
        <v>0</v>
      </c>
      <c r="AS8" s="297">
        <f t="shared" si="3"/>
        <v>52.5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4544.9000000000005</v>
      </c>
    </row>
    <row r="9" spans="1:49">
      <c r="A9" s="461" t="s">
        <v>59</v>
      </c>
      <c r="B9" s="302" t="s">
        <v>356</v>
      </c>
      <c r="C9" s="302">
        <v>2934.4</v>
      </c>
      <c r="D9" s="304">
        <v>6727.6100000000006</v>
      </c>
      <c r="G9" s="204">
        <v>112</v>
      </c>
      <c r="H9" s="204" t="s">
        <v>126</v>
      </c>
      <c r="I9" s="204" t="str">
        <f>_xlfn.XLOOKUP(H9,[2]Dropdown!B:B,[2]Dropdown!C:C)</f>
        <v>בריאות וטיפולים</v>
      </c>
      <c r="J9" s="204" t="s">
        <v>20</v>
      </c>
      <c r="P9" s="288" t="s">
        <v>423</v>
      </c>
      <c r="Q9" s="297">
        <f t="shared" si="0"/>
        <v>4311.72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150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750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150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5361.72</v>
      </c>
    </row>
    <row r="10" spans="1:49">
      <c r="A10" s="460"/>
      <c r="B10" s="302" t="s">
        <v>8</v>
      </c>
      <c r="C10" s="305">
        <v>-26442.84</v>
      </c>
      <c r="D10" s="306"/>
      <c r="G10" s="204">
        <v>389</v>
      </c>
      <c r="H10" s="204" t="s">
        <v>127</v>
      </c>
      <c r="I10" s="204" t="str">
        <f>_xlfn.XLOOKUP(H10,[2]Dropdown!B:B,[2]Dropdown!C:C)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97</v>
      </c>
      <c r="S10" s="297">
        <f t="shared" si="1"/>
        <v>135.9</v>
      </c>
      <c r="T10" s="297">
        <f t="shared" si="1"/>
        <v>193</v>
      </c>
      <c r="U10" s="297">
        <f t="shared" si="1"/>
        <v>0</v>
      </c>
      <c r="V10" s="297">
        <f t="shared" si="1"/>
        <v>0</v>
      </c>
      <c r="W10" s="297">
        <f t="shared" si="1"/>
        <v>181.58</v>
      </c>
      <c r="X10" s="297">
        <f t="shared" si="1"/>
        <v>0</v>
      </c>
      <c r="Y10" s="297">
        <f t="shared" si="1"/>
        <v>19</v>
      </c>
      <c r="Z10" s="297">
        <f t="shared" si="1"/>
        <v>179.55</v>
      </c>
      <c r="AA10" s="297">
        <f t="shared" si="1"/>
        <v>27</v>
      </c>
      <c r="AB10" s="297">
        <f t="shared" si="2"/>
        <v>107.6</v>
      </c>
      <c r="AC10" s="297">
        <f t="shared" si="2"/>
        <v>0</v>
      </c>
      <c r="AD10" s="297">
        <f t="shared" si="2"/>
        <v>0</v>
      </c>
      <c r="AE10" s="297">
        <f t="shared" si="2"/>
        <v>86</v>
      </c>
      <c r="AF10" s="297">
        <f t="shared" si="2"/>
        <v>348.58000000000004</v>
      </c>
      <c r="AG10" s="297">
        <f t="shared" si="2"/>
        <v>0</v>
      </c>
      <c r="AH10" s="297">
        <f t="shared" si="2"/>
        <v>502</v>
      </c>
      <c r="AI10" s="297">
        <f t="shared" si="2"/>
        <v>61</v>
      </c>
      <c r="AJ10" s="297">
        <f t="shared" si="2"/>
        <v>80</v>
      </c>
      <c r="AK10" s="297">
        <f t="shared" si="2"/>
        <v>0</v>
      </c>
      <c r="AL10" s="297">
        <f t="shared" si="3"/>
        <v>121</v>
      </c>
      <c r="AM10" s="297">
        <f t="shared" si="3"/>
        <v>451.79</v>
      </c>
      <c r="AN10" s="297">
        <f t="shared" si="3"/>
        <v>459</v>
      </c>
      <c r="AO10" s="297">
        <f t="shared" si="3"/>
        <v>803.62</v>
      </c>
      <c r="AP10" s="297">
        <f t="shared" si="3"/>
        <v>203.57</v>
      </c>
      <c r="AQ10" s="297">
        <f t="shared" si="3"/>
        <v>70</v>
      </c>
      <c r="AR10" s="297">
        <f t="shared" si="3"/>
        <v>25</v>
      </c>
      <c r="AS10" s="297">
        <f t="shared" si="3"/>
        <v>524.70000000000005</v>
      </c>
      <c r="AT10" s="297">
        <f t="shared" si="3"/>
        <v>157.5</v>
      </c>
      <c r="AU10" s="297">
        <f t="shared" si="3"/>
        <v>0</v>
      </c>
      <c r="AV10" s="297">
        <f t="shared" si="3"/>
        <v>27</v>
      </c>
      <c r="AW10" s="294">
        <f t="shared" si="4"/>
        <v>4861.3900000000003</v>
      </c>
    </row>
    <row r="11" spans="1:49">
      <c r="A11" s="461" t="s">
        <v>12</v>
      </c>
      <c r="B11" s="302" t="s">
        <v>19</v>
      </c>
      <c r="C11" s="302">
        <v>1218.76</v>
      </c>
      <c r="D11" s="304">
        <v>22</v>
      </c>
      <c r="G11" s="204">
        <v>0</v>
      </c>
      <c r="H11" s="204" t="s">
        <v>86</v>
      </c>
      <c r="I11" s="204" t="str">
        <f>_xlfn.XLOOKUP(H11,[2]Dropdown!B:B,[2]Dropdown!C:C)</f>
        <v>תחזוקת דירה ותקשורת</v>
      </c>
      <c r="J11" s="204" t="s">
        <v>20</v>
      </c>
      <c r="P11" s="288" t="s">
        <v>421</v>
      </c>
      <c r="Q11" s="297">
        <f t="shared" si="0"/>
        <v>1374.1599999999999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20.63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30.1</v>
      </c>
      <c r="AU11" s="297">
        <f t="shared" si="3"/>
        <v>0</v>
      </c>
      <c r="AV11" s="297">
        <f t="shared" si="3"/>
        <v>0</v>
      </c>
      <c r="AW11" s="294">
        <f t="shared" si="4"/>
        <v>1424.8899999999999</v>
      </c>
    </row>
    <row r="12" spans="1:49">
      <c r="A12" s="458"/>
      <c r="B12" s="302" t="s">
        <v>336</v>
      </c>
      <c r="C12" s="305">
        <v>-633417.24</v>
      </c>
      <c r="D12" s="306">
        <v>15000</v>
      </c>
      <c r="G12" s="204">
        <v>647</v>
      </c>
      <c r="H12" s="204" t="s">
        <v>71</v>
      </c>
      <c r="I12" s="204" t="str">
        <f>_xlfn.XLOOKUP(H12,[2]Dropdown!B:B,[2]Dropdown!C:C)</f>
        <v>תחזוקת דירה ותקשורת</v>
      </c>
      <c r="J12" s="204" t="s">
        <v>20</v>
      </c>
      <c r="P12" s="288" t="s">
        <v>420</v>
      </c>
      <c r="Q12" s="297">
        <f t="shared" si="0"/>
        <v>3026.66</v>
      </c>
      <c r="R12" s="297">
        <f t="shared" si="1"/>
        <v>0</v>
      </c>
      <c r="S12" s="297">
        <f t="shared" si="1"/>
        <v>778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18.72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34.9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452.76000000000005</v>
      </c>
      <c r="AW12" s="294">
        <f t="shared" si="4"/>
        <v>4311.04</v>
      </c>
    </row>
    <row r="13" spans="1:49">
      <c r="A13" s="460"/>
      <c r="B13" s="302" t="s">
        <v>20</v>
      </c>
      <c r="C13" s="305"/>
      <c r="D13" s="306"/>
      <c r="G13" s="204">
        <v>205</v>
      </c>
      <c r="H13" s="204" t="s">
        <v>111</v>
      </c>
      <c r="I13" s="204" t="str">
        <f>_xlfn.XLOOKUP(H13,[2]Dropdown!B:B,[2]Dropdown!C:C)</f>
        <v>ילדים וחינוך</v>
      </c>
      <c r="J13" s="204" t="s">
        <v>20</v>
      </c>
      <c r="P13" s="288" t="s">
        <v>339</v>
      </c>
      <c r="Q13" s="297">
        <f t="shared" si="0"/>
        <v>33257.61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33257.61</v>
      </c>
    </row>
    <row r="14" spans="1:49">
      <c r="A14" s="229" t="s">
        <v>21</v>
      </c>
      <c r="B14" s="302" t="s">
        <v>22</v>
      </c>
      <c r="C14" s="302">
        <v>300</v>
      </c>
      <c r="D14" s="304">
        <v>385</v>
      </c>
      <c r="G14" s="204">
        <v>0</v>
      </c>
      <c r="H14" s="204" t="s">
        <v>111</v>
      </c>
      <c r="I14" s="204" t="str">
        <f>_xlfn.XLOOKUP(H14,[2]Dropdown!B:B,[2]Dropdown!C:C)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302"/>
      <c r="C15" s="305">
        <v>-3051.0299999999997</v>
      </c>
      <c r="D15" s="306">
        <v>0</v>
      </c>
      <c r="G15" s="204">
        <v>1417.68</v>
      </c>
      <c r="H15" s="204" t="s">
        <v>68</v>
      </c>
      <c r="I15" s="204" t="str">
        <f>_xlfn.XLOOKUP(H15,[2]Dropdown!B:B,[2]Dropdown!C:C)</f>
        <v>תחזוקת דירה ותקשורת</v>
      </c>
      <c r="J15" s="204" t="s">
        <v>179</v>
      </c>
    </row>
    <row r="16" spans="1:49">
      <c r="A16" s="229" t="s">
        <v>23</v>
      </c>
      <c r="B16" s="302" t="s">
        <v>11</v>
      </c>
      <c r="C16" s="302">
        <v>500</v>
      </c>
      <c r="D16" s="304">
        <v>0</v>
      </c>
      <c r="G16" s="204">
        <v>1521.12</v>
      </c>
      <c r="H16" s="204" t="s">
        <v>68</v>
      </c>
      <c r="I16" s="204" t="str">
        <f>_xlfn.XLOOKUP(H16,[2]Dropdown!B:B,[2]Dropdown!C:C)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307"/>
      <c r="C17" s="308"/>
      <c r="D17" s="309"/>
      <c r="G17" s="204">
        <v>1593.94</v>
      </c>
      <c r="H17" s="204" t="s">
        <v>68</v>
      </c>
      <c r="I17" s="204" t="str">
        <f>_xlfn.XLOOKUP(H17,[2]Dropdown!B:B,[2]Dropdown!C:C)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310"/>
      <c r="C18" s="343">
        <v>-626613.87</v>
      </c>
      <c r="D18" s="312">
        <v>50914.960000000006</v>
      </c>
      <c r="E18" s="278"/>
      <c r="G18" s="204">
        <v>689.66</v>
      </c>
      <c r="H18" s="204" t="s">
        <v>73</v>
      </c>
      <c r="I18" s="204" t="str">
        <f>_xlfn.XLOOKUP(H18,[2]Dropdown!B:B,[2]Dropdown!C:C)</f>
        <v>תחזוקת דירה ותקשורת</v>
      </c>
      <c r="J18" s="204" t="s">
        <v>168</v>
      </c>
      <c r="P18" s="296" t="s">
        <v>426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342"/>
      <c r="C19" s="342"/>
      <c r="D19" s="342"/>
      <c r="E19" s="278"/>
      <c r="G19" s="204">
        <v>99.82</v>
      </c>
      <c r="H19" s="204" t="s">
        <v>77</v>
      </c>
      <c r="I19" s="204" t="str">
        <f>_xlfn.XLOOKUP(H19,[2]Dropdown!B:B,[2]Dropdown!C:C)</f>
        <v>תחזוקת דירה ותקשורת</v>
      </c>
      <c r="J19" s="204" t="s">
        <v>166</v>
      </c>
      <c r="P19" s="295" t="str" cm="1">
        <f t="array" ref="P19:P37">_xlfn._xlws.FILTER(Dropdown!$B:$B,Dropdown!$C:$C = $P$18)</f>
        <v>משכנתא</v>
      </c>
      <c r="Q19" s="297">
        <f t="shared" ref="Q19:Q37" si="5">SUMIFS($G:$G,$H:$H,$P19,$F:$F,"")</f>
        <v>4532.74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4532.74</v>
      </c>
    </row>
    <row r="20" spans="1:49">
      <c r="A20" s="462" t="s">
        <v>25</v>
      </c>
      <c r="B20" s="313" t="s">
        <v>337</v>
      </c>
      <c r="C20" s="313">
        <v>15134.42</v>
      </c>
      <c r="D20" s="314">
        <v>0</v>
      </c>
      <c r="E20" s="278"/>
      <c r="G20" s="204">
        <v>69.900000000000006</v>
      </c>
      <c r="H20" s="204" t="s">
        <v>77</v>
      </c>
      <c r="I20" s="204" t="str">
        <f>_xlfn.XLOOKUP(H20,[2]Dropdown!B:B,[2]Dropdown!C:C)</f>
        <v>תחזוקת דירה ותקשורת</v>
      </c>
      <c r="J20" s="204" t="s">
        <v>169</v>
      </c>
      <c r="P20" s="295" t="str">
        <v>שכר דירה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302" t="s">
        <v>338</v>
      </c>
      <c r="C21" s="302">
        <v>15000</v>
      </c>
      <c r="D21" s="304">
        <v>50708</v>
      </c>
      <c r="G21" s="204">
        <v>44.9</v>
      </c>
      <c r="H21" s="204" t="s">
        <v>77</v>
      </c>
      <c r="I21" s="204" t="str">
        <f>_xlfn.XLOOKUP(H21,[2]Dropdown!B:B,[2]Dropdown!C:C)</f>
        <v>תחזוקת דירה ותקשורת</v>
      </c>
      <c r="J21" s="204" t="s">
        <v>169</v>
      </c>
      <c r="P21" s="295" t="str">
        <v>ארנונה</v>
      </c>
      <c r="Q21" s="297">
        <f t="shared" si="5"/>
        <v>703.8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703.8</v>
      </c>
    </row>
    <row r="22" spans="1:49">
      <c r="A22" s="458"/>
      <c r="B22" s="302" t="s">
        <v>26</v>
      </c>
      <c r="C22" s="302">
        <v>269</v>
      </c>
      <c r="D22" s="304"/>
      <c r="G22" s="204">
        <v>122.4</v>
      </c>
      <c r="H22" s="204" t="s">
        <v>76</v>
      </c>
      <c r="I22" s="204" t="str">
        <f>_xlfn.XLOOKUP(H22,[2]Dropdown!B:B,[2]Dropdown!C:C)</f>
        <v>תחזוקת דירה ותקשורת</v>
      </c>
      <c r="J22" s="204" t="s">
        <v>166</v>
      </c>
      <c r="P22" s="295" t="str">
        <v>מים</v>
      </c>
      <c r="Q22" s="297">
        <f t="shared" si="5"/>
        <v>647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647</v>
      </c>
    </row>
    <row r="23" spans="1:49">
      <c r="A23" s="459"/>
      <c r="B23" s="307" t="s">
        <v>339</v>
      </c>
      <c r="C23" s="307">
        <v>700</v>
      </c>
      <c r="D23" s="309"/>
      <c r="G23" s="204">
        <v>80.55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חשמל</v>
      </c>
      <c r="Q23" s="297">
        <f t="shared" si="5"/>
        <v>689.66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689.66</v>
      </c>
    </row>
    <row r="24" spans="1:49">
      <c r="A24" s="261" t="s">
        <v>24</v>
      </c>
      <c r="B24" s="315"/>
      <c r="C24" s="315">
        <v>31103.42</v>
      </c>
      <c r="D24" s="316">
        <v>50708</v>
      </c>
      <c r="G24" s="204">
        <v>10.47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454</v>
      </c>
      <c r="P24" s="295" t="str">
        <v>גז/נפט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317" t="s">
        <v>27</v>
      </c>
      <c r="C25" s="317"/>
      <c r="D25" s="318">
        <v>700</v>
      </c>
      <c r="G25" s="204">
        <v>54.16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טלפון (נייח)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319"/>
      <c r="C26" s="319">
        <v>31103.42</v>
      </c>
      <c r="D26" s="320">
        <v>51408</v>
      </c>
      <c r="G26" s="204">
        <v>259.74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טלפונים ניידים</v>
      </c>
      <c r="Q26" s="297">
        <f t="shared" si="5"/>
        <v>122.4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122.4</v>
      </c>
    </row>
    <row r="27" spans="1:49" ht="13.5" thickBot="1">
      <c r="A27" s="233"/>
      <c r="B27" s="342"/>
      <c r="C27" s="342"/>
      <c r="D27" s="342"/>
      <c r="G27" s="204">
        <v>275.38</v>
      </c>
      <c r="H27" s="204" t="s">
        <v>126</v>
      </c>
      <c r="I27" s="204" t="str">
        <f>_xlfn.XLOOKUP(H27,[2]Dropdown!B:B,[2]Dropdown!C:C)</f>
        <v>בריאות וטיפולים</v>
      </c>
      <c r="J27" s="204" t="s">
        <v>166</v>
      </c>
      <c r="M27" s="275" t="s">
        <v>455</v>
      </c>
      <c r="P27" s="295" t="str">
        <v>ביוב</v>
      </c>
      <c r="Q27" s="297">
        <f t="shared" si="5"/>
        <v>371.4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371.4</v>
      </c>
    </row>
    <row r="28" spans="1:49">
      <c r="A28" s="467" t="s">
        <v>28</v>
      </c>
      <c r="B28" s="321" t="s">
        <v>29</v>
      </c>
      <c r="C28" s="321">
        <v>-34248.610000000015</v>
      </c>
      <c r="D28" s="322">
        <v>6283.910000000018</v>
      </c>
      <c r="G28" s="204">
        <v>192.86</v>
      </c>
      <c r="H28" s="204" t="s">
        <v>127</v>
      </c>
      <c r="I28" s="204" t="str">
        <f>_xlfn.XLOOKUP(H28,[2]Dropdown!B:B,[2]Dropdown!C:C)</f>
        <v>בריאות וטיפולים</v>
      </c>
      <c r="J28" s="204" t="s">
        <v>168</v>
      </c>
      <c r="P28" s="295" t="str">
        <v>כבלים</v>
      </c>
      <c r="Q28" s="297">
        <f t="shared" si="5"/>
        <v>214.62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214.62</v>
      </c>
    </row>
    <row r="29" spans="1:49">
      <c r="A29" s="468"/>
      <c r="B29" s="323" t="s">
        <v>30</v>
      </c>
      <c r="C29" s="324">
        <v>623468.67999999993</v>
      </c>
      <c r="D29" s="325">
        <v>6076.9500000000116</v>
      </c>
      <c r="G29" s="204">
        <v>273.58999999999997</v>
      </c>
      <c r="H29" s="204" t="s">
        <v>133</v>
      </c>
      <c r="I29" s="204" t="str">
        <f>_xlfn.XLOOKUP(H29,[2]Dropdown!B:B,[2]Dropdown!C:C)</f>
        <v>ביטוחים ופיננסים</v>
      </c>
      <c r="J29" s="204" t="s">
        <v>168</v>
      </c>
      <c r="P29" s="295" t="str">
        <v>אינטרנט</v>
      </c>
      <c r="Q29" s="297">
        <f t="shared" si="5"/>
        <v>95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95</v>
      </c>
    </row>
    <row r="30" spans="1:49">
      <c r="A30" s="243" t="s">
        <v>31</v>
      </c>
      <c r="B30" s="323" t="s">
        <v>32</v>
      </c>
      <c r="C30" s="323">
        <v>658468.67999999993</v>
      </c>
      <c r="D30" s="326">
        <v>16076.950000000012</v>
      </c>
      <c r="G30" s="204">
        <v>278.04000000000002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166</v>
      </c>
      <c r="M30" s="275" t="s">
        <v>454</v>
      </c>
      <c r="P30" s="295" t="str">
        <v>ועד בית/ישוב</v>
      </c>
      <c r="Q30" s="297">
        <f t="shared" si="5"/>
        <v>1760.4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1760.4</v>
      </c>
    </row>
    <row r="31" spans="1:49">
      <c r="A31" s="463" t="s">
        <v>14</v>
      </c>
      <c r="B31" s="323" t="s">
        <v>33</v>
      </c>
      <c r="C31" s="323">
        <v>655166.25999999989</v>
      </c>
      <c r="D31" s="326">
        <v>-206.9600000000064</v>
      </c>
      <c r="G31" s="204">
        <v>71.209999999999994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עוזרת בית</v>
      </c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327" t="s">
        <v>34</v>
      </c>
      <c r="C32" s="327">
        <v>657717.29</v>
      </c>
      <c r="D32" s="328">
        <v>-206.9600000000064</v>
      </c>
      <c r="G32" s="204">
        <v>63.43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 t="str">
        <v>גינון</v>
      </c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329"/>
      <c r="C33" s="329"/>
      <c r="D33" s="329"/>
      <c r="G33" s="204">
        <v>98.06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 t="str">
        <v>ביטוח דירה</v>
      </c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330"/>
      <c r="C34" s="331" t="s">
        <v>35</v>
      </c>
      <c r="D34" s="332" t="s">
        <v>14</v>
      </c>
      <c r="E34" s="277"/>
      <c r="G34" s="204">
        <v>500</v>
      </c>
      <c r="H34" s="204" t="s">
        <v>176</v>
      </c>
      <c r="I34" s="204" t="str">
        <f>_xlfn.XLOOKUP(H34,[2]Dropdown!B:B,[2]Dropdown!C:C)</f>
        <v>ביטוחים ופיננסים</v>
      </c>
      <c r="J34" s="204" t="s">
        <v>179</v>
      </c>
      <c r="P34" s="295" t="str">
        <v>רכישות לבית</v>
      </c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300" t="s">
        <v>288</v>
      </c>
      <c r="C35" s="333"/>
      <c r="D35" s="303">
        <v>58550</v>
      </c>
      <c r="E35" s="277"/>
      <c r="G35" s="204">
        <v>0</v>
      </c>
      <c r="H35" s="204" t="s">
        <v>83</v>
      </c>
      <c r="I35" s="204" t="str">
        <f>_xlfn.XLOOKUP(H35,[2]Dropdown!B:B,[2]Dropdown!C:C)</f>
        <v>תחזוקת דירה ותקשורת</v>
      </c>
      <c r="J35" s="204" t="s">
        <v>179</v>
      </c>
      <c r="L35" s="228"/>
      <c r="M35" s="228"/>
      <c r="N35" s="351"/>
      <c r="P35" s="295" t="str">
        <v>אחזקת בית ותיקונים</v>
      </c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307" t="s">
        <v>227</v>
      </c>
      <c r="C36" s="307"/>
      <c r="D36" s="303">
        <v>136176</v>
      </c>
      <c r="E36" s="277"/>
      <c r="G36" s="204">
        <v>15000</v>
      </c>
      <c r="H36" s="204" t="s">
        <v>335</v>
      </c>
      <c r="I36" s="204" t="str">
        <f>_xlfn.XLOOKUP(H36,[2]Dropdown!B:B,[2]Dropdown!C:C)</f>
        <v>עסק</v>
      </c>
      <c r="J36" s="204" t="s">
        <v>352</v>
      </c>
      <c r="P36" s="295" t="str">
        <v>מנויים דיגטליים</v>
      </c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307"/>
      <c r="C37" s="307"/>
      <c r="D37" s="303"/>
      <c r="E37" s="277"/>
      <c r="G37" s="204">
        <v>3217.61</v>
      </c>
      <c r="H37" s="204" t="s">
        <v>328</v>
      </c>
      <c r="I37" s="204" t="str">
        <f>_xlfn.XLOOKUP(H37,[2]Dropdown!B:B,[2]Dropdown!C:C)</f>
        <v>עסק</v>
      </c>
      <c r="J37" s="204" t="s">
        <v>352</v>
      </c>
      <c r="P37" s="295" t="str">
        <v>בנייה</v>
      </c>
      <c r="Q37" s="297">
        <f t="shared" si="5"/>
        <v>7128.5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405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17700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350</v>
      </c>
      <c r="AT37" s="297">
        <f t="shared" si="12"/>
        <v>160000</v>
      </c>
      <c r="AU37" s="297">
        <f t="shared" si="12"/>
        <v>0</v>
      </c>
      <c r="AV37" s="297">
        <f t="shared" si="12"/>
        <v>32175.759999999998</v>
      </c>
      <c r="AW37" s="294">
        <f t="shared" si="9"/>
        <v>217759.26</v>
      </c>
    </row>
    <row r="38" spans="1:49">
      <c r="A38" s="459"/>
      <c r="B38" s="307">
        <v>843093</v>
      </c>
      <c r="C38" s="307">
        <v>209875.76</v>
      </c>
      <c r="D38" s="303">
        <v>633217.24</v>
      </c>
      <c r="E38" s="277"/>
      <c r="G38" s="204">
        <v>0</v>
      </c>
      <c r="H38" s="204" t="s">
        <v>326</v>
      </c>
      <c r="I38" s="204" t="str">
        <f>_xlfn.XLOOKUP(H38,[2]Dropdown!B:B,[2]Dropdown!C:C)</f>
        <v>עסק</v>
      </c>
      <c r="J38" s="204" t="s">
        <v>400</v>
      </c>
      <c r="P38" s="287"/>
    </row>
    <row r="39" spans="1:49" ht="13.5" thickBot="1">
      <c r="A39" s="263"/>
      <c r="B39" s="319"/>
      <c r="C39" s="319">
        <v>209875.76</v>
      </c>
      <c r="D39" s="320">
        <v>827943.24</v>
      </c>
      <c r="E39" s="277"/>
      <c r="G39" s="204">
        <v>6736</v>
      </c>
      <c r="H39" s="204" t="s">
        <v>327</v>
      </c>
      <c r="I39" s="204" t="str">
        <f>_xlfn.XLOOKUP(H39,[2]Dropdown!B:B,[2]Dropdown!C:C)</f>
        <v>עסק</v>
      </c>
      <c r="J39" s="204" t="s">
        <v>400</v>
      </c>
    </row>
    <row r="40" spans="1:49" ht="13.5" thickBot="1">
      <c r="B40" s="323"/>
      <c r="C40" s="323"/>
      <c r="D40" s="334"/>
      <c r="G40" s="204">
        <v>4794</v>
      </c>
      <c r="H40" s="204" t="s">
        <v>329</v>
      </c>
      <c r="I40" s="204" t="str">
        <f>_xlfn.XLOOKUP(H40,[2]Dropdown!B:B,[2]Dropdown!C:C)</f>
        <v>עסק</v>
      </c>
      <c r="J40" s="204" t="s">
        <v>400</v>
      </c>
    </row>
    <row r="41" spans="1:49">
      <c r="A41" s="204" t="s">
        <v>175</v>
      </c>
      <c r="B41" s="335"/>
      <c r="C41" s="336" t="s">
        <v>449</v>
      </c>
      <c r="D41" s="337"/>
      <c r="G41" s="204">
        <v>600</v>
      </c>
      <c r="H41" s="204" t="s">
        <v>330</v>
      </c>
      <c r="I41" s="204" t="str">
        <f>_xlfn.XLOOKUP(H41,[2]Dropdown!B:B,[2]Dropdown!C:C)</f>
        <v>עסק</v>
      </c>
      <c r="J41" s="204" t="s">
        <v>352</v>
      </c>
    </row>
    <row r="42" spans="1:49">
      <c r="A42" s="204" t="s">
        <v>314</v>
      </c>
      <c r="B42" s="335">
        <v>0</v>
      </c>
      <c r="C42" s="338" t="s">
        <v>450</v>
      </c>
      <c r="D42" s="303">
        <v>26714.969999999998</v>
      </c>
      <c r="G42" s="204">
        <v>1710</v>
      </c>
      <c r="H42" s="204" t="s">
        <v>236</v>
      </c>
      <c r="I42" s="204" t="str">
        <f>_xlfn.XLOOKUP(H42,[2]Dropdown!B:B,[2]Dropdown!C:C)</f>
        <v>עסק</v>
      </c>
      <c r="J42" s="204" t="s">
        <v>352</v>
      </c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335">
        <v>12399.35</v>
      </c>
      <c r="C43" s="338" t="s">
        <v>451</v>
      </c>
      <c r="D43" s="303">
        <v>45473.69</v>
      </c>
      <c r="G43" s="204">
        <v>43.9</v>
      </c>
      <c r="H43" s="204" t="s">
        <v>406</v>
      </c>
      <c r="I43" s="204" t="str">
        <f>_xlfn.XLOOKUP(H43,[2]Dropdown!B:B,[2]Dropdown!C:C)</f>
        <v>מזון וקניות</v>
      </c>
      <c r="J43" s="204" t="s">
        <v>168</v>
      </c>
      <c r="M43" s="275" t="s">
        <v>446</v>
      </c>
      <c r="P43" s="204" t="s">
        <v>639</v>
      </c>
      <c r="Q43" s="204">
        <f>C28</f>
        <v>-34248.610000000015</v>
      </c>
      <c r="R43" s="204">
        <v>0</v>
      </c>
    </row>
    <row r="44" spans="1:49">
      <c r="A44" s="204" t="s">
        <v>135</v>
      </c>
      <c r="B44" s="335">
        <v>0</v>
      </c>
      <c r="C44" s="339" t="s">
        <v>452</v>
      </c>
      <c r="D44" s="309">
        <v>21219.649999999998</v>
      </c>
      <c r="G44" s="204">
        <v>65.739999999999995</v>
      </c>
      <c r="H44" s="204" t="s">
        <v>406</v>
      </c>
      <c r="I44" s="204" t="str">
        <f>_xlfn.XLOOKUP(H44,[2]Dropdown!B:B,[2]Dropdown!C:C)</f>
        <v>מזון וקניות</v>
      </c>
      <c r="J44" s="204" t="s">
        <v>399</v>
      </c>
      <c r="M44" s="275" t="s">
        <v>441</v>
      </c>
      <c r="P44" s="204" t="s">
        <v>25</v>
      </c>
      <c r="Q44" s="204">
        <f>C24</f>
        <v>31103.42</v>
      </c>
      <c r="R44" s="204">
        <f>345000+498093+20000</f>
        <v>863093</v>
      </c>
    </row>
    <row r="45" spans="1:49">
      <c r="A45" s="204" t="s">
        <v>11</v>
      </c>
      <c r="B45" s="335">
        <v>-2551.0299999999997</v>
      </c>
      <c r="C45" s="340"/>
      <c r="D45" s="309"/>
      <c r="G45" s="204">
        <v>67</v>
      </c>
      <c r="H45" s="204" t="s">
        <v>406</v>
      </c>
      <c r="I45" s="204" t="str">
        <f>_xlfn.XLOOKUP(H45,[2]Dropdown!B:B,[2]Dropdown!C:C)</f>
        <v>מזון וקניות</v>
      </c>
      <c r="J45" s="204" t="s">
        <v>166</v>
      </c>
      <c r="M45" s="275" t="s">
        <v>523</v>
      </c>
      <c r="P45" s="204" t="s">
        <v>49</v>
      </c>
      <c r="Q45" s="204">
        <f>C18-C12+20000</f>
        <v>26803.369999999995</v>
      </c>
      <c r="R45" s="204">
        <f>SUMIFS(G:G,H:H,R42,J:J,"העברה")+SUMIFS(G:G, H:H, R42, J:J, "*1*")</f>
        <v>210280.76</v>
      </c>
    </row>
    <row r="46" spans="1:49" ht="13.5" thickBot="1">
      <c r="B46" s="335"/>
      <c r="C46" s="341"/>
      <c r="D46" s="320">
        <v>93408.31</v>
      </c>
      <c r="G46" s="204">
        <v>600</v>
      </c>
      <c r="H46" s="204" t="s">
        <v>111</v>
      </c>
      <c r="I46" s="204" t="str">
        <f>_xlfn.XLOOKUP(H46,[2]Dropdown!B:B,[2]Dropdown!C:C)</f>
        <v>ילדים וחינוך</v>
      </c>
      <c r="J46" s="204" t="s">
        <v>166</v>
      </c>
      <c r="M46" s="275" t="s">
        <v>409</v>
      </c>
      <c r="P46" s="204" t="s">
        <v>273</v>
      </c>
      <c r="Q46" s="204">
        <f>Q43+Q44-Q45</f>
        <v>-29948.560000000012</v>
      </c>
      <c r="R46" s="204">
        <f>R43+R44-R45</f>
        <v>652812.24</v>
      </c>
    </row>
    <row r="47" spans="1:49">
      <c r="D47" s="136"/>
      <c r="G47" s="204">
        <v>700</v>
      </c>
      <c r="H47" s="204" t="s">
        <v>111</v>
      </c>
      <c r="I47" s="204" t="str">
        <f>_xlfn.XLOOKUP(H47,[2]Dropdown!B:B,[2]Dropdown!C:C)</f>
        <v>ילדים וחינוך</v>
      </c>
      <c r="J47" s="204" t="s">
        <v>166</v>
      </c>
      <c r="M47" s="275" t="s">
        <v>383</v>
      </c>
    </row>
    <row r="48" spans="1:49">
      <c r="D48" s="136"/>
      <c r="G48" s="204">
        <v>450</v>
      </c>
      <c r="H48" s="204" t="s">
        <v>111</v>
      </c>
      <c r="I48" s="204" t="str">
        <f>_xlfn.XLOOKUP(H48,[2]Dropdown!B:B,[2]Dropdown!C:C)</f>
        <v>ילדים וחינוך</v>
      </c>
      <c r="J48" s="204" t="s">
        <v>166</v>
      </c>
      <c r="M48" s="275" t="s">
        <v>382</v>
      </c>
    </row>
    <row r="49" spans="1:14">
      <c r="D49" s="136"/>
      <c r="G49" s="204">
        <f>390+45</f>
        <v>435</v>
      </c>
      <c r="H49" s="204" t="s">
        <v>111</v>
      </c>
      <c r="I49" s="204" t="str">
        <f>_xlfn.XLOOKUP(H49,[2]Dropdown!B:B,[2]Dropdown!C:C)</f>
        <v>ילדים וחינוך</v>
      </c>
      <c r="J49" s="204" t="s">
        <v>165</v>
      </c>
      <c r="M49" s="275" t="s">
        <v>410</v>
      </c>
    </row>
    <row r="50" spans="1:14" ht="13.5" thickBot="1">
      <c r="D50" s="136"/>
      <c r="G50" s="204">
        <v>280</v>
      </c>
      <c r="H50" s="204" t="s">
        <v>111</v>
      </c>
      <c r="I50" s="204" t="str">
        <f>_xlfn.XLOOKUP(H50,[2]Dropdown!B:B,[2]Dropdown!C:C)</f>
        <v>ילדים וחינוך</v>
      </c>
      <c r="J50" s="204" t="s">
        <v>165</v>
      </c>
      <c r="M50" s="275" t="s">
        <v>411</v>
      </c>
    </row>
    <row r="51" spans="1:14">
      <c r="D51" s="136"/>
      <c r="F51" s="219" t="s">
        <v>404</v>
      </c>
      <c r="G51" s="225"/>
      <c r="H51" s="225"/>
      <c r="I51" s="225"/>
      <c r="J51" s="225"/>
      <c r="K51" s="225"/>
      <c r="L51" s="225"/>
      <c r="M51" s="274"/>
      <c r="N51" s="349"/>
    </row>
    <row r="52" spans="1:14">
      <c r="D52" s="136"/>
      <c r="G52" s="204">
        <v>1200</v>
      </c>
      <c r="H52" s="204" t="s">
        <v>330</v>
      </c>
      <c r="I52" s="204" t="str">
        <f>_xlfn.XLOOKUP(H52,Dropdown!B:B,Dropdown!C:C)</f>
        <v>עסק</v>
      </c>
      <c r="J52" s="204" t="s">
        <v>352</v>
      </c>
      <c r="M52" s="275" t="s">
        <v>447</v>
      </c>
    </row>
    <row r="53" spans="1:14">
      <c r="D53" s="136"/>
      <c r="G53" s="204">
        <v>587.72</v>
      </c>
      <c r="H53" s="204" t="s">
        <v>111</v>
      </c>
      <c r="I53" s="204" t="str">
        <f>_xlfn.XLOOKUP(H53,[2]Dropdown!B:B,[2]Dropdown!C:C)</f>
        <v>ילדים וחינוך</v>
      </c>
      <c r="J53" s="204" t="s">
        <v>165</v>
      </c>
      <c r="K53" s="227">
        <v>7</v>
      </c>
      <c r="M53" s="275" t="s">
        <v>412</v>
      </c>
    </row>
    <row r="54" spans="1:14">
      <c r="G54" s="204">
        <v>720</v>
      </c>
      <c r="H54" s="204" t="s">
        <v>134</v>
      </c>
      <c r="I54" s="204" t="str">
        <f>_xlfn.XLOOKUP(H54,[2]Dropdown!B:B,[2]Dropdown!C:C)</f>
        <v>ביטוחים ופיננסים</v>
      </c>
      <c r="J54" s="204" t="s">
        <v>400</v>
      </c>
      <c r="K54" s="227">
        <v>2</v>
      </c>
      <c r="L54" s="253" t="s">
        <v>489</v>
      </c>
      <c r="M54" s="275" t="s">
        <v>490</v>
      </c>
    </row>
    <row r="55" spans="1:14">
      <c r="G55" s="204">
        <v>1138.8</v>
      </c>
      <c r="H55" s="204" t="s">
        <v>279</v>
      </c>
      <c r="I55" s="204" t="str">
        <f>_xlfn.XLOOKUP(H55,[2]Dropdown!B:B,[2]Dropdown!C:C)</f>
        <v>מזון וקניות</v>
      </c>
      <c r="J55" s="204" t="s">
        <v>166</v>
      </c>
      <c r="K55" s="227">
        <v>3</v>
      </c>
      <c r="L55" s="253" t="s">
        <v>442</v>
      </c>
      <c r="M55" s="275" t="s">
        <v>443</v>
      </c>
    </row>
    <row r="56" spans="1:14">
      <c r="G56" s="204">
        <v>567</v>
      </c>
      <c r="H56" s="204" t="s">
        <v>279</v>
      </c>
      <c r="I56" s="204" t="str">
        <f>_xlfn.XLOOKUP(H56,[2]Dropdown!B:B,[2]Dropdown!C:C)</f>
        <v>מזון וקניות</v>
      </c>
      <c r="J56" s="204" t="s">
        <v>166</v>
      </c>
      <c r="K56" s="227">
        <v>1</v>
      </c>
      <c r="L56" s="253" t="s">
        <v>418</v>
      </c>
      <c r="M56" s="275" t="s">
        <v>434</v>
      </c>
    </row>
    <row r="57" spans="1:14">
      <c r="G57" s="204">
        <v>425</v>
      </c>
      <c r="H57" s="204" t="s">
        <v>111</v>
      </c>
      <c r="I57" s="204" t="str">
        <f>_xlfn.XLOOKUP(H57,[2]Dropdown!B:B,[2]Dropdown!C:C)</f>
        <v>ילדים וחינוך</v>
      </c>
      <c r="J57" s="204" t="s">
        <v>166</v>
      </c>
      <c r="K57" s="227">
        <v>0</v>
      </c>
      <c r="L57" s="253" t="s">
        <v>419</v>
      </c>
      <c r="M57" s="275" t="s">
        <v>433</v>
      </c>
    </row>
    <row r="58" spans="1:14">
      <c r="G58" s="204">
        <v>616.33000000000004</v>
      </c>
      <c r="H58" s="204" t="s">
        <v>279</v>
      </c>
      <c r="I58" s="204" t="str">
        <f>_xlfn.XLOOKUP(H58,[2]Dropdown!B:B,[2]Dropdown!C:C)</f>
        <v>מזון וקניות</v>
      </c>
      <c r="J58" s="204" t="s">
        <v>166</v>
      </c>
      <c r="K58" s="227">
        <v>1</v>
      </c>
      <c r="L58" s="253" t="s">
        <v>445</v>
      </c>
      <c r="M58" s="275" t="s">
        <v>444</v>
      </c>
    </row>
    <row r="59" spans="1:14">
      <c r="G59" s="204">
        <v>587</v>
      </c>
      <c r="H59" s="204" t="s">
        <v>100</v>
      </c>
      <c r="I59" s="204" t="str">
        <f>_xlfn.XLOOKUP(H59,[2]Dropdown!B:B,[2]Dropdown!C:C)</f>
        <v>רכב ונסיעות</v>
      </c>
      <c r="J59" s="204" t="s">
        <v>400</v>
      </c>
      <c r="K59" s="227">
        <v>0</v>
      </c>
      <c r="L59" s="253" t="s">
        <v>457</v>
      </c>
      <c r="M59" s="275" t="s">
        <v>458</v>
      </c>
    </row>
    <row r="60" spans="1:14">
      <c r="G60" s="204">
        <v>3164</v>
      </c>
      <c r="H60" s="204" t="s">
        <v>374</v>
      </c>
      <c r="I60" s="204" t="str">
        <f>_xlfn.XLOOKUP(H60,[2]Dropdown!B:B,[2]Dropdown!C:C)</f>
        <v>תחזוקת דירה ותקשורת</v>
      </c>
      <c r="J60" s="204" t="s">
        <v>166</v>
      </c>
      <c r="K60" s="227">
        <v>2</v>
      </c>
      <c r="L60" s="253" t="s">
        <v>519</v>
      </c>
      <c r="M60" s="275" t="s">
        <v>520</v>
      </c>
      <c r="N60" s="350" t="s">
        <v>637</v>
      </c>
    </row>
    <row r="61" spans="1:14">
      <c r="G61" s="204">
        <v>1604.5</v>
      </c>
      <c r="H61" s="204" t="s">
        <v>374</v>
      </c>
      <c r="I61" s="204" t="str">
        <f>_xlfn.XLOOKUP(H61,[2]Dropdown!B:B,[2]Dropdown!C:C)</f>
        <v>תחזוקת דירה ותקשורת</v>
      </c>
      <c r="J61" s="204" t="s">
        <v>166</v>
      </c>
      <c r="K61" s="227">
        <v>2</v>
      </c>
      <c r="L61" s="253" t="s">
        <v>519</v>
      </c>
      <c r="M61" s="275" t="s">
        <v>521</v>
      </c>
      <c r="N61" s="350" t="s">
        <v>637</v>
      </c>
    </row>
    <row r="62" spans="1:14">
      <c r="G62" s="204">
        <v>175</v>
      </c>
      <c r="H62" s="204" t="s">
        <v>406</v>
      </c>
      <c r="I62" s="204" t="str">
        <f>_xlfn.XLOOKUP(H62,[2]Dropdown!B:B,[2]Dropdown!C:C)</f>
        <v>מזון וקניות</v>
      </c>
      <c r="J62" s="204" t="s">
        <v>400</v>
      </c>
      <c r="M62" s="275" t="s">
        <v>524</v>
      </c>
    </row>
    <row r="63" spans="1:14">
      <c r="E63" s="204"/>
      <c r="G63" s="204">
        <v>2360</v>
      </c>
      <c r="H63" s="204" t="s">
        <v>374</v>
      </c>
      <c r="I63" s="204" t="str">
        <f>_xlfn.XLOOKUP(H63,[2]Dropdown!B:B,[2]Dropdown!C:C)</f>
        <v>תחזוקת דירה ותקשורת</v>
      </c>
      <c r="J63" s="204" t="s">
        <v>400</v>
      </c>
      <c r="K63" s="227">
        <v>2</v>
      </c>
      <c r="L63" s="253" t="s">
        <v>415</v>
      </c>
      <c r="M63" s="275" t="s">
        <v>435</v>
      </c>
      <c r="N63" s="350" t="s">
        <v>637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50">
        <v>1012.33</v>
      </c>
      <c r="H64" s="204" t="s">
        <v>134</v>
      </c>
      <c r="I64" s="204" t="str">
        <f>_xlfn.XLOOKUP(H64,[2]Dropdown!B:B,[2]Dropdown!C:C)</f>
        <v>ביטוחים ופיננסים</v>
      </c>
      <c r="J64" s="204" t="s">
        <v>400</v>
      </c>
      <c r="K64" s="227">
        <v>2</v>
      </c>
      <c r="L64" s="253" t="s">
        <v>522</v>
      </c>
      <c r="M64" s="275" t="s">
        <v>570</v>
      </c>
    </row>
    <row r="65" spans="1:14" ht="13.5" thickBot="1">
      <c r="A65" s="204" t="s">
        <v>426</v>
      </c>
      <c r="B65" s="204">
        <v>16608.96</v>
      </c>
      <c r="C65" s="204">
        <v>9547</v>
      </c>
      <c r="D65" s="204">
        <v>0</v>
      </c>
      <c r="E65" s="204">
        <f>IF(C65-B65&lt;0,(C65-B65)*-1,0)</f>
        <v>7061.9599999999991</v>
      </c>
      <c r="G65" s="204">
        <v>629</v>
      </c>
      <c r="H65" s="204" t="s">
        <v>107</v>
      </c>
      <c r="I65" s="204" t="str">
        <f>_xlfn.XLOOKUP(H65,[2]Dropdown!B:B,[2]Dropdown!C:C)</f>
        <v>ילדים וחינוך</v>
      </c>
      <c r="J65" s="204" t="s">
        <v>166</v>
      </c>
      <c r="K65" s="227">
        <v>2</v>
      </c>
      <c r="L65" s="253" t="s">
        <v>522</v>
      </c>
    </row>
    <row r="66" spans="1:14">
      <c r="A66" s="227" t="s">
        <v>425</v>
      </c>
      <c r="B66" s="251">
        <v>6434.66</v>
      </c>
      <c r="C66" s="204">
        <v>8000</v>
      </c>
      <c r="D66" s="204">
        <v>1565.3400000000001</v>
      </c>
      <c r="E66" s="204">
        <f t="shared" ref="E66:E71" si="13">IF(C66-B66&lt;0,(C66-B66)*-1,0)</f>
        <v>0</v>
      </c>
      <c r="F66" s="219" t="s">
        <v>287</v>
      </c>
      <c r="G66" s="225"/>
      <c r="H66" s="225"/>
      <c r="I66" s="225"/>
      <c r="J66" s="225"/>
      <c r="K66" s="225"/>
      <c r="L66" s="225"/>
      <c r="M66" s="274"/>
      <c r="N66" s="349"/>
    </row>
    <row r="67" spans="1:14">
      <c r="A67" s="227" t="s">
        <v>424</v>
      </c>
      <c r="B67" s="136">
        <v>0</v>
      </c>
      <c r="C67" s="204">
        <v>3240</v>
      </c>
      <c r="D67" s="204">
        <v>3240</v>
      </c>
      <c r="E67" s="204">
        <f t="shared" si="13"/>
        <v>0</v>
      </c>
      <c r="F67" s="226" t="s">
        <v>491</v>
      </c>
      <c r="G67" s="204">
        <v>37</v>
      </c>
      <c r="H67" s="204" t="s">
        <v>139</v>
      </c>
      <c r="I67" s="204" t="str">
        <f>_xlfn.XLOOKUP(H67,[2]Dropdown!B:B,[2]Dropdown!C:C)</f>
        <v>תרבות ופנאי</v>
      </c>
      <c r="J67" s="204" t="s">
        <v>167</v>
      </c>
    </row>
    <row r="68" spans="1:14">
      <c r="A68" s="227" t="s">
        <v>423</v>
      </c>
      <c r="B68" s="136">
        <v>3683.3866666666668</v>
      </c>
      <c r="C68" s="204">
        <v>6750</v>
      </c>
      <c r="D68" s="204">
        <v>3066.6133333333332</v>
      </c>
      <c r="E68" s="204">
        <f t="shared" si="13"/>
        <v>0</v>
      </c>
      <c r="F68" s="226" t="s">
        <v>491</v>
      </c>
      <c r="G68" s="250">
        <v>33</v>
      </c>
      <c r="H68" s="204" t="s">
        <v>139</v>
      </c>
      <c r="I68" s="204" t="str">
        <f>_xlfn.XLOOKUP(H68,[2]Dropdown!B:B,[2]Dropdown!C:C)</f>
        <v>תרבות ופנאי</v>
      </c>
      <c r="J68" s="204" t="s">
        <v>167</v>
      </c>
    </row>
    <row r="69" spans="1:14">
      <c r="A69" s="252" t="s">
        <v>422</v>
      </c>
      <c r="B69" s="136">
        <v>340</v>
      </c>
      <c r="C69" s="204">
        <v>2600</v>
      </c>
      <c r="D69" s="204">
        <v>2260</v>
      </c>
      <c r="E69" s="204">
        <f t="shared" si="13"/>
        <v>0</v>
      </c>
      <c r="F69" s="226" t="s">
        <v>491</v>
      </c>
      <c r="G69" s="250">
        <v>27</v>
      </c>
      <c r="H69" s="204" t="s">
        <v>139</v>
      </c>
      <c r="I69" s="204" t="str">
        <f>_xlfn.XLOOKUP(H69,[2]Dropdown!B:B,[2]Dropdown!C:C)</f>
        <v>תרבות ופנאי</v>
      </c>
      <c r="J69" s="204" t="s">
        <v>167</v>
      </c>
    </row>
    <row r="70" spans="1:14">
      <c r="A70" s="227" t="s">
        <v>421</v>
      </c>
      <c r="B70" s="136">
        <v>1174</v>
      </c>
      <c r="C70" s="204">
        <v>980</v>
      </c>
      <c r="D70" s="204">
        <v>0</v>
      </c>
      <c r="E70" s="204">
        <f t="shared" si="13"/>
        <v>194</v>
      </c>
      <c r="F70" s="226" t="s">
        <v>492</v>
      </c>
      <c r="G70" s="204">
        <v>209</v>
      </c>
      <c r="H70" s="204" t="s">
        <v>19</v>
      </c>
      <c r="I70" s="204" t="str">
        <f>_xlfn.XLOOKUP(H70,[2]Dropdown!B:B,[2]Dropdown!C:C)</f>
        <v>ביטוחים ופיננסים</v>
      </c>
      <c r="J70" s="204" t="s">
        <v>179</v>
      </c>
    </row>
    <row r="71" spans="1:14">
      <c r="A71" s="227" t="s">
        <v>420</v>
      </c>
      <c r="B71" s="136">
        <v>1205</v>
      </c>
      <c r="C71" s="204">
        <v>3830</v>
      </c>
      <c r="D71" s="204">
        <v>2625</v>
      </c>
      <c r="E71" s="204">
        <f t="shared" si="13"/>
        <v>0</v>
      </c>
      <c r="F71" s="226" t="s">
        <v>492</v>
      </c>
      <c r="G71" s="204">
        <v>569</v>
      </c>
      <c r="H71" s="204" t="s">
        <v>19</v>
      </c>
      <c r="I71" s="204" t="str">
        <f>_xlfn.XLOOKUP(H71,[2]Dropdown!B:B,[2]Dropdown!C:C)</f>
        <v>ביטוחים ופיננסים</v>
      </c>
      <c r="J71" s="204" t="s">
        <v>179</v>
      </c>
    </row>
    <row r="72" spans="1:14">
      <c r="A72" s="227"/>
      <c r="B72" s="136"/>
      <c r="E72" s="204"/>
      <c r="F72" s="226" t="s">
        <v>492</v>
      </c>
      <c r="G72" s="250">
        <v>217.19</v>
      </c>
      <c r="H72" s="204" t="s">
        <v>99</v>
      </c>
      <c r="I72" s="204" t="str">
        <f>_xlfn.XLOOKUP(H72,[2]Dropdown!B:B,[2]Dropdown!C:C)</f>
        <v>רכב ונסיעות</v>
      </c>
      <c r="J72" s="204" t="s">
        <v>399</v>
      </c>
    </row>
    <row r="73" spans="1:14">
      <c r="A73" s="227"/>
      <c r="B73" s="136"/>
      <c r="F73" s="226" t="s">
        <v>492</v>
      </c>
      <c r="G73" s="250">
        <v>135.9</v>
      </c>
      <c r="H73" s="204" t="s">
        <v>276</v>
      </c>
      <c r="I73" s="204" t="str">
        <f>_xlfn.XLOOKUP(H73,[2]Dropdown!B:B,[2]Dropdown!C:C)</f>
        <v>תרבות ופנאי</v>
      </c>
      <c r="J73" s="204" t="s">
        <v>399</v>
      </c>
    </row>
    <row r="74" spans="1:14">
      <c r="F74" s="226" t="s">
        <v>492</v>
      </c>
      <c r="G74" s="250">
        <v>27.8</v>
      </c>
      <c r="H74" s="204" t="s">
        <v>103</v>
      </c>
      <c r="I74" s="204" t="str">
        <f>_xlfn.XLOOKUP(H74,[2]Dropdown!B:B,[2]Dropdown!C:C)</f>
        <v>רכב ונסיעות</v>
      </c>
      <c r="J74" s="204" t="s">
        <v>165</v>
      </c>
    </row>
    <row r="75" spans="1:14">
      <c r="F75" s="226" t="s">
        <v>492</v>
      </c>
      <c r="G75" s="250">
        <v>750.66</v>
      </c>
      <c r="H75" s="204" t="s">
        <v>91</v>
      </c>
      <c r="I75" s="204" t="str">
        <f>_xlfn.XLOOKUP(H75,[2]Dropdown!B:B,[2]Dropdown!C:C)</f>
        <v>מזון וקניות</v>
      </c>
      <c r="J75" s="204" t="s">
        <v>165</v>
      </c>
    </row>
    <row r="76" spans="1:14">
      <c r="F76" s="226" t="s">
        <v>493</v>
      </c>
      <c r="G76" s="250">
        <v>193</v>
      </c>
      <c r="H76" s="204" t="s">
        <v>276</v>
      </c>
      <c r="I76" s="204" t="str">
        <f>_xlfn.XLOOKUP(H76,[2]Dropdown!B:B,[2]Dropdown!C:C)</f>
        <v>תרבות ופנאי</v>
      </c>
      <c r="J76" s="204" t="s">
        <v>399</v>
      </c>
    </row>
    <row r="77" spans="1:14">
      <c r="F77" s="226" t="s">
        <v>493</v>
      </c>
      <c r="G77" s="250">
        <v>25.9</v>
      </c>
      <c r="H77" s="204" t="s">
        <v>91</v>
      </c>
      <c r="I77" s="204" t="str">
        <f>_xlfn.XLOOKUP(H77,[2]Dropdown!B:B,[2]Dropdown!C:C)</f>
        <v>מזון וקניות</v>
      </c>
      <c r="J77" s="204" t="s">
        <v>165</v>
      </c>
    </row>
    <row r="78" spans="1:14">
      <c r="F78" s="226" t="s">
        <v>493</v>
      </c>
      <c r="G78" s="250">
        <v>-105.02</v>
      </c>
      <c r="H78" s="204" t="s">
        <v>95</v>
      </c>
      <c r="I78" s="204" t="str">
        <f>_xlfn.XLOOKUP(H78,[2]Dropdown!B:B,[2]Dropdown!C:C)</f>
        <v>מזון וקניות</v>
      </c>
      <c r="J78" s="204" t="s">
        <v>165</v>
      </c>
    </row>
    <row r="79" spans="1:14">
      <c r="F79" s="226" t="s">
        <v>494</v>
      </c>
      <c r="G79" s="250">
        <v>27.7</v>
      </c>
      <c r="H79" s="204" t="s">
        <v>91</v>
      </c>
      <c r="I79" s="204" t="str">
        <f>_xlfn.XLOOKUP(H79,[2]Dropdown!B:B,[2]Dropdown!C:C)</f>
        <v>מזון וקניות</v>
      </c>
      <c r="J79" s="204" t="s">
        <v>167</v>
      </c>
    </row>
    <row r="80" spans="1:14">
      <c r="F80" s="226" t="s">
        <v>494</v>
      </c>
      <c r="G80" s="250">
        <v>17</v>
      </c>
      <c r="H80" s="204" t="s">
        <v>91</v>
      </c>
      <c r="I80" s="204" t="str">
        <f>_xlfn.XLOOKUP(H80,[2]Dropdown!B:B,[2]Dropdown!C:C)</f>
        <v>מזון וקניות</v>
      </c>
      <c r="J80" s="204" t="s">
        <v>167</v>
      </c>
    </row>
    <row r="81" spans="6:14">
      <c r="F81" s="226" t="s">
        <v>494</v>
      </c>
      <c r="G81" s="250">
        <v>11.3</v>
      </c>
      <c r="H81" s="204" t="s">
        <v>91</v>
      </c>
      <c r="I81" s="204" t="str">
        <f>_xlfn.XLOOKUP(H81,[2]Dropdown!B:B,[2]Dropdown!C:C)</f>
        <v>מזון וקניות</v>
      </c>
      <c r="J81" s="204" t="s">
        <v>167</v>
      </c>
    </row>
    <row r="82" spans="6:14">
      <c r="F82" s="226" t="s">
        <v>494</v>
      </c>
      <c r="G82" s="250">
        <v>20</v>
      </c>
      <c r="H82" s="204" t="s">
        <v>103</v>
      </c>
      <c r="I82" s="204" t="str">
        <f>_xlfn.XLOOKUP(H82,[2]Dropdown!B:B,[2]Dropdown!C:C)</f>
        <v>רכב ונסיעות</v>
      </c>
      <c r="J82" s="204" t="s">
        <v>167</v>
      </c>
    </row>
    <row r="83" spans="6:14">
      <c r="F83" s="226" t="s">
        <v>494</v>
      </c>
      <c r="G83" s="250">
        <v>25</v>
      </c>
      <c r="H83" s="204" t="s">
        <v>103</v>
      </c>
      <c r="I83" s="204" t="str">
        <f>_xlfn.XLOOKUP(H83,[2]Dropdown!B:B,[2]Dropdown!C:C)</f>
        <v>רכב ונסיעות</v>
      </c>
      <c r="J83" s="204" t="s">
        <v>167</v>
      </c>
    </row>
    <row r="84" spans="6:14">
      <c r="F84" s="226" t="s">
        <v>494</v>
      </c>
      <c r="G84" s="250">
        <v>92</v>
      </c>
      <c r="H84" s="204" t="s">
        <v>95</v>
      </c>
      <c r="I84" s="204" t="str">
        <f>_xlfn.XLOOKUP(H84,[2]Dropdown!B:B,[2]Dropdown!C:C)</f>
        <v>מזון וקניות</v>
      </c>
      <c r="J84" s="204" t="s">
        <v>165</v>
      </c>
    </row>
    <row r="85" spans="6:14">
      <c r="F85" s="226" t="s">
        <v>494</v>
      </c>
      <c r="G85" s="250">
        <v>405</v>
      </c>
      <c r="H85" s="204" t="s">
        <v>374</v>
      </c>
      <c r="I85" s="204" t="str">
        <f>_xlfn.XLOOKUP(H85,[2]Dropdown!B:B,[2]Dropdown!C:C)</f>
        <v>תחזוקת דירה ותקשורת</v>
      </c>
      <c r="J85" s="204" t="s">
        <v>165</v>
      </c>
      <c r="N85" s="350" t="s">
        <v>637</v>
      </c>
    </row>
    <row r="86" spans="6:14">
      <c r="F86" s="226" t="s">
        <v>494</v>
      </c>
      <c r="G86" s="250">
        <v>3.8</v>
      </c>
      <c r="H86" s="204" t="s">
        <v>103</v>
      </c>
      <c r="I86" s="204" t="str">
        <f>_xlfn.XLOOKUP(H86,[2]Dropdown!B:B,[2]Dropdown!C:C)</f>
        <v>רכב ונסיעות</v>
      </c>
      <c r="J86" s="204" t="s">
        <v>165</v>
      </c>
    </row>
    <row r="87" spans="6:14">
      <c r="F87" s="226" t="s">
        <v>495</v>
      </c>
      <c r="G87" s="250">
        <v>140</v>
      </c>
      <c r="H87" s="204" t="s">
        <v>96</v>
      </c>
      <c r="I87" s="204" t="str">
        <f>_xlfn.XLOOKUP(H87,[2]Dropdown!B:B,[2]Dropdown!C:C)</f>
        <v>מזון וקניות</v>
      </c>
      <c r="J87" s="204" t="s">
        <v>167</v>
      </c>
    </row>
    <row r="88" spans="6:14">
      <c r="F88" s="226" t="s">
        <v>495</v>
      </c>
      <c r="G88" s="250">
        <v>390.53</v>
      </c>
      <c r="H88" s="204" t="s">
        <v>91</v>
      </c>
      <c r="I88" s="204" t="str">
        <f>_xlfn.XLOOKUP(H88,[2]Dropdown!B:B,[2]Dropdown!C:C)</f>
        <v>מזון וקניות</v>
      </c>
      <c r="J88" s="204" t="s">
        <v>165</v>
      </c>
    </row>
    <row r="89" spans="6:14">
      <c r="F89" s="226" t="s">
        <v>495</v>
      </c>
      <c r="G89" s="250">
        <v>205</v>
      </c>
      <c r="H89" s="204" t="s">
        <v>96</v>
      </c>
      <c r="I89" s="204" t="str">
        <f>_xlfn.XLOOKUP(H89,[2]Dropdown!B:B,[2]Dropdown!C:C)</f>
        <v>מזון וקניות</v>
      </c>
      <c r="J89" s="204" t="s">
        <v>165</v>
      </c>
    </row>
    <row r="90" spans="6:14">
      <c r="F90" s="226" t="s">
        <v>496</v>
      </c>
      <c r="G90" s="250">
        <v>181.58</v>
      </c>
      <c r="H90" s="204" t="s">
        <v>276</v>
      </c>
      <c r="I90" s="204" t="str">
        <f>_xlfn.XLOOKUP(H90,[2]Dropdown!B:B,[2]Dropdown!C:C)</f>
        <v>תרבות ופנאי</v>
      </c>
      <c r="J90" s="204" t="s">
        <v>165</v>
      </c>
    </row>
    <row r="91" spans="6:14">
      <c r="F91" s="226" t="s">
        <v>496</v>
      </c>
      <c r="G91" s="250">
        <v>150</v>
      </c>
      <c r="H91" s="204" t="s">
        <v>109</v>
      </c>
      <c r="I91" s="204" t="str">
        <f>_xlfn.XLOOKUP(H91,[2]Dropdown!B:B,[2]Dropdown!C:C)</f>
        <v>ילדים וחינוך</v>
      </c>
      <c r="J91" s="204" t="s">
        <v>165</v>
      </c>
    </row>
    <row r="92" spans="6:14">
      <c r="F92" s="226" t="s">
        <v>497</v>
      </c>
      <c r="G92" s="250">
        <v>140.41999999999999</v>
      </c>
      <c r="H92" s="204" t="s">
        <v>99</v>
      </c>
      <c r="I92" s="204" t="str">
        <f>_xlfn.XLOOKUP(H92,[2]Dropdown!B:B,[2]Dropdown!C:C)</f>
        <v>רכב ונסיעות</v>
      </c>
      <c r="J92" s="204" t="s">
        <v>167</v>
      </c>
    </row>
    <row r="93" spans="6:14">
      <c r="F93" s="226" t="s">
        <v>497</v>
      </c>
      <c r="G93" s="250">
        <v>271.31</v>
      </c>
      <c r="H93" s="204" t="s">
        <v>99</v>
      </c>
      <c r="I93" s="204" t="str">
        <f>_xlfn.XLOOKUP(H93,[2]Dropdown!B:B,[2]Dropdown!C:C)</f>
        <v>רכב ונסיעות</v>
      </c>
      <c r="J93" s="204" t="s">
        <v>399</v>
      </c>
    </row>
    <row r="94" spans="6:14">
      <c r="F94" s="226" t="s">
        <v>497</v>
      </c>
      <c r="G94" s="250">
        <v>121.9</v>
      </c>
      <c r="H94" s="204" t="s">
        <v>101</v>
      </c>
      <c r="I94" s="204" t="str">
        <f>_xlfn.XLOOKUP(H94,[2]Dropdown!B:B,[2]Dropdown!C:C)</f>
        <v>רכב ונסיעות</v>
      </c>
      <c r="J94" s="204" t="s">
        <v>165</v>
      </c>
    </row>
    <row r="95" spans="6:14">
      <c r="F95" s="226" t="s">
        <v>497</v>
      </c>
      <c r="G95" s="250">
        <v>35</v>
      </c>
      <c r="H95" s="204" t="s">
        <v>103</v>
      </c>
      <c r="I95" s="204" t="str">
        <f>_xlfn.XLOOKUP(H95,[2]Dropdown!B:B,[2]Dropdown!C:C)</f>
        <v>רכב ונסיעות</v>
      </c>
      <c r="J95" s="204" t="s">
        <v>165</v>
      </c>
    </row>
    <row r="96" spans="6:14">
      <c r="F96" s="226" t="s">
        <v>498</v>
      </c>
      <c r="G96" s="250">
        <v>106.12</v>
      </c>
      <c r="H96" s="204" t="s">
        <v>91</v>
      </c>
      <c r="I96" s="204" t="str">
        <f>_xlfn.XLOOKUP(H96,[2]Dropdown!B:B,[2]Dropdown!C:C)</f>
        <v>מזון וקניות</v>
      </c>
      <c r="J96" s="204" t="s">
        <v>167</v>
      </c>
    </row>
    <row r="97" spans="6:10">
      <c r="F97" s="226" t="s">
        <v>498</v>
      </c>
      <c r="G97" s="250">
        <v>154</v>
      </c>
      <c r="H97" s="204" t="s">
        <v>91</v>
      </c>
      <c r="I97" s="204" t="str">
        <f>_xlfn.XLOOKUP(H97,[2]Dropdown!B:B,[2]Dropdown!C:C)</f>
        <v>מזון וקניות</v>
      </c>
      <c r="J97" s="204" t="s">
        <v>167</v>
      </c>
    </row>
    <row r="98" spans="6:10">
      <c r="F98" s="226" t="s">
        <v>498</v>
      </c>
      <c r="G98" s="250">
        <v>37</v>
      </c>
      <c r="H98" s="204" t="s">
        <v>91</v>
      </c>
      <c r="I98" s="204" t="str">
        <f>_xlfn.XLOOKUP(H98,[2]Dropdown!B:B,[2]Dropdown!C:C)</f>
        <v>מזון וקניות</v>
      </c>
      <c r="J98" s="204" t="s">
        <v>167</v>
      </c>
    </row>
    <row r="99" spans="6:10">
      <c r="F99" s="226" t="s">
        <v>498</v>
      </c>
      <c r="G99" s="250">
        <v>19</v>
      </c>
      <c r="H99" s="204" t="s">
        <v>140</v>
      </c>
      <c r="I99" s="204" t="str">
        <f>_xlfn.XLOOKUP(H99,[2]Dropdown!B:B,[2]Dropdown!C:C)</f>
        <v>תרבות ופנאי</v>
      </c>
      <c r="J99" s="204" t="s">
        <v>399</v>
      </c>
    </row>
    <row r="100" spans="6:10">
      <c r="F100" s="226" t="s">
        <v>498</v>
      </c>
      <c r="G100" s="250">
        <v>23.8</v>
      </c>
      <c r="H100" s="204" t="s">
        <v>91</v>
      </c>
      <c r="I100" s="204" t="str">
        <f>_xlfn.XLOOKUP(H100,[2]Dropdown!B:B,[2]Dropdown!C:C)</f>
        <v>מזון וקניות</v>
      </c>
      <c r="J100" s="204" t="s">
        <v>165</v>
      </c>
    </row>
    <row r="101" spans="6:10">
      <c r="F101" s="226" t="s">
        <v>498</v>
      </c>
      <c r="G101" s="250">
        <v>546.76</v>
      </c>
      <c r="H101" s="204" t="s">
        <v>91</v>
      </c>
      <c r="I101" s="204" t="str">
        <f>_xlfn.XLOOKUP(H101,[2]Dropdown!B:B,[2]Dropdown!C:C)</f>
        <v>מזון וקניות</v>
      </c>
      <c r="J101" s="204" t="s">
        <v>165</v>
      </c>
    </row>
    <row r="102" spans="6:10">
      <c r="F102" s="226" t="s">
        <v>499</v>
      </c>
      <c r="G102" s="250">
        <v>1400</v>
      </c>
      <c r="H102" s="204" t="s">
        <v>100</v>
      </c>
      <c r="I102" s="204" t="str">
        <f>_xlfn.XLOOKUP(H102,[2]Dropdown!B:B,[2]Dropdown!C:C)</f>
        <v>רכב ונסיעות</v>
      </c>
      <c r="J102" s="204" t="s">
        <v>400</v>
      </c>
    </row>
    <row r="103" spans="6:10">
      <c r="F103" s="226" t="s">
        <v>499</v>
      </c>
      <c r="G103" s="250">
        <v>70.349999999999994</v>
      </c>
      <c r="H103" s="204" t="s">
        <v>276</v>
      </c>
      <c r="I103" s="204" t="str">
        <f>_xlfn.XLOOKUP(H103,[2]Dropdown!B:B,[2]Dropdown!C:C)</f>
        <v>תרבות ופנאי</v>
      </c>
      <c r="J103" s="204" t="s">
        <v>400</v>
      </c>
    </row>
    <row r="104" spans="6:10">
      <c r="F104" s="226" t="s">
        <v>499</v>
      </c>
      <c r="G104" s="250">
        <v>109.2</v>
      </c>
      <c r="H104" s="204" t="s">
        <v>276</v>
      </c>
      <c r="I104" s="204" t="str">
        <f>_xlfn.XLOOKUP(H104,[2]Dropdown!B:B,[2]Dropdown!C:C)</f>
        <v>תרבות ופנאי</v>
      </c>
      <c r="J104" s="204" t="s">
        <v>400</v>
      </c>
    </row>
    <row r="105" spans="6:10">
      <c r="F105" s="226" t="s">
        <v>499</v>
      </c>
      <c r="G105" s="250">
        <v>20.63</v>
      </c>
      <c r="H105" s="204" t="s">
        <v>129</v>
      </c>
      <c r="I105" s="204" t="str">
        <f>_xlfn.XLOOKUP(H105,[2]Dropdown!B:B,[2]Dropdown!C:C)</f>
        <v>בריאות וטיפולים</v>
      </c>
      <c r="J105" s="204" t="s">
        <v>166</v>
      </c>
    </row>
    <row r="106" spans="6:10">
      <c r="F106" s="226" t="s">
        <v>499</v>
      </c>
      <c r="G106" s="250">
        <v>45</v>
      </c>
      <c r="H106" s="204" t="s">
        <v>101</v>
      </c>
      <c r="I106" s="204" t="str">
        <f>_xlfn.XLOOKUP(H106,[2]Dropdown!B:B,[2]Dropdown!C:C)</f>
        <v>רכב ונסיעות</v>
      </c>
      <c r="J106" s="204" t="s">
        <v>166</v>
      </c>
    </row>
    <row r="107" spans="6:10">
      <c r="F107" s="226" t="s">
        <v>499</v>
      </c>
      <c r="G107" s="250">
        <v>28.9</v>
      </c>
      <c r="H107" s="204" t="s">
        <v>101</v>
      </c>
      <c r="I107" s="204" t="str">
        <f>_xlfn.XLOOKUP(H107,[2]Dropdown!B:B,[2]Dropdown!C:C)</f>
        <v>רכב ונסיעות</v>
      </c>
      <c r="J107" s="204" t="s">
        <v>166</v>
      </c>
    </row>
    <row r="108" spans="6:10">
      <c r="F108" s="226" t="s">
        <v>500</v>
      </c>
      <c r="G108" s="250">
        <v>27</v>
      </c>
      <c r="H108" s="204" t="s">
        <v>139</v>
      </c>
      <c r="I108" s="204" t="str">
        <f>_xlfn.XLOOKUP(H108,[2]Dropdown!B:B,[2]Dropdown!C:C)</f>
        <v>תרבות ופנאי</v>
      </c>
      <c r="J108" s="204" t="s">
        <v>168</v>
      </c>
    </row>
    <row r="109" spans="6:10">
      <c r="F109" s="226" t="s">
        <v>500</v>
      </c>
      <c r="G109" s="250">
        <v>339.3</v>
      </c>
      <c r="H109" s="204" t="s">
        <v>91</v>
      </c>
      <c r="I109" s="204" t="str">
        <f>_xlfn.XLOOKUP(H109,[2]Dropdown!B:B,[2]Dropdown!C:C)</f>
        <v>מזון וקניות</v>
      </c>
      <c r="J109" s="204" t="s">
        <v>400</v>
      </c>
    </row>
    <row r="110" spans="6:10">
      <c r="F110" s="226" t="s">
        <v>501</v>
      </c>
      <c r="G110" s="250">
        <v>149.57</v>
      </c>
      <c r="H110" s="204" t="s">
        <v>91</v>
      </c>
      <c r="I110" s="204" t="str">
        <f>_xlfn.XLOOKUP(H110,[2]Dropdown!B:B,[2]Dropdown!C:C)</f>
        <v>מזון וקניות</v>
      </c>
      <c r="J110" s="204" t="s">
        <v>168</v>
      </c>
    </row>
    <row r="111" spans="6:10">
      <c r="F111" s="226" t="s">
        <v>501</v>
      </c>
      <c r="G111" s="250">
        <v>30</v>
      </c>
      <c r="H111" s="204" t="s">
        <v>139</v>
      </c>
      <c r="I111" s="204" t="str">
        <f>_xlfn.XLOOKUP(H111,[2]Dropdown!B:B,[2]Dropdown!C:C)</f>
        <v>תרבות ופנאי</v>
      </c>
      <c r="J111" s="204" t="s">
        <v>168</v>
      </c>
    </row>
    <row r="112" spans="6:10">
      <c r="F112" s="226" t="s">
        <v>501</v>
      </c>
      <c r="G112" s="250">
        <v>312</v>
      </c>
      <c r="H112" s="204" t="s">
        <v>91</v>
      </c>
      <c r="I112" s="204" t="str">
        <f>_xlfn.XLOOKUP(H112,[2]Dropdown!B:B,[2]Dropdown!C:C)</f>
        <v>מזון וקניות</v>
      </c>
      <c r="J112" s="204" t="s">
        <v>166</v>
      </c>
    </row>
    <row r="113" spans="6:10">
      <c r="F113" s="226" t="s">
        <v>501</v>
      </c>
      <c r="G113" s="250">
        <v>-15</v>
      </c>
      <c r="H113" s="204" t="s">
        <v>276</v>
      </c>
      <c r="I113" s="204" t="str">
        <f>_xlfn.XLOOKUP(H113,[2]Dropdown!B:B,[2]Dropdown!C:C)</f>
        <v>תרבות ופנאי</v>
      </c>
      <c r="J113" s="204" t="s">
        <v>166</v>
      </c>
    </row>
    <row r="114" spans="6:10">
      <c r="F114" s="226" t="s">
        <v>501</v>
      </c>
      <c r="G114" s="250">
        <v>-46.87</v>
      </c>
      <c r="H114" s="204" t="s">
        <v>276</v>
      </c>
      <c r="I114" s="204" t="str">
        <f>_xlfn.XLOOKUP(H114,[2]Dropdown!B:B,[2]Dropdown!C:C)</f>
        <v>תרבות ופנאי</v>
      </c>
      <c r="J114" s="204" t="s">
        <v>166</v>
      </c>
    </row>
    <row r="115" spans="6:10">
      <c r="F115" s="226" t="s">
        <v>501</v>
      </c>
      <c r="G115" s="250">
        <v>52.33</v>
      </c>
      <c r="H115" s="204" t="s">
        <v>91</v>
      </c>
      <c r="I115" s="204" t="str">
        <f>_xlfn.XLOOKUP(H115,[2]Dropdown!B:B,[2]Dropdown!C:C)</f>
        <v>מזון וקניות</v>
      </c>
      <c r="J115" s="204" t="s">
        <v>166</v>
      </c>
    </row>
    <row r="116" spans="6:10">
      <c r="F116" s="226" t="s">
        <v>501</v>
      </c>
      <c r="G116" s="250">
        <v>139.47</v>
      </c>
      <c r="H116" s="204" t="s">
        <v>276</v>
      </c>
      <c r="I116" s="204" t="str">
        <f>_xlfn.XLOOKUP(H116,[2]Dropdown!B:B,[2]Dropdown!C:C)</f>
        <v>תרבות ופנאי</v>
      </c>
      <c r="J116" s="204" t="s">
        <v>166</v>
      </c>
    </row>
    <row r="117" spans="6:10">
      <c r="F117" s="226" t="s">
        <v>501</v>
      </c>
      <c r="G117" s="250">
        <v>117.8</v>
      </c>
      <c r="H117" s="204" t="s">
        <v>91</v>
      </c>
      <c r="I117" s="204" t="str">
        <f>_xlfn.XLOOKUP(H117,[2]Dropdown!B:B,[2]Dropdown!C:C)</f>
        <v>מזון וקניות</v>
      </c>
      <c r="J117" s="204" t="s">
        <v>166</v>
      </c>
    </row>
    <row r="118" spans="6:10">
      <c r="F118" s="226" t="s">
        <v>501</v>
      </c>
      <c r="G118" s="250">
        <v>111.38</v>
      </c>
      <c r="H118" s="204" t="s">
        <v>91</v>
      </c>
      <c r="I118" s="204" t="str">
        <f>_xlfn.XLOOKUP(H118,[2]Dropdown!B:B,[2]Dropdown!C:C)</f>
        <v>מזון וקניות</v>
      </c>
      <c r="J118" s="204" t="s">
        <v>166</v>
      </c>
    </row>
    <row r="119" spans="6:10">
      <c r="F119" s="226" t="s">
        <v>502</v>
      </c>
      <c r="G119" s="250">
        <v>358.9</v>
      </c>
      <c r="H119" s="204" t="s">
        <v>91</v>
      </c>
      <c r="I119" s="204" t="str">
        <f>_xlfn.XLOOKUP(H119,[2]Dropdown!B:B,[2]Dropdown!C:C)</f>
        <v>מזון וקניות</v>
      </c>
      <c r="J119" s="204" t="s">
        <v>166</v>
      </c>
    </row>
    <row r="120" spans="6:10">
      <c r="F120" s="226" t="s">
        <v>503</v>
      </c>
      <c r="G120" s="250">
        <v>71</v>
      </c>
      <c r="H120" s="204" t="s">
        <v>139</v>
      </c>
      <c r="I120" s="204" t="str">
        <f>_xlfn.XLOOKUP(H120,[2]Dropdown!B:B,[2]Dropdown!C:C)</f>
        <v>תרבות ופנאי</v>
      </c>
      <c r="J120" s="204" t="s">
        <v>168</v>
      </c>
    </row>
    <row r="121" spans="6:10">
      <c r="F121" s="226" t="s">
        <v>503</v>
      </c>
      <c r="G121" s="250">
        <v>15</v>
      </c>
      <c r="H121" s="204" t="s">
        <v>140</v>
      </c>
      <c r="I121" s="204" t="str">
        <f>_xlfn.XLOOKUP(H121,[2]Dropdown!B:B,[2]Dropdown!C:C)</f>
        <v>תרבות ופנאי</v>
      </c>
      <c r="J121" s="204" t="s">
        <v>400</v>
      </c>
    </row>
    <row r="122" spans="6:10">
      <c r="F122" s="226" t="s">
        <v>503</v>
      </c>
      <c r="G122" s="250">
        <v>248.15</v>
      </c>
      <c r="H122" s="204" t="s">
        <v>99</v>
      </c>
      <c r="I122" s="204" t="str">
        <f>_xlfn.XLOOKUP(H122,[2]Dropdown!B:B,[2]Dropdown!C:C)</f>
        <v>רכב ונסיעות</v>
      </c>
      <c r="J122" s="204" t="s">
        <v>400</v>
      </c>
    </row>
    <row r="123" spans="6:10">
      <c r="F123" s="226" t="s">
        <v>503</v>
      </c>
      <c r="G123" s="250">
        <v>600</v>
      </c>
      <c r="H123" s="204" t="s">
        <v>111</v>
      </c>
      <c r="I123" s="204" t="str">
        <f>_xlfn.XLOOKUP(H123,[2]Dropdown!B:B,[2]Dropdown!C:C)</f>
        <v>ילדים וחינוך</v>
      </c>
      <c r="J123" s="204" t="s">
        <v>166</v>
      </c>
    </row>
    <row r="124" spans="6:10">
      <c r="F124" s="226" t="s">
        <v>503</v>
      </c>
      <c r="G124" s="250">
        <v>150</v>
      </c>
      <c r="H124" s="204" t="s">
        <v>109</v>
      </c>
      <c r="I124" s="204" t="str">
        <f>_xlfn.XLOOKUP(H124,[2]Dropdown!B:B,[2]Dropdown!C:C)</f>
        <v>ילדים וחינוך</v>
      </c>
      <c r="J124" s="204" t="s">
        <v>166</v>
      </c>
    </row>
    <row r="125" spans="6:10">
      <c r="F125" s="226" t="s">
        <v>503</v>
      </c>
      <c r="G125" s="250">
        <v>30</v>
      </c>
      <c r="H125" s="204" t="s">
        <v>103</v>
      </c>
      <c r="I125" s="204" t="str">
        <f>_xlfn.XLOOKUP(H125,[2]Dropdown!B:B,[2]Dropdown!C:C)</f>
        <v>רכב ונסיעות</v>
      </c>
      <c r="J125" s="204" t="s">
        <v>166</v>
      </c>
    </row>
    <row r="126" spans="6:10">
      <c r="F126" s="226" t="s">
        <v>503</v>
      </c>
      <c r="G126" s="250">
        <v>12.2</v>
      </c>
      <c r="H126" s="204" t="s">
        <v>103</v>
      </c>
      <c r="I126" s="204" t="str">
        <f>_xlfn.XLOOKUP(H126,[2]Dropdown!B:B,[2]Dropdown!C:C)</f>
        <v>רכב ונסיעות</v>
      </c>
      <c r="J126" s="204" t="s">
        <v>166</v>
      </c>
    </row>
    <row r="127" spans="6:10">
      <c r="F127" s="226" t="s">
        <v>503</v>
      </c>
      <c r="G127" s="250">
        <v>30</v>
      </c>
      <c r="H127" s="204" t="s">
        <v>91</v>
      </c>
      <c r="I127" s="204" t="str">
        <f>_xlfn.XLOOKUP(H127,[2]Dropdown!B:B,[2]Dropdown!C:C)</f>
        <v>מזון וקניות</v>
      </c>
      <c r="J127" s="204" t="s">
        <v>166</v>
      </c>
    </row>
    <row r="128" spans="6:10">
      <c r="F128" s="226" t="s">
        <v>503</v>
      </c>
      <c r="G128" s="250">
        <v>913.24</v>
      </c>
      <c r="H128" s="204" t="s">
        <v>91</v>
      </c>
      <c r="I128" s="204" t="str">
        <f>_xlfn.XLOOKUP(H128,[2]Dropdown!B:B,[2]Dropdown!C:C)</f>
        <v>מזון וקניות</v>
      </c>
      <c r="J128" s="204" t="s">
        <v>166</v>
      </c>
    </row>
    <row r="129" spans="6:10">
      <c r="F129" s="226" t="s">
        <v>504</v>
      </c>
      <c r="G129" s="250">
        <v>50</v>
      </c>
      <c r="H129" s="204" t="s">
        <v>121</v>
      </c>
      <c r="I129" s="204" t="str">
        <f>_xlfn.XLOOKUP(H129,[2]Dropdown!B:B,[2]Dropdown!C:C)</f>
        <v>תרבות ופנאי</v>
      </c>
      <c r="J129" s="204" t="s">
        <v>168</v>
      </c>
    </row>
    <row r="130" spans="6:10">
      <c r="F130" s="226" t="s">
        <v>504</v>
      </c>
      <c r="G130" s="250">
        <v>15</v>
      </c>
      <c r="H130" s="204" t="s">
        <v>121</v>
      </c>
      <c r="I130" s="204" t="str">
        <f>_xlfn.XLOOKUP(H130,[2]Dropdown!B:B,[2]Dropdown!C:C)</f>
        <v>תרבות ופנאי</v>
      </c>
      <c r="J130" s="204" t="s">
        <v>168</v>
      </c>
    </row>
    <row r="131" spans="6:10">
      <c r="F131" s="226" t="s">
        <v>504</v>
      </c>
      <c r="G131" s="250">
        <v>26</v>
      </c>
      <c r="H131" s="204" t="s">
        <v>121</v>
      </c>
      <c r="I131" s="204" t="str">
        <f>_xlfn.XLOOKUP(H131,[2]Dropdown!B:B,[2]Dropdown!C:C)</f>
        <v>תרבות ופנאי</v>
      </c>
      <c r="J131" s="204" t="s">
        <v>168</v>
      </c>
    </row>
    <row r="132" spans="6:10">
      <c r="F132" s="226" t="s">
        <v>504</v>
      </c>
      <c r="G132" s="250">
        <v>41</v>
      </c>
      <c r="H132" s="204" t="s">
        <v>276</v>
      </c>
      <c r="I132" s="204" t="str">
        <f>_xlfn.XLOOKUP(H132,[2]Dropdown!B:B,[2]Dropdown!C:C)</f>
        <v>תרבות ופנאי</v>
      </c>
      <c r="J132" s="204" t="s">
        <v>168</v>
      </c>
    </row>
    <row r="133" spans="6:10">
      <c r="F133" s="226" t="s">
        <v>504</v>
      </c>
      <c r="G133" s="250">
        <v>62</v>
      </c>
      <c r="H133" s="204" t="s">
        <v>276</v>
      </c>
      <c r="I133" s="204" t="str">
        <f>_xlfn.XLOOKUP(H133,[2]Dropdown!B:B,[2]Dropdown!C:C)</f>
        <v>תרבות ופנאי</v>
      </c>
      <c r="J133" s="204" t="s">
        <v>168</v>
      </c>
    </row>
    <row r="134" spans="6:10">
      <c r="F134" s="226" t="s">
        <v>504</v>
      </c>
      <c r="G134" s="250">
        <v>50.05</v>
      </c>
      <c r="H134" s="204" t="s">
        <v>118</v>
      </c>
      <c r="I134" s="204" t="str">
        <f>_xlfn.XLOOKUP(H134,[2]Dropdown!B:B,[2]Dropdown!C:C)</f>
        <v>תרבות ופנאי</v>
      </c>
      <c r="J134" s="204" t="s">
        <v>166</v>
      </c>
    </row>
    <row r="135" spans="6:10">
      <c r="F135" s="226" t="s">
        <v>504</v>
      </c>
      <c r="G135" s="250">
        <v>104.53</v>
      </c>
      <c r="H135" s="204" t="s">
        <v>118</v>
      </c>
      <c r="I135" s="204" t="str">
        <f>_xlfn.XLOOKUP(H135,[2]Dropdown!B:B,[2]Dropdown!C:C)</f>
        <v>תרבות ופנאי</v>
      </c>
      <c r="J135" s="204" t="s">
        <v>166</v>
      </c>
    </row>
    <row r="136" spans="6:10">
      <c r="F136" s="226" t="s">
        <v>505</v>
      </c>
      <c r="G136" s="250">
        <v>326.32</v>
      </c>
      <c r="H136" s="204" t="s">
        <v>91</v>
      </c>
      <c r="I136" s="204" t="str">
        <f>_xlfn.XLOOKUP(H136,[2]Dropdown!B:B,[2]Dropdown!C:C)</f>
        <v>מזון וקניות</v>
      </c>
      <c r="J136" s="204" t="s">
        <v>168</v>
      </c>
    </row>
    <row r="137" spans="6:10">
      <c r="F137" s="226" t="s">
        <v>506</v>
      </c>
      <c r="G137" s="250">
        <v>34</v>
      </c>
      <c r="H137" s="204" t="s">
        <v>139</v>
      </c>
      <c r="I137" s="204" t="str">
        <f>_xlfn.XLOOKUP(H137,[2]Dropdown!B:B,[2]Dropdown!C:C)</f>
        <v>תרבות ופנאי</v>
      </c>
      <c r="J137" s="204" t="s">
        <v>168</v>
      </c>
    </row>
    <row r="138" spans="6:10">
      <c r="F138" s="226" t="s">
        <v>506</v>
      </c>
      <c r="G138" s="250">
        <v>160</v>
      </c>
      <c r="H138" s="204" t="s">
        <v>139</v>
      </c>
      <c r="I138" s="204" t="str">
        <f>_xlfn.XLOOKUP(H138,[2]Dropdown!B:B,[2]Dropdown!C:C)</f>
        <v>תרבות ופנאי</v>
      </c>
      <c r="J138" s="204" t="s">
        <v>168</v>
      </c>
    </row>
    <row r="139" spans="6:10">
      <c r="F139" s="226" t="s">
        <v>506</v>
      </c>
      <c r="G139" s="250">
        <v>128.91</v>
      </c>
      <c r="H139" s="204" t="s">
        <v>99</v>
      </c>
      <c r="I139" s="204" t="str">
        <f>_xlfn.XLOOKUP(H139,[2]Dropdown!B:B,[2]Dropdown!C:C)</f>
        <v>רכב ונסיעות</v>
      </c>
      <c r="J139" s="204" t="s">
        <v>168</v>
      </c>
    </row>
    <row r="140" spans="6:10">
      <c r="F140" s="226" t="s">
        <v>506</v>
      </c>
      <c r="G140" s="250">
        <v>15</v>
      </c>
      <c r="H140" s="204" t="s">
        <v>140</v>
      </c>
      <c r="I140" s="204" t="str">
        <f>_xlfn.XLOOKUP(H140,[2]Dropdown!B:B,[2]Dropdown!C:C)</f>
        <v>תרבות ופנאי</v>
      </c>
      <c r="J140" s="204" t="s">
        <v>400</v>
      </c>
    </row>
    <row r="141" spans="6:10">
      <c r="F141" s="226" t="s">
        <v>506</v>
      </c>
      <c r="G141" s="250">
        <v>33</v>
      </c>
      <c r="H141" s="204" t="s">
        <v>140</v>
      </c>
      <c r="I141" s="204" t="str">
        <f>_xlfn.XLOOKUP(H141,[2]Dropdown!B:B,[2]Dropdown!C:C)</f>
        <v>תרבות ופנאי</v>
      </c>
      <c r="J141" s="204" t="s">
        <v>400</v>
      </c>
    </row>
    <row r="142" spans="6:10">
      <c r="F142" s="226" t="s">
        <v>506</v>
      </c>
      <c r="G142" s="250">
        <v>260</v>
      </c>
      <c r="H142" s="204" t="s">
        <v>121</v>
      </c>
      <c r="I142" s="204" t="str">
        <f>_xlfn.XLOOKUP(H142,[2]Dropdown!B:B,[2]Dropdown!C:C)</f>
        <v>תרבות ופנאי</v>
      </c>
      <c r="J142" s="204" t="s">
        <v>21</v>
      </c>
    </row>
    <row r="143" spans="6:10">
      <c r="F143" s="226" t="s">
        <v>506</v>
      </c>
      <c r="G143" s="250">
        <v>295.89999999999998</v>
      </c>
      <c r="H143" s="204" t="s">
        <v>91</v>
      </c>
      <c r="I143" s="204" t="str">
        <f>_xlfn.XLOOKUP(H143,[2]Dropdown!B:B,[2]Dropdown!C:C)</f>
        <v>מזון וקניות</v>
      </c>
      <c r="J143" s="204" t="s">
        <v>166</v>
      </c>
    </row>
    <row r="144" spans="6:10">
      <c r="F144" s="226" t="s">
        <v>507</v>
      </c>
      <c r="G144" s="250">
        <v>200</v>
      </c>
      <c r="H144" s="204" t="s">
        <v>281</v>
      </c>
      <c r="I144" s="204" t="str">
        <f>_xlfn.XLOOKUP(H144,[2]Dropdown!B:B,[2]Dropdown!C:C)</f>
        <v>רכב ונסיעות</v>
      </c>
      <c r="J144" s="204" t="s">
        <v>166</v>
      </c>
    </row>
    <row r="145" spans="6:10">
      <c r="F145" s="226" t="s">
        <v>507</v>
      </c>
      <c r="G145" s="250">
        <v>61</v>
      </c>
      <c r="H145" s="204" t="s">
        <v>276</v>
      </c>
      <c r="I145" s="204" t="str">
        <f>_xlfn.XLOOKUP(H145,[2]Dropdown!B:B,[2]Dropdown!C:C)</f>
        <v>תרבות ופנאי</v>
      </c>
      <c r="J145" s="204" t="s">
        <v>166</v>
      </c>
    </row>
    <row r="146" spans="6:10">
      <c r="F146" s="226" t="s">
        <v>535</v>
      </c>
      <c r="G146" s="250">
        <v>80</v>
      </c>
      <c r="H146" s="204" t="s">
        <v>123</v>
      </c>
      <c r="I146" s="204" t="str">
        <f>_xlfn.XLOOKUP(H146,[2]Dropdown!B:B,[2]Dropdown!C:C)</f>
        <v>תרבות ופנאי</v>
      </c>
      <c r="J146" s="204" t="s">
        <v>168</v>
      </c>
    </row>
    <row r="147" spans="6:10">
      <c r="F147" s="226" t="s">
        <v>535</v>
      </c>
      <c r="G147" s="250">
        <v>571.77</v>
      </c>
      <c r="H147" s="204" t="s">
        <v>91</v>
      </c>
      <c r="I147" s="204" t="str">
        <f>_xlfn.XLOOKUP(H147,[2]Dropdown!B:B,[2]Dropdown!C:C)</f>
        <v>מזון וקניות</v>
      </c>
      <c r="J147" s="204" t="s">
        <v>168</v>
      </c>
    </row>
    <row r="148" spans="6:10">
      <c r="F148" s="226" t="s">
        <v>535</v>
      </c>
      <c r="G148" s="250">
        <v>215</v>
      </c>
      <c r="H148" s="204" t="s">
        <v>91</v>
      </c>
      <c r="I148" s="204" t="str">
        <f>_xlfn.XLOOKUP(H148,[2]Dropdown!B:B,[2]Dropdown!C:C)</f>
        <v>מזון וקניות</v>
      </c>
      <c r="J148" s="204" t="s">
        <v>168</v>
      </c>
    </row>
    <row r="149" spans="6:10">
      <c r="F149" s="226" t="s">
        <v>535</v>
      </c>
      <c r="G149" s="250">
        <v>40.11</v>
      </c>
      <c r="H149" s="204" t="s">
        <v>91</v>
      </c>
      <c r="I149" s="204" t="str">
        <f>_xlfn.XLOOKUP(H149,[2]Dropdown!B:B,[2]Dropdown!C:C)</f>
        <v>מזון וקניות</v>
      </c>
      <c r="J149" s="204" t="s">
        <v>168</v>
      </c>
    </row>
    <row r="150" spans="6:10">
      <c r="F150" s="226" t="s">
        <v>535</v>
      </c>
      <c r="G150" s="250">
        <v>467.23</v>
      </c>
      <c r="H150" s="204" t="s">
        <v>138</v>
      </c>
      <c r="I150" s="204" t="str">
        <f>_xlfn.XLOOKUP(H150,[2]Dropdown!B:B,[2]Dropdown!C:C)</f>
        <v>רכב ונסיעות</v>
      </c>
      <c r="J150" s="204" t="s">
        <v>400</v>
      </c>
    </row>
    <row r="151" spans="6:10">
      <c r="F151" s="226" t="s">
        <v>536</v>
      </c>
      <c r="G151" s="250">
        <v>34</v>
      </c>
      <c r="H151" s="204" t="s">
        <v>139</v>
      </c>
      <c r="I151" s="204" t="str">
        <f>_xlfn.XLOOKUP(H151,[2]Dropdown!B:B,[2]Dropdown!C:C)</f>
        <v>תרבות ופנאי</v>
      </c>
      <c r="J151" s="204" t="s">
        <v>168</v>
      </c>
    </row>
    <row r="152" spans="6:10">
      <c r="F152" s="226" t="s">
        <v>536</v>
      </c>
      <c r="G152" s="250">
        <v>87</v>
      </c>
      <c r="H152" s="204" t="s">
        <v>139</v>
      </c>
      <c r="I152" s="204" t="str">
        <f>_xlfn.XLOOKUP(H152,[2]Dropdown!B:B,[2]Dropdown!C:C)</f>
        <v>תרבות ופנאי</v>
      </c>
      <c r="J152" s="204" t="s">
        <v>168</v>
      </c>
    </row>
    <row r="153" spans="6:10">
      <c r="F153" s="226" t="s">
        <v>536</v>
      </c>
      <c r="G153" s="250">
        <v>289.2</v>
      </c>
      <c r="H153" s="204" t="s">
        <v>91</v>
      </c>
      <c r="I153" s="204" t="str">
        <f>_xlfn.XLOOKUP(H153,[2]Dropdown!B:B,[2]Dropdown!C:C)</f>
        <v>מזון וקניות</v>
      </c>
      <c r="J153" s="204" t="s">
        <v>168</v>
      </c>
    </row>
    <row r="154" spans="6:10">
      <c r="F154" s="226" t="s">
        <v>536</v>
      </c>
      <c r="G154" s="250">
        <v>18.72</v>
      </c>
      <c r="H154" s="204" t="s">
        <v>19</v>
      </c>
      <c r="I154" s="204" t="str">
        <f>_xlfn.XLOOKUP(H154,[2]Dropdown!B:B,[2]Dropdown!C:C)</f>
        <v>ביטוחים ופיננסים</v>
      </c>
      <c r="J154" s="204" t="s">
        <v>400</v>
      </c>
    </row>
    <row r="155" spans="6:10">
      <c r="F155" s="226" t="s">
        <v>526</v>
      </c>
      <c r="G155" s="250">
        <v>17</v>
      </c>
      <c r="H155" s="204" t="s">
        <v>140</v>
      </c>
      <c r="I155" s="204" t="str">
        <f>_xlfn.XLOOKUP(H155,[2]Dropdown!B:B,[2]Dropdown!C:C)</f>
        <v>תרבות ופנאי</v>
      </c>
      <c r="J155" s="204" t="s">
        <v>166</v>
      </c>
    </row>
    <row r="156" spans="6:10">
      <c r="F156" s="226" t="s">
        <v>526</v>
      </c>
      <c r="G156" s="250">
        <v>35</v>
      </c>
      <c r="H156" s="204" t="s">
        <v>140</v>
      </c>
      <c r="I156" s="204" t="str">
        <f>_xlfn.XLOOKUP(H156,[2]Dropdown!B:B,[2]Dropdown!C:C)</f>
        <v>תרבות ופנאי</v>
      </c>
      <c r="J156" s="204" t="s">
        <v>166</v>
      </c>
    </row>
    <row r="157" spans="6:10">
      <c r="F157" s="226" t="s">
        <v>526</v>
      </c>
      <c r="G157" s="250">
        <v>127.12</v>
      </c>
      <c r="H157" s="204" t="s">
        <v>123</v>
      </c>
      <c r="I157" s="204" t="str">
        <f>_xlfn.XLOOKUP(H157,[2]Dropdown!B:B,[2]Dropdown!C:C)</f>
        <v>תרבות ופנאי</v>
      </c>
      <c r="J157" s="204" t="s">
        <v>166</v>
      </c>
    </row>
    <row r="158" spans="6:10">
      <c r="F158" s="226" t="s">
        <v>526</v>
      </c>
      <c r="G158" s="250">
        <v>29.09</v>
      </c>
      <c r="H158" s="204" t="s">
        <v>140</v>
      </c>
      <c r="I158" s="204" t="str">
        <f>_xlfn.XLOOKUP(H158,[2]Dropdown!B:B,[2]Dropdown!C:C)</f>
        <v>תרבות ופנאי</v>
      </c>
      <c r="J158" s="204" t="s">
        <v>169</v>
      </c>
    </row>
    <row r="159" spans="6:10">
      <c r="F159" s="226" t="s">
        <v>526</v>
      </c>
      <c r="G159" s="250">
        <v>81.400000000000006</v>
      </c>
      <c r="H159" s="204" t="s">
        <v>140</v>
      </c>
      <c r="I159" s="204" t="str">
        <f>_xlfn.XLOOKUP(H159,[2]Dropdown!B:B,[2]Dropdown!C:C)</f>
        <v>תרבות ופנאי</v>
      </c>
      <c r="J159" s="204" t="s">
        <v>169</v>
      </c>
    </row>
    <row r="160" spans="6:10">
      <c r="F160" s="226" t="s">
        <v>526</v>
      </c>
      <c r="G160" s="250">
        <v>22.1</v>
      </c>
      <c r="H160" s="204" t="s">
        <v>140</v>
      </c>
      <c r="I160" s="204" t="str">
        <f>_xlfn.XLOOKUP(H160,[2]Dropdown!B:B,[2]Dropdown!C:C)</f>
        <v>תרבות ופנאי</v>
      </c>
      <c r="J160" s="204" t="s">
        <v>169</v>
      </c>
    </row>
    <row r="161" spans="6:10">
      <c r="F161" s="226" t="s">
        <v>526</v>
      </c>
      <c r="G161" s="250">
        <v>116.38</v>
      </c>
      <c r="H161" s="204" t="s">
        <v>96</v>
      </c>
      <c r="I161" s="204" t="str">
        <f>_xlfn.XLOOKUP(H161,[2]Dropdown!B:B,[2]Dropdown!C:C)</f>
        <v>מזון וקניות</v>
      </c>
      <c r="J161" s="204" t="s">
        <v>169</v>
      </c>
    </row>
    <row r="162" spans="6:10">
      <c r="F162" s="226" t="s">
        <v>526</v>
      </c>
      <c r="G162" s="250">
        <v>24.43</v>
      </c>
      <c r="H162" s="204" t="s">
        <v>140</v>
      </c>
      <c r="I162" s="204" t="str">
        <f>_xlfn.XLOOKUP(H162,[2]Dropdown!B:B,[2]Dropdown!C:C)</f>
        <v>תרבות ופנאי</v>
      </c>
      <c r="J162" s="204" t="s">
        <v>169</v>
      </c>
    </row>
    <row r="163" spans="6:10">
      <c r="F163" s="226" t="s">
        <v>526</v>
      </c>
      <c r="G163" s="250">
        <v>13.58</v>
      </c>
      <c r="H163" s="204" t="s">
        <v>140</v>
      </c>
      <c r="I163" s="204" t="str">
        <f>_xlfn.XLOOKUP(H163,[2]Dropdown!B:B,[2]Dropdown!C:C)</f>
        <v>תרבות ופנאי</v>
      </c>
      <c r="J163" s="204" t="s">
        <v>169</v>
      </c>
    </row>
    <row r="164" spans="6:10">
      <c r="F164" s="226" t="s">
        <v>526</v>
      </c>
      <c r="G164" s="250">
        <v>58.18</v>
      </c>
      <c r="H164" s="204" t="s">
        <v>140</v>
      </c>
      <c r="I164" s="204" t="str">
        <f>_xlfn.XLOOKUP(H164,[2]Dropdown!B:B,[2]Dropdown!C:C)</f>
        <v>תרבות ופנאי</v>
      </c>
      <c r="J164" s="204" t="s">
        <v>169</v>
      </c>
    </row>
    <row r="165" spans="6:10">
      <c r="F165" s="226" t="s">
        <v>526</v>
      </c>
      <c r="G165" s="250">
        <v>3.89</v>
      </c>
      <c r="H165" s="204" t="s">
        <v>140</v>
      </c>
      <c r="I165" s="204" t="str">
        <f>_xlfn.XLOOKUP(H165,[2]Dropdown!B:B,[2]Dropdown!C:C)</f>
        <v>תרבות ופנאי</v>
      </c>
      <c r="J165" s="204" t="s">
        <v>169</v>
      </c>
    </row>
    <row r="166" spans="6:10">
      <c r="F166" s="226" t="s">
        <v>526</v>
      </c>
      <c r="G166" s="250">
        <v>40</v>
      </c>
      <c r="H166" s="204" t="s">
        <v>139</v>
      </c>
      <c r="I166" s="204" t="str">
        <f>_xlfn.XLOOKUP(H166,[2]Dropdown!B:B,[2]Dropdown!C:C)</f>
        <v>תרבות ופנאי</v>
      </c>
      <c r="J166" s="204" t="s">
        <v>168</v>
      </c>
    </row>
    <row r="167" spans="6:10">
      <c r="F167" s="226" t="s">
        <v>526</v>
      </c>
      <c r="G167" s="250">
        <v>12.9</v>
      </c>
      <c r="H167" s="204" t="s">
        <v>91</v>
      </c>
      <c r="I167" s="204" t="str">
        <f>_xlfn.XLOOKUP(H167,[2]Dropdown!B:B,[2]Dropdown!C:C)</f>
        <v>מזון וקניות</v>
      </c>
      <c r="J167" s="204" t="s">
        <v>168</v>
      </c>
    </row>
    <row r="168" spans="6:10">
      <c r="F168" s="226" t="s">
        <v>526</v>
      </c>
      <c r="G168" s="250">
        <v>284.2</v>
      </c>
      <c r="H168" s="204" t="s">
        <v>99</v>
      </c>
      <c r="I168" s="204" t="str">
        <f>_xlfn.XLOOKUP(H168,[2]Dropdown!B:B,[2]Dropdown!C:C)</f>
        <v>רכב ונסיעות</v>
      </c>
      <c r="J168" s="204" t="s">
        <v>400</v>
      </c>
    </row>
    <row r="169" spans="6:10">
      <c r="F169" s="226" t="s">
        <v>527</v>
      </c>
      <c r="G169" s="250">
        <v>100</v>
      </c>
      <c r="H169" s="204" t="s">
        <v>103</v>
      </c>
      <c r="I169" s="204" t="str">
        <f>_xlfn.XLOOKUP(H169,[2]Dropdown!B:B,[2]Dropdown!C:C)</f>
        <v>רכב ונסיעות</v>
      </c>
      <c r="J169" s="204" t="s">
        <v>166</v>
      </c>
    </row>
    <row r="170" spans="6:10">
      <c r="F170" s="226" t="s">
        <v>527</v>
      </c>
      <c r="G170" s="250">
        <v>106.96</v>
      </c>
      <c r="H170" s="204" t="s">
        <v>96</v>
      </c>
      <c r="I170" s="204" t="str">
        <f>_xlfn.XLOOKUP(H170,[2]Dropdown!B:B,[2]Dropdown!C:C)</f>
        <v>מזון וקניות</v>
      </c>
      <c r="J170" s="204" t="s">
        <v>169</v>
      </c>
    </row>
    <row r="171" spans="6:10">
      <c r="F171" s="226" t="s">
        <v>527</v>
      </c>
      <c r="G171" s="250">
        <v>46</v>
      </c>
      <c r="H171" s="204" t="s">
        <v>91</v>
      </c>
      <c r="I171" s="204" t="str">
        <f>_xlfn.XLOOKUP(H171,[2]Dropdown!B:B,[2]Dropdown!C:C)</f>
        <v>מזון וקניות</v>
      </c>
      <c r="J171" s="204" t="s">
        <v>168</v>
      </c>
    </row>
    <row r="172" spans="6:10">
      <c r="F172" s="226" t="s">
        <v>527</v>
      </c>
      <c r="G172" s="250">
        <v>74</v>
      </c>
      <c r="H172" s="204" t="s">
        <v>139</v>
      </c>
      <c r="I172" s="204" t="str">
        <f>_xlfn.XLOOKUP(H172,[2]Dropdown!B:B,[2]Dropdown!C:C)</f>
        <v>תרבות ופנאי</v>
      </c>
      <c r="J172" s="204" t="s">
        <v>168</v>
      </c>
    </row>
    <row r="173" spans="6:10">
      <c r="F173" s="226" t="s">
        <v>527</v>
      </c>
      <c r="G173" s="250">
        <v>-247.54</v>
      </c>
      <c r="H173" s="204" t="s">
        <v>138</v>
      </c>
      <c r="I173" s="204" t="str">
        <f>_xlfn.XLOOKUP(H173,[2]Dropdown!B:B,[2]Dropdown!C:C)</f>
        <v>רכב ונסיעות</v>
      </c>
      <c r="J173" s="204" t="s">
        <v>400</v>
      </c>
    </row>
    <row r="174" spans="6:10">
      <c r="F174" s="226" t="s">
        <v>527</v>
      </c>
      <c r="G174" s="250">
        <v>243.01</v>
      </c>
      <c r="H174" s="204" t="s">
        <v>138</v>
      </c>
      <c r="I174" s="204" t="str">
        <f>_xlfn.XLOOKUP(H174,[2]Dropdown!B:B,[2]Dropdown!C:C)</f>
        <v>רכב ונסיעות</v>
      </c>
      <c r="J174" s="204" t="s">
        <v>400</v>
      </c>
    </row>
    <row r="175" spans="6:10">
      <c r="F175" s="226" t="s">
        <v>527</v>
      </c>
      <c r="G175" s="250">
        <v>385</v>
      </c>
      <c r="H175" s="204" t="s">
        <v>428</v>
      </c>
      <c r="I175" s="204" t="str">
        <f>_xlfn.XLOOKUP(H175,[2]Dropdown!B:B,[2]Dropdown!C:C)</f>
        <v>תרבות ופנאי</v>
      </c>
      <c r="J175" s="204" t="s">
        <v>21</v>
      </c>
    </row>
    <row r="176" spans="6:10">
      <c r="F176" s="226" t="s">
        <v>528</v>
      </c>
      <c r="G176" s="250">
        <v>150</v>
      </c>
      <c r="H176" s="204" t="s">
        <v>109</v>
      </c>
      <c r="I176" s="204" t="str">
        <f>_xlfn.XLOOKUP(H176,[2]Dropdown!B:B,[2]Dropdown!C:C)</f>
        <v>ילדים וחינוך</v>
      </c>
      <c r="J176" s="204" t="s">
        <v>166</v>
      </c>
    </row>
    <row r="177" spans="6:14">
      <c r="F177" s="226" t="s">
        <v>528</v>
      </c>
      <c r="G177" s="250">
        <v>776.62</v>
      </c>
      <c r="H177" s="204" t="s">
        <v>140</v>
      </c>
      <c r="I177" s="204" t="str">
        <f>_xlfn.XLOOKUP(H177,[2]Dropdown!B:B,[2]Dropdown!C:C)</f>
        <v>תרבות ופנאי</v>
      </c>
      <c r="J177" s="204" t="s">
        <v>169</v>
      </c>
    </row>
    <row r="178" spans="6:14">
      <c r="F178" s="226" t="s">
        <v>528</v>
      </c>
      <c r="G178" s="250">
        <v>12</v>
      </c>
      <c r="H178" s="204" t="s">
        <v>91</v>
      </c>
      <c r="I178" s="204" t="str">
        <f>_xlfn.XLOOKUP(H178,[2]Dropdown!B:B,[2]Dropdown!C:C)</f>
        <v>מזון וקניות</v>
      </c>
      <c r="J178" s="204" t="s">
        <v>168</v>
      </c>
    </row>
    <row r="179" spans="6:14">
      <c r="F179" s="226" t="s">
        <v>528</v>
      </c>
      <c r="G179" s="250">
        <v>27</v>
      </c>
      <c r="H179" s="204" t="s">
        <v>139</v>
      </c>
      <c r="I179" s="204" t="str">
        <f>_xlfn.XLOOKUP(H179,[2]Dropdown!B:B,[2]Dropdown!C:C)</f>
        <v>תרבות ופנאי</v>
      </c>
      <c r="J179" s="204" t="s">
        <v>168</v>
      </c>
    </row>
    <row r="180" spans="6:14">
      <c r="F180" s="226" t="s">
        <v>529</v>
      </c>
      <c r="G180" s="250">
        <v>20</v>
      </c>
      <c r="H180" s="204" t="s">
        <v>103</v>
      </c>
      <c r="I180" s="204" t="str">
        <f>_xlfn.XLOOKUP(H180,[2]Dropdown!B:B,[2]Dropdown!C:C)</f>
        <v>רכב ונסיעות</v>
      </c>
      <c r="J180" s="204" t="s">
        <v>166</v>
      </c>
    </row>
    <row r="181" spans="6:14">
      <c r="F181" s="226" t="s">
        <v>529</v>
      </c>
      <c r="G181" s="250">
        <v>356</v>
      </c>
      <c r="H181" s="204" t="s">
        <v>95</v>
      </c>
      <c r="I181" s="204" t="str">
        <f>_xlfn.XLOOKUP(H181,[2]Dropdown!B:B,[2]Dropdown!C:C)</f>
        <v>מזון וקניות</v>
      </c>
      <c r="J181" s="204" t="s">
        <v>169</v>
      </c>
    </row>
    <row r="182" spans="6:14">
      <c r="F182" s="226" t="s">
        <v>529</v>
      </c>
      <c r="G182" s="250">
        <v>203.57</v>
      </c>
      <c r="H182" s="204" t="s">
        <v>140</v>
      </c>
      <c r="I182" s="204" t="str">
        <f>_xlfn.XLOOKUP(H182,[2]Dropdown!B:B,[2]Dropdown!C:C)</f>
        <v>תרבות ופנאי</v>
      </c>
      <c r="J182" s="204" t="s">
        <v>169</v>
      </c>
    </row>
    <row r="183" spans="6:14">
      <c r="F183" s="226" t="s">
        <v>529</v>
      </c>
      <c r="G183" s="250">
        <v>34.700000000000003</v>
      </c>
      <c r="H183" s="204" t="s">
        <v>91</v>
      </c>
      <c r="I183" s="204" t="str">
        <f>_xlfn.XLOOKUP(H183,[2]Dropdown!B:B,[2]Dropdown!C:C)</f>
        <v>מזון וקניות</v>
      </c>
      <c r="J183" s="204" t="s">
        <v>168</v>
      </c>
    </row>
    <row r="184" spans="6:14">
      <c r="F184" s="226" t="s">
        <v>529</v>
      </c>
      <c r="G184" s="250">
        <v>34.9</v>
      </c>
      <c r="H184" s="204" t="s">
        <v>19</v>
      </c>
      <c r="I184" s="204" t="str">
        <f>_xlfn.XLOOKUP(H184,[2]Dropdown!B:B,[2]Dropdown!C:C)</f>
        <v>ביטוחים ופיננסים</v>
      </c>
      <c r="J184" s="204" t="s">
        <v>400</v>
      </c>
    </row>
    <row r="185" spans="6:14">
      <c r="F185" s="226" t="s">
        <v>530</v>
      </c>
      <c r="G185" s="250">
        <v>82.92</v>
      </c>
      <c r="H185" s="204" t="s">
        <v>103</v>
      </c>
      <c r="I185" s="204" t="str">
        <f>_xlfn.XLOOKUP(H185,[2]Dropdown!B:B,[2]Dropdown!C:C)</f>
        <v>רכב ונסיעות</v>
      </c>
      <c r="J185" s="204" t="s">
        <v>166</v>
      </c>
    </row>
    <row r="186" spans="6:14">
      <c r="F186" s="226" t="s">
        <v>530</v>
      </c>
      <c r="G186" s="250">
        <v>70</v>
      </c>
      <c r="H186" s="204" t="s">
        <v>123</v>
      </c>
      <c r="I186" s="204" t="str">
        <f>_xlfn.XLOOKUP(H186,[2]Dropdown!B:B,[2]Dropdown!C:C)</f>
        <v>תרבות ופנאי</v>
      </c>
      <c r="J186" s="204" t="s">
        <v>166</v>
      </c>
    </row>
    <row r="187" spans="6:14">
      <c r="F187" s="226" t="s">
        <v>530</v>
      </c>
      <c r="G187" s="250">
        <v>390</v>
      </c>
      <c r="H187" s="204" t="s">
        <v>275</v>
      </c>
      <c r="I187" s="204" t="str">
        <f>_xlfn.XLOOKUP(H187,[2]Dropdown!B:B,[2]Dropdown!C:C)</f>
        <v>מזון וקניות</v>
      </c>
      <c r="J187" s="204" t="s">
        <v>166</v>
      </c>
    </row>
    <row r="188" spans="6:14">
      <c r="F188" s="226" t="s">
        <v>530</v>
      </c>
      <c r="G188" s="250">
        <v>126.94</v>
      </c>
      <c r="H188" s="204" t="s">
        <v>91</v>
      </c>
      <c r="I188" s="204" t="str">
        <f>_xlfn.XLOOKUP(H188,[2]Dropdown!B:B,[2]Dropdown!C:C)</f>
        <v>מזון וקניות</v>
      </c>
      <c r="J188" s="204" t="s">
        <v>168</v>
      </c>
    </row>
    <row r="189" spans="6:14">
      <c r="F189" s="226" t="s">
        <v>530</v>
      </c>
      <c r="G189" s="250">
        <v>71.62</v>
      </c>
      <c r="H189" s="204" t="s">
        <v>91</v>
      </c>
      <c r="I189" s="204" t="str">
        <f>_xlfn.XLOOKUP(H189,[2]Dropdown!B:B,[2]Dropdown!C:C)</f>
        <v>מזון וקניות</v>
      </c>
      <c r="J189" s="204" t="s">
        <v>168</v>
      </c>
    </row>
    <row r="190" spans="6:14">
      <c r="F190" s="226" t="s">
        <v>531</v>
      </c>
      <c r="G190" s="250">
        <v>25</v>
      </c>
      <c r="H190" s="204" t="s">
        <v>140</v>
      </c>
      <c r="I190" s="204" t="str">
        <f>_xlfn.XLOOKUP(H190,[2]Dropdown!B:B,[2]Dropdown!C:C)</f>
        <v>תרבות ופנאי</v>
      </c>
      <c r="J190" s="204" t="s">
        <v>166</v>
      </c>
    </row>
    <row r="191" spans="6:14">
      <c r="F191" s="226" t="s">
        <v>532</v>
      </c>
      <c r="G191" s="250">
        <v>52.5</v>
      </c>
      <c r="H191" s="204" t="s">
        <v>103</v>
      </c>
      <c r="I191" s="204" t="str">
        <f>_xlfn.XLOOKUP(H191,[2]Dropdown!B:B,[2]Dropdown!C:C)</f>
        <v>רכב ונסיעות</v>
      </c>
      <c r="J191" s="204" t="s">
        <v>166</v>
      </c>
    </row>
    <row r="192" spans="6:14">
      <c r="F192" s="226" t="s">
        <v>532</v>
      </c>
      <c r="G192" s="250">
        <v>350</v>
      </c>
      <c r="H192" s="204" t="s">
        <v>374</v>
      </c>
      <c r="I192" s="204" t="str">
        <f>_xlfn.XLOOKUP(H192,[2]Dropdown!B:B,[2]Dropdown!C:C)</f>
        <v>תחזוקת דירה ותקשורת</v>
      </c>
      <c r="J192" s="204" t="s">
        <v>166</v>
      </c>
      <c r="N192" s="350" t="s">
        <v>637</v>
      </c>
    </row>
    <row r="193" spans="6:10">
      <c r="F193" s="226" t="s">
        <v>532</v>
      </c>
      <c r="G193" s="250">
        <v>55</v>
      </c>
      <c r="H193" s="204" t="s">
        <v>276</v>
      </c>
      <c r="I193" s="204" t="str">
        <f>_xlfn.XLOOKUP(H193,[2]Dropdown!B:B,[2]Dropdown!C:C)</f>
        <v>תרבות ופנאי</v>
      </c>
      <c r="J193" s="204" t="s">
        <v>166</v>
      </c>
    </row>
    <row r="194" spans="6:10">
      <c r="F194" s="226" t="s">
        <v>532</v>
      </c>
      <c r="G194" s="250">
        <v>145.9</v>
      </c>
      <c r="H194" s="204" t="s">
        <v>276</v>
      </c>
      <c r="I194" s="204" t="str">
        <f>_xlfn.XLOOKUP(H194,[2]Dropdown!B:B,[2]Dropdown!C:C)</f>
        <v>תרבות ופנאי</v>
      </c>
      <c r="J194" s="204" t="s">
        <v>166</v>
      </c>
    </row>
    <row r="195" spans="6:10">
      <c r="F195" s="226" t="s">
        <v>532</v>
      </c>
      <c r="G195" s="250">
        <v>169.9</v>
      </c>
      <c r="H195" s="204" t="s">
        <v>276</v>
      </c>
      <c r="I195" s="204" t="str">
        <f>_xlfn.XLOOKUP(H195,[2]Dropdown!B:B,[2]Dropdown!C:C)</f>
        <v>תרבות ופנאי</v>
      </c>
      <c r="J195" s="204" t="s">
        <v>166</v>
      </c>
    </row>
    <row r="196" spans="6:10">
      <c r="F196" s="226" t="s">
        <v>532</v>
      </c>
      <c r="G196" s="250">
        <v>153.9</v>
      </c>
      <c r="H196" s="204" t="s">
        <v>276</v>
      </c>
      <c r="I196" s="204" t="str">
        <f>_xlfn.XLOOKUP(H196,[2]Dropdown!B:B,[2]Dropdown!C:C)</f>
        <v>תרבות ופנאי</v>
      </c>
      <c r="J196" s="204" t="s">
        <v>166</v>
      </c>
    </row>
    <row r="197" spans="6:10">
      <c r="F197" s="226" t="s">
        <v>533</v>
      </c>
      <c r="G197" s="250">
        <v>26</v>
      </c>
      <c r="H197" s="204" t="s">
        <v>96</v>
      </c>
      <c r="I197" s="204" t="str">
        <f>_xlfn.XLOOKUP(H197,[2]Dropdown!B:B,[2]Dropdown!C:C)</f>
        <v>מזון וקניות</v>
      </c>
      <c r="J197" s="204" t="s">
        <v>166</v>
      </c>
    </row>
    <row r="198" spans="6:10">
      <c r="F198" s="226" t="s">
        <v>533</v>
      </c>
      <c r="G198" s="250">
        <v>108.5</v>
      </c>
      <c r="H198" s="204" t="s">
        <v>276</v>
      </c>
      <c r="I198" s="204" t="str">
        <f>_xlfn.XLOOKUP(H198,[2]Dropdown!B:B,[2]Dropdown!C:C)</f>
        <v>תרבות ופנאי</v>
      </c>
      <c r="J198" s="204" t="s">
        <v>166</v>
      </c>
    </row>
    <row r="199" spans="6:10">
      <c r="F199" s="226" t="s">
        <v>533</v>
      </c>
      <c r="G199" s="250">
        <v>1287.2</v>
      </c>
      <c r="H199" s="204" t="s">
        <v>91</v>
      </c>
      <c r="I199" s="204" t="str">
        <f>_xlfn.XLOOKUP(H199,[2]Dropdown!B:B,[2]Dropdown!C:C)</f>
        <v>מזון וקניות</v>
      </c>
      <c r="J199" s="204" t="s">
        <v>166</v>
      </c>
    </row>
    <row r="200" spans="6:10">
      <c r="F200" s="226" t="s">
        <v>533</v>
      </c>
      <c r="G200" s="250">
        <v>30.1</v>
      </c>
      <c r="H200" s="204" t="s">
        <v>126</v>
      </c>
      <c r="I200" s="204" t="str">
        <f>_xlfn.XLOOKUP(H200,[2]Dropdown!B:B,[2]Dropdown!C:C)</f>
        <v>בריאות וטיפולים</v>
      </c>
      <c r="J200" s="204" t="s">
        <v>166</v>
      </c>
    </row>
    <row r="201" spans="6:10">
      <c r="F201" s="226" t="s">
        <v>533</v>
      </c>
      <c r="G201" s="250">
        <v>49</v>
      </c>
      <c r="H201" s="204" t="s">
        <v>139</v>
      </c>
      <c r="I201" s="204" t="str">
        <f>_xlfn.XLOOKUP(H201,[2]Dropdown!B:B,[2]Dropdown!C:C)</f>
        <v>תרבות ופנאי</v>
      </c>
      <c r="J201" s="204" t="s">
        <v>168</v>
      </c>
    </row>
    <row r="202" spans="6:10">
      <c r="F202" s="226" t="s">
        <v>534</v>
      </c>
      <c r="G202" s="250">
        <v>317.3</v>
      </c>
      <c r="H202" s="204" t="s">
        <v>91</v>
      </c>
      <c r="I202" s="204" t="str">
        <f>_xlfn.XLOOKUP(H202,[2]Dropdown!B:B,[2]Dropdown!C:C)</f>
        <v>מזון וקניות</v>
      </c>
      <c r="J202" s="204" t="s">
        <v>166</v>
      </c>
    </row>
    <row r="203" spans="6:10">
      <c r="F203" s="226" t="s">
        <v>525</v>
      </c>
      <c r="G203" s="250">
        <f>443.79+0.54-3.57</f>
        <v>440.76000000000005</v>
      </c>
      <c r="H203" s="204" t="s">
        <v>19</v>
      </c>
      <c r="I203" s="204" t="str">
        <f>_xlfn.XLOOKUP(H203,[2]Dropdown!B:B,[2]Dropdown!C:C)</f>
        <v>ביטוחים ופיננסים</v>
      </c>
      <c r="J203" s="204" t="s">
        <v>179</v>
      </c>
    </row>
    <row r="204" spans="6:10">
      <c r="F204" s="226" t="s">
        <v>525</v>
      </c>
      <c r="G204" s="250">
        <v>227.15</v>
      </c>
      <c r="H204" s="204" t="s">
        <v>91</v>
      </c>
      <c r="I204" s="204" t="str">
        <f>_xlfn.XLOOKUP(H204,[2]Dropdown!B:B,[2]Dropdown!C:C)</f>
        <v>מזון וקניות</v>
      </c>
      <c r="J204" s="204" t="s">
        <v>168</v>
      </c>
    </row>
    <row r="205" spans="6:10">
      <c r="F205" s="226" t="s">
        <v>525</v>
      </c>
      <c r="G205" s="250">
        <v>145.44</v>
      </c>
      <c r="H205" s="204" t="s">
        <v>91</v>
      </c>
      <c r="I205" s="204" t="str">
        <f>_xlfn.XLOOKUP(H205,[2]Dropdown!B:B,[2]Dropdown!C:C)</f>
        <v>מזון וקניות</v>
      </c>
      <c r="J205" s="204" t="s">
        <v>168</v>
      </c>
    </row>
    <row r="206" spans="6:10">
      <c r="F206" s="226" t="s">
        <v>525</v>
      </c>
      <c r="G206" s="250">
        <v>27</v>
      </c>
      <c r="H206" s="204" t="s">
        <v>139</v>
      </c>
      <c r="I206" s="204" t="str">
        <f>_xlfn.XLOOKUP(H206,[2]Dropdown!B:B,[2]Dropdown!C:C)</f>
        <v>תרבות ופנאי</v>
      </c>
      <c r="J206" s="204" t="s">
        <v>168</v>
      </c>
    </row>
    <row r="207" spans="6:10">
      <c r="F207" s="226" t="s">
        <v>525</v>
      </c>
      <c r="G207" s="250">
        <v>12</v>
      </c>
      <c r="H207" s="204" t="s">
        <v>19</v>
      </c>
      <c r="I207" s="204" t="str">
        <f>_xlfn.XLOOKUP(H207,[2]Dropdown!B:B,[2]Dropdown!C:C)</f>
        <v>ביטוחים ופיננסים</v>
      </c>
      <c r="J207" s="204" t="s">
        <v>352</v>
      </c>
    </row>
    <row r="208" spans="6:10">
      <c r="F208" s="226" t="s">
        <v>533</v>
      </c>
      <c r="G208" s="250">
        <v>160000</v>
      </c>
      <c r="H208" s="204" t="s">
        <v>374</v>
      </c>
      <c r="I208" s="204" t="str">
        <f>_xlfn.XLOOKUP(H208,[2]Dropdown!B:B,[2]Dropdown!C:C)</f>
        <v>תחזוקת דירה ותקשורת</v>
      </c>
      <c r="J208" s="204" t="s">
        <v>20</v>
      </c>
    </row>
    <row r="209" spans="6:10">
      <c r="F209" s="226" t="s">
        <v>525</v>
      </c>
      <c r="G209" s="250">
        <v>32175.759999999998</v>
      </c>
      <c r="H209" s="204" t="s">
        <v>374</v>
      </c>
      <c r="I209" s="204" t="str">
        <f>_xlfn.XLOOKUP(H209,[2]Dropdown!B:B,[2]Dropdown!C:C)</f>
        <v>תחזוקת דירה ותקשורת</v>
      </c>
      <c r="J209" s="204" t="s">
        <v>20</v>
      </c>
    </row>
    <row r="210" spans="6:10">
      <c r="F210" s="226" t="s">
        <v>536</v>
      </c>
      <c r="G210" s="250">
        <v>17700</v>
      </c>
      <c r="H210" s="204" t="s">
        <v>374</v>
      </c>
      <c r="I210" s="204" t="str">
        <f>_xlfn.XLOOKUP(H210,[2]Dropdown!B:B,[2]Dropdown!C:C)</f>
        <v>תחזוקת דירה ותקשורת</v>
      </c>
      <c r="J210" s="204" t="s">
        <v>20</v>
      </c>
    </row>
    <row r="211" spans="6:10">
      <c r="G211" s="250"/>
      <c r="I211" s="204">
        <f>_xlfn.XLOOKUP(H211,[2]Dropdown!B:B,[2]Dropdown!C:C)</f>
        <v>0</v>
      </c>
    </row>
    <row r="212" spans="6:10">
      <c r="G212" s="250"/>
      <c r="I212" s="204">
        <f>_xlfn.XLOOKUP(H212,[2]Dropdown!B:B,[2]Dropdown!C:C)</f>
        <v>0</v>
      </c>
    </row>
    <row r="213" spans="6:10">
      <c r="G213" s="250"/>
      <c r="I213" s="204">
        <f>_xlfn.XLOOKUP(H213,[2]Dropdown!B:B,[2]Dropdown!C:C)</f>
        <v>0</v>
      </c>
    </row>
    <row r="214" spans="6:10">
      <c r="G214" s="250"/>
      <c r="I214" s="204">
        <f>_xlfn.XLOOKUP(H214,[2]Dropdown!B:B,[2]Dropdown!C:C)</f>
        <v>0</v>
      </c>
    </row>
    <row r="215" spans="6:10">
      <c r="G215" s="250"/>
      <c r="I215" s="204">
        <f>_xlfn.XLOOKUP(H215,[2]Dropdown!B:B,[2]Dropdown!C:C)</f>
        <v>0</v>
      </c>
    </row>
    <row r="216" spans="6:10">
      <c r="G216" s="250"/>
      <c r="I216" s="204">
        <f>_xlfn.XLOOKUP(H216,[2]Dropdown!B:B,[2]Dropdown!C:C)</f>
        <v>0</v>
      </c>
    </row>
    <row r="217" spans="6:10">
      <c r="G217" s="250"/>
      <c r="I217" s="204">
        <f>_xlfn.XLOOKUP(H217,[2]Dropdown!B:B,[2]Dropdown!C:C)</f>
        <v>0</v>
      </c>
    </row>
    <row r="218" spans="6:10">
      <c r="G218" s="250"/>
      <c r="I218" s="204">
        <f>_xlfn.XLOOKUP(H218,[2]Dropdown!B:B,[2]Dropdown!C:C)</f>
        <v>0</v>
      </c>
    </row>
    <row r="219" spans="6:10">
      <c r="G219" s="250"/>
      <c r="I219" s="204">
        <f>_xlfn.XLOOKUP(H219,[2]Dropdown!B:B,[2]Dropdown!C:C)</f>
        <v>0</v>
      </c>
    </row>
    <row r="220" spans="6:10">
      <c r="G220" s="250"/>
      <c r="I220" s="204">
        <f>_xlfn.XLOOKUP(H220,[2]Dropdown!B:B,[2]Dropdown!C:C)</f>
        <v>0</v>
      </c>
    </row>
    <row r="221" spans="6:10">
      <c r="G221" s="250"/>
    </row>
    <row r="222" spans="6:10">
      <c r="G222" s="250"/>
    </row>
    <row r="223" spans="6:10">
      <c r="G223" s="250"/>
    </row>
    <row r="224" spans="6:10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  <row r="262" spans="7:7">
      <c r="G262" s="250"/>
    </row>
    <row r="263" spans="7:7">
      <c r="G263" s="250"/>
    </row>
    <row r="264" spans="7:7">
      <c r="G264" s="250"/>
    </row>
    <row r="265" spans="7:7">
      <c r="G265" s="250"/>
    </row>
  </sheetData>
  <autoFilter ref="F1:R220" xr:uid="{00000000-0009-0000-0000-000004000000}"/>
  <mergeCells count="8">
    <mergeCell ref="A35:A38"/>
    <mergeCell ref="A28:A29"/>
    <mergeCell ref="A31:A32"/>
    <mergeCell ref="A2:A6"/>
    <mergeCell ref="A7:A8"/>
    <mergeCell ref="A9:A10"/>
    <mergeCell ref="A11:A13"/>
    <mergeCell ref="A20:A23"/>
  </mergeCells>
  <phoneticPr fontId="14" type="noConversion"/>
  <conditionalFormatting sqref="C2">
    <cfRule type="duplicateValues" dxfId="119" priority="1" stopIfTrue="1"/>
  </conditionalFormatting>
  <conditionalFormatting sqref="Q6:AV13">
    <cfRule type="cellIs" dxfId="118" priority="7" operator="greaterThan">
      <formula>0</formula>
    </cfRule>
  </conditionalFormatting>
  <conditionalFormatting sqref="Q19:AV37">
    <cfRule type="cellIs" dxfId="117" priority="8" operator="greaterThan">
      <formula>0</formula>
    </cfRule>
  </conditionalFormatting>
  <dataValidations count="2">
    <dataValidation type="list" errorStyle="warning" allowBlank="1" showInputMessage="1" showErrorMessage="1" errorTitle="חסרה קטגוריה" sqref="J3:J50 J52:J65 J67:J210" xr:uid="{431D6168-4C8D-41A4-B71C-9CB7552587B6}">
      <formula1>סוג_תשלום</formula1>
    </dataValidation>
    <dataValidation type="list" errorStyle="warning" allowBlank="1" showInputMessage="1" showErrorMessage="1" errorTitle="חסרה קטגוריה" sqref="H3:H50 H67:H200 H203:H204 H206 H52:H65" xr:uid="{1135EBD1-61F1-46E5-BDCA-769FAF23E08C}">
      <formula1>סוג_הוצאה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4A691D-17A1-4F27-9B28-E6FEBBF918A1}">
          <x14:formula1>
            <xm:f>Dropdown!$D$2:$D$9</xm:f>
          </x14:formula1>
          <xm:sqref>P18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W404"/>
  <sheetViews>
    <sheetView rightToLeft="1" zoomScale="85" zoomScaleNormal="85" workbookViewId="0">
      <pane xSplit="1" ySplit="1" topLeftCell="C17" activePane="bottomRight" state="frozen"/>
      <selection activeCell="I24" sqref="I24"/>
      <selection pane="topRight" activeCell="I24" sqref="I24"/>
      <selection pane="bottomLeft" activeCell="I24" sqref="I24"/>
      <selection pane="bottomRight" activeCell="M62" sqref="M62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1.7109375" style="204" customWidth="1"/>
    <col min="4" max="4" width="10.85546875" style="204" bestFit="1" customWidth="1"/>
    <col min="5" max="5" width="10.7109375" style="204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350" bestFit="1" customWidth="1"/>
    <col min="15" max="15" width="9.28515625" style="204"/>
    <col min="16" max="16" width="19.7109375" style="204" bestFit="1" customWidth="1"/>
    <col min="17" max="17" width="10.85546875" style="204" bestFit="1" customWidth="1"/>
    <col min="18" max="18" width="10.7109375" style="204" bestFit="1" customWidth="1"/>
    <col min="19" max="19" width="4.28515625" style="204" bestFit="1" customWidth="1"/>
    <col min="20" max="20" width="5.42578125" style="204" bestFit="1" customWidth="1"/>
    <col min="21" max="23" width="4.28515625" style="204" bestFit="1" customWidth="1"/>
    <col min="24" max="24" width="5" style="204" bestFit="1" customWidth="1"/>
    <col min="25" max="25" width="4.28515625" style="204" bestFit="1" customWidth="1"/>
    <col min="26" max="26" width="5" style="204" bestFit="1" customWidth="1"/>
    <col min="27" max="27" width="5.42578125" style="204" bestFit="1" customWidth="1"/>
    <col min="28" max="28" width="4.140625" style="204" bestFit="1" customWidth="1"/>
    <col min="29" max="34" width="4.28515625" style="204" bestFit="1" customWidth="1"/>
    <col min="35" max="35" width="3.28515625" style="204" bestFit="1" customWidth="1"/>
    <col min="36" max="36" width="4.28515625" style="204" bestFit="1" customWidth="1"/>
    <col min="37" max="37" width="5.42578125" style="204" bestFit="1" customWidth="1"/>
    <col min="38" max="38" width="3.28515625" style="204" bestFit="1" customWidth="1"/>
    <col min="39" max="39" width="4.28515625" style="204" bestFit="1" customWidth="1"/>
    <col min="40" max="40" width="5.140625" style="204" bestFit="1" customWidth="1"/>
    <col min="41" max="41" width="5.42578125" style="204" bestFit="1" customWidth="1"/>
    <col min="42" max="42" width="4.28515625" style="204" bestFit="1" customWidth="1"/>
    <col min="43" max="43" width="3.28515625" style="204" bestFit="1" customWidth="1"/>
    <col min="44" max="44" width="4.85546875" style="204" bestFit="1" customWidth="1"/>
    <col min="45" max="45" width="6.140625" style="204" bestFit="1" customWidth="1"/>
    <col min="46" max="47" width="4.28515625" style="204" bestFit="1" customWidth="1"/>
    <col min="48" max="48" width="5.425781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>
        <v>1</v>
      </c>
      <c r="B1" s="214">
        <v>1225</v>
      </c>
      <c r="C1" s="215" t="s">
        <v>1</v>
      </c>
      <c r="D1" s="216" t="s">
        <v>351</v>
      </c>
      <c r="E1" s="222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348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24657.85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3168.04</v>
      </c>
      <c r="D3" s="224"/>
      <c r="E3" s="204">
        <f>49.9+170.27+34.87+485.28+564.02+569.95+374.52</f>
        <v>2248.81</v>
      </c>
      <c r="G3" s="204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  <c r="N3" s="275"/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6729.8899999999985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22333.950000000004</v>
      </c>
      <c r="G4" s="204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  <c r="N4" s="275"/>
    </row>
    <row r="5" spans="1:49">
      <c r="A5" s="458"/>
      <c r="B5" s="196"/>
      <c r="C5" s="196"/>
      <c r="D5" s="198"/>
      <c r="G5" s="204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N5" s="275"/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N6" s="275"/>
      <c r="P6" s="288" t="s">
        <v>426</v>
      </c>
      <c r="Q6" s="297">
        <f t="shared" ref="Q6:Q13" si="0">SUMIFS($G:$G,$I:$I,$P6,$F:$F,"")</f>
        <v>14932.96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18150</v>
      </c>
      <c r="W6" s="297">
        <f t="shared" si="1"/>
        <v>0</v>
      </c>
      <c r="X6" s="297">
        <f t="shared" si="1"/>
        <v>363.08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76</v>
      </c>
      <c r="AE6" s="297">
        <f t="shared" si="2"/>
        <v>550</v>
      </c>
      <c r="AF6" s="297">
        <f t="shared" si="2"/>
        <v>234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527.6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3060</v>
      </c>
      <c r="AS6" s="297">
        <f t="shared" si="3"/>
        <v>24874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62767.64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N7" s="275"/>
      <c r="P7" s="288" t="s">
        <v>425</v>
      </c>
      <c r="Q7" s="297">
        <f t="shared" si="0"/>
        <v>2497.33</v>
      </c>
      <c r="R7" s="297">
        <f t="shared" si="1"/>
        <v>381.5</v>
      </c>
      <c r="S7" s="297">
        <f t="shared" si="1"/>
        <v>717.16000000000008</v>
      </c>
      <c r="T7" s="297">
        <f t="shared" si="1"/>
        <v>0</v>
      </c>
      <c r="U7" s="297">
        <f t="shared" si="1"/>
        <v>200</v>
      </c>
      <c r="V7" s="297">
        <f t="shared" si="1"/>
        <v>419.9</v>
      </c>
      <c r="W7" s="297">
        <f t="shared" si="1"/>
        <v>64.5</v>
      </c>
      <c r="X7" s="297">
        <f t="shared" si="1"/>
        <v>1254.2</v>
      </c>
      <c r="Y7" s="297">
        <f t="shared" si="1"/>
        <v>882.7299999999999</v>
      </c>
      <c r="Z7" s="297">
        <f t="shared" si="1"/>
        <v>1730.78</v>
      </c>
      <c r="AA7" s="297">
        <f t="shared" si="1"/>
        <v>209.3</v>
      </c>
      <c r="AB7" s="297">
        <f t="shared" si="2"/>
        <v>332.91</v>
      </c>
      <c r="AC7" s="297">
        <f t="shared" si="2"/>
        <v>5</v>
      </c>
      <c r="AD7" s="297">
        <f t="shared" si="2"/>
        <v>93.26</v>
      </c>
      <c r="AE7" s="297">
        <f t="shared" si="2"/>
        <v>123.97</v>
      </c>
      <c r="AF7" s="297">
        <f t="shared" si="2"/>
        <v>841.44999999999993</v>
      </c>
      <c r="AG7" s="297">
        <f t="shared" si="2"/>
        <v>323.34999999999997</v>
      </c>
      <c r="AH7" s="297">
        <f t="shared" si="2"/>
        <v>0</v>
      </c>
      <c r="AI7" s="297">
        <f t="shared" si="2"/>
        <v>86.04</v>
      </c>
      <c r="AJ7" s="297">
        <f t="shared" si="2"/>
        <v>903.97</v>
      </c>
      <c r="AK7" s="297">
        <f t="shared" si="2"/>
        <v>0</v>
      </c>
      <c r="AL7" s="297">
        <f t="shared" si="3"/>
        <v>7.5</v>
      </c>
      <c r="AM7" s="297">
        <f t="shared" si="3"/>
        <v>126.1</v>
      </c>
      <c r="AN7" s="297">
        <f t="shared" si="3"/>
        <v>1608.2599999999998</v>
      </c>
      <c r="AO7" s="297">
        <f t="shared" si="3"/>
        <v>0</v>
      </c>
      <c r="AP7" s="297">
        <f t="shared" si="3"/>
        <v>10</v>
      </c>
      <c r="AQ7" s="297">
        <f t="shared" si="3"/>
        <v>707.25</v>
      </c>
      <c r="AR7" s="297">
        <f t="shared" si="3"/>
        <v>120.9</v>
      </c>
      <c r="AS7" s="297">
        <f t="shared" si="3"/>
        <v>1421.2600000000002</v>
      </c>
      <c r="AT7" s="297">
        <f t="shared" si="3"/>
        <v>238.9</v>
      </c>
      <c r="AU7" s="297">
        <f t="shared" si="3"/>
        <v>306.02999999999997</v>
      </c>
      <c r="AV7" s="297">
        <f t="shared" si="3"/>
        <v>0</v>
      </c>
      <c r="AW7" s="294">
        <f t="shared" ref="AW7:AW13" si="4">SUM(Q7:AV7)</f>
        <v>15613.55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1451.3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N8" s="275"/>
      <c r="P8" s="288" t="s">
        <v>424</v>
      </c>
      <c r="Q8" s="297">
        <f t="shared" si="0"/>
        <v>0</v>
      </c>
      <c r="R8" s="297">
        <f t="shared" si="1"/>
        <v>278.57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275.68</v>
      </c>
      <c r="W8" s="297">
        <f t="shared" si="1"/>
        <v>0</v>
      </c>
      <c r="X8" s="297">
        <f t="shared" si="1"/>
        <v>0</v>
      </c>
      <c r="Y8" s="297">
        <f t="shared" si="1"/>
        <v>20</v>
      </c>
      <c r="Z8" s="297">
        <f t="shared" si="1"/>
        <v>0</v>
      </c>
      <c r="AA8" s="297">
        <f t="shared" si="1"/>
        <v>274.39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333.87</v>
      </c>
      <c r="AG8" s="297">
        <f t="shared" si="2"/>
        <v>0</v>
      </c>
      <c r="AH8" s="297">
        <f t="shared" si="2"/>
        <v>81.41</v>
      </c>
      <c r="AI8" s="297">
        <f t="shared" si="2"/>
        <v>72</v>
      </c>
      <c r="AJ8" s="297">
        <f t="shared" si="2"/>
        <v>0</v>
      </c>
      <c r="AK8" s="297">
        <f t="shared" si="2"/>
        <v>25.36</v>
      </c>
      <c r="AL8" s="297">
        <f t="shared" si="3"/>
        <v>228.61</v>
      </c>
      <c r="AM8" s="297">
        <f t="shared" si="3"/>
        <v>113.47999999999999</v>
      </c>
      <c r="AN8" s="297">
        <f t="shared" si="3"/>
        <v>10.5</v>
      </c>
      <c r="AO8" s="297">
        <f t="shared" si="3"/>
        <v>0</v>
      </c>
      <c r="AP8" s="297">
        <f t="shared" si="3"/>
        <v>31.5</v>
      </c>
      <c r="AQ8" s="297">
        <f t="shared" si="3"/>
        <v>168.92</v>
      </c>
      <c r="AR8" s="297">
        <f t="shared" si="3"/>
        <v>0</v>
      </c>
      <c r="AS8" s="297">
        <f t="shared" si="3"/>
        <v>0</v>
      </c>
      <c r="AT8" s="297">
        <f t="shared" si="3"/>
        <v>20</v>
      </c>
      <c r="AU8" s="297">
        <f t="shared" si="3"/>
        <v>0</v>
      </c>
      <c r="AV8" s="297">
        <f t="shared" si="3"/>
        <v>0</v>
      </c>
      <c r="AW8" s="294">
        <f t="shared" si="4"/>
        <v>1934.29</v>
      </c>
    </row>
    <row r="9" spans="1:49">
      <c r="A9" s="461" t="s">
        <v>59</v>
      </c>
      <c r="B9" s="196" t="s">
        <v>356</v>
      </c>
      <c r="C9" s="196">
        <v>3208.4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5527.6100000000006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N9" s="275"/>
      <c r="P9" s="288" t="s">
        <v>423</v>
      </c>
      <c r="Q9" s="297">
        <f t="shared" si="0"/>
        <v>3885.7200000000003</v>
      </c>
      <c r="R9" s="297">
        <f t="shared" si="1"/>
        <v>0</v>
      </c>
      <c r="S9" s="297">
        <f t="shared" si="1"/>
        <v>150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44</v>
      </c>
      <c r="AO9" s="297">
        <f t="shared" si="3"/>
        <v>0</v>
      </c>
      <c r="AP9" s="297">
        <f t="shared" si="3"/>
        <v>150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150</v>
      </c>
      <c r="AU9" s="297">
        <f t="shared" si="3"/>
        <v>0</v>
      </c>
      <c r="AV9" s="297">
        <f t="shared" si="3"/>
        <v>0</v>
      </c>
      <c r="AW9" s="294">
        <f t="shared" si="4"/>
        <v>4379.72</v>
      </c>
    </row>
    <row r="10" spans="1:49">
      <c r="A10" s="460"/>
      <c r="B10" s="196" t="s">
        <v>8</v>
      </c>
      <c r="C10" s="208">
        <f>454.3-146</f>
        <v>308.3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N10" s="275"/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344.90000000000003</v>
      </c>
      <c r="T10" s="297">
        <f t="shared" si="1"/>
        <v>0</v>
      </c>
      <c r="U10" s="297">
        <f t="shared" si="1"/>
        <v>0</v>
      </c>
      <c r="V10" s="297">
        <f t="shared" si="1"/>
        <v>147</v>
      </c>
      <c r="W10" s="297">
        <f t="shared" si="1"/>
        <v>401.26</v>
      </c>
      <c r="X10" s="297">
        <f t="shared" si="1"/>
        <v>204</v>
      </c>
      <c r="Y10" s="297">
        <f t="shared" si="1"/>
        <v>0</v>
      </c>
      <c r="Z10" s="297">
        <f t="shared" si="1"/>
        <v>0</v>
      </c>
      <c r="AA10" s="297">
        <f t="shared" si="1"/>
        <v>189</v>
      </c>
      <c r="AB10" s="297">
        <f t="shared" si="2"/>
        <v>0</v>
      </c>
      <c r="AC10" s="297">
        <f t="shared" si="2"/>
        <v>276.89999999999998</v>
      </c>
      <c r="AD10" s="297">
        <f t="shared" si="2"/>
        <v>186.94</v>
      </c>
      <c r="AE10" s="297">
        <f t="shared" si="2"/>
        <v>0</v>
      </c>
      <c r="AF10" s="297">
        <f t="shared" si="2"/>
        <v>143</v>
      </c>
      <c r="AG10" s="297">
        <f t="shared" si="2"/>
        <v>0</v>
      </c>
      <c r="AH10" s="297">
        <f t="shared" si="2"/>
        <v>0</v>
      </c>
      <c r="AI10" s="297">
        <f t="shared" si="2"/>
        <v>109</v>
      </c>
      <c r="AJ10" s="297">
        <f t="shared" si="2"/>
        <v>70</v>
      </c>
      <c r="AK10" s="297">
        <f t="shared" si="2"/>
        <v>0</v>
      </c>
      <c r="AL10" s="297">
        <f t="shared" si="3"/>
        <v>40</v>
      </c>
      <c r="AM10" s="297">
        <f t="shared" si="3"/>
        <v>154.43</v>
      </c>
      <c r="AN10" s="297">
        <f t="shared" si="3"/>
        <v>0</v>
      </c>
      <c r="AO10" s="297">
        <f t="shared" si="3"/>
        <v>0</v>
      </c>
      <c r="AP10" s="297">
        <f t="shared" si="3"/>
        <v>63</v>
      </c>
      <c r="AQ10" s="297">
        <f t="shared" si="3"/>
        <v>34</v>
      </c>
      <c r="AR10" s="297">
        <f t="shared" si="3"/>
        <v>155</v>
      </c>
      <c r="AS10" s="297">
        <f t="shared" si="3"/>
        <v>142.80000000000001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2661.23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60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N11" s="275"/>
      <c r="P11" s="288" t="s">
        <v>421</v>
      </c>
      <c r="Q11" s="297">
        <f t="shared" si="0"/>
        <v>1455.55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90</v>
      </c>
      <c r="X11" s="297">
        <f t="shared" si="1"/>
        <v>0</v>
      </c>
      <c r="Y11" s="297">
        <f t="shared" si="1"/>
        <v>157.74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1703.29</v>
      </c>
    </row>
    <row r="12" spans="1:49">
      <c r="A12" s="458"/>
      <c r="B12" s="196" t="s">
        <v>336</v>
      </c>
      <c r="C12" s="208">
        <f>17700</f>
        <v>17700</v>
      </c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N12" s="275"/>
      <c r="P12" s="288" t="s">
        <v>420</v>
      </c>
      <c r="Q12" s="297">
        <f t="shared" ca="1" si="0"/>
        <v>2945.01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60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34.9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3039.9100000000003</v>
      </c>
    </row>
    <row r="13" spans="1:49">
      <c r="A13" s="460"/>
      <c r="B13" s="196" t="s">
        <v>20</v>
      </c>
      <c r="C13" s="196">
        <f>145844.69+151512.89+202124.55+2360+24874</f>
        <v>526716.13</v>
      </c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N13" s="275"/>
      <c r="P13" s="288" t="s">
        <v>339</v>
      </c>
      <c r="Q13" s="297">
        <f t="shared" si="0"/>
        <v>47408.57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47408.57</v>
      </c>
    </row>
    <row r="14" spans="1:49">
      <c r="A14" s="229" t="s">
        <v>21</v>
      </c>
      <c r="B14" s="196" t="s">
        <v>22</v>
      </c>
      <c r="C14" s="196">
        <f>806.95+700</f>
        <v>1506.95</v>
      </c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N14" s="275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04">
        <v>874.81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  <c r="N15" s="275"/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04">
        <v>576.49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N16" s="275"/>
      <c r="P16" s="289"/>
    </row>
    <row r="17" spans="1:49">
      <c r="A17" s="230" t="s">
        <v>224</v>
      </c>
      <c r="B17" s="150"/>
      <c r="C17" s="231"/>
      <c r="D17" s="202"/>
      <c r="G17" s="204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N17" s="275"/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586006.86</v>
      </c>
      <c r="D18" s="259">
        <f ca="1">SUM(D2:D17)</f>
        <v>42871.560000000005</v>
      </c>
      <c r="E18" s="232"/>
      <c r="G18" s="204">
        <v>1046.08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N18" s="275"/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32"/>
      <c r="G19" s="345">
        <v>99.82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N19" s="275"/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0</v>
      </c>
      <c r="R19" s="297">
        <f t="shared" ref="R19:AA28" si="6">SUMIFS($G:$G,$H:$H,$P19,$F:$F,TEXT(R$5,"00") &amp; "." &amp; TEXT($A$1,"00"))</f>
        <v>381.5</v>
      </c>
      <c r="S19" s="297">
        <f t="shared" si="6"/>
        <v>717.16000000000008</v>
      </c>
      <c r="T19" s="297">
        <f t="shared" si="6"/>
        <v>0</v>
      </c>
      <c r="U19" s="297">
        <f t="shared" si="6"/>
        <v>0</v>
      </c>
      <c r="V19" s="297">
        <f t="shared" si="6"/>
        <v>419.9</v>
      </c>
      <c r="W19" s="297">
        <f t="shared" si="6"/>
        <v>64.5</v>
      </c>
      <c r="X19" s="297">
        <f t="shared" si="6"/>
        <v>185.88</v>
      </c>
      <c r="Y19" s="297">
        <f t="shared" si="6"/>
        <v>752.68</v>
      </c>
      <c r="Z19" s="297">
        <f t="shared" si="6"/>
        <v>965.40000000000009</v>
      </c>
      <c r="AA19" s="297">
        <f t="shared" si="6"/>
        <v>0</v>
      </c>
      <c r="AB19" s="297">
        <f t="shared" ref="AB19:AK28" si="7">SUMIFS($G:$G,$H:$H,$P19,$F:$F,TEXT(AB$5,"00") &amp; "." &amp; TEXT($A$1,"00"))</f>
        <v>332.91</v>
      </c>
      <c r="AC19" s="297">
        <f t="shared" si="7"/>
        <v>5</v>
      </c>
      <c r="AD19" s="297">
        <f t="shared" si="7"/>
        <v>0</v>
      </c>
      <c r="AE19" s="297">
        <f t="shared" si="7"/>
        <v>123.97</v>
      </c>
      <c r="AF19" s="297">
        <f t="shared" si="7"/>
        <v>841.44999999999993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184.02</v>
      </c>
      <c r="AK19" s="297">
        <f t="shared" si="7"/>
        <v>0</v>
      </c>
      <c r="AL19" s="297">
        <f t="shared" ref="AL19:AV28" si="8">SUMIFS($G:$G,$H:$H,$P19,$F:$F,TEXT(AL$5,"00") &amp; "." &amp; TEXT($A$1,"00"))</f>
        <v>7.5</v>
      </c>
      <c r="AM19" s="297">
        <f t="shared" si="8"/>
        <v>26.1</v>
      </c>
      <c r="AN19" s="297">
        <f t="shared" si="8"/>
        <v>1044.24</v>
      </c>
      <c r="AO19" s="297">
        <f t="shared" si="8"/>
        <v>0</v>
      </c>
      <c r="AP19" s="297">
        <f t="shared" si="8"/>
        <v>10</v>
      </c>
      <c r="AQ19" s="297">
        <f t="shared" si="8"/>
        <v>707.25</v>
      </c>
      <c r="AR19" s="297">
        <f t="shared" si="8"/>
        <v>120.9</v>
      </c>
      <c r="AS19" s="297">
        <f t="shared" si="8"/>
        <v>685.99</v>
      </c>
      <c r="AT19" s="297">
        <f t="shared" si="8"/>
        <v>36</v>
      </c>
      <c r="AU19" s="297">
        <f t="shared" si="8"/>
        <v>306.02999999999997</v>
      </c>
      <c r="AV19" s="297">
        <f t="shared" si="8"/>
        <v>0</v>
      </c>
      <c r="AW19" s="294">
        <f t="shared" ref="AW19:AW37" si="9">SUM(Q19:AV19)</f>
        <v>7918.3799999999992</v>
      </c>
    </row>
    <row r="20" spans="1:49">
      <c r="A20" s="462" t="s">
        <v>25</v>
      </c>
      <c r="B20" s="206" t="s">
        <v>337</v>
      </c>
      <c r="C20" s="206">
        <v>14893.76</v>
      </c>
      <c r="D20" s="207">
        <f>SUMIFS(עסק!AA:AA,עסק!Z:Z,$A$1,עסק!AC:AC,"צ'ק")</f>
        <v>0</v>
      </c>
      <c r="E20" s="232"/>
      <c r="G20" s="204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N20" s="275"/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46926</v>
      </c>
      <c r="G21" s="204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169</v>
      </c>
      <c r="N21" s="275"/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80</v>
      </c>
      <c r="Z21" s="297">
        <f t="shared" si="6"/>
        <v>350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430</v>
      </c>
    </row>
    <row r="22" spans="1:49">
      <c r="A22" s="458"/>
      <c r="B22" s="196" t="s">
        <v>26</v>
      </c>
      <c r="C22" s="196">
        <v>276</v>
      </c>
      <c r="D22" s="198"/>
      <c r="G22" s="204">
        <v>132.4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N22" s="275"/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2920</v>
      </c>
      <c r="D23" s="202"/>
      <c r="G23" s="204">
        <v>80.55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N23" s="275"/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729.2</v>
      </c>
      <c r="Y23" s="297">
        <f t="shared" si="6"/>
        <v>0</v>
      </c>
      <c r="Z23" s="297">
        <f t="shared" si="6"/>
        <v>0</v>
      </c>
      <c r="AA23" s="297">
        <f t="shared" si="6"/>
        <v>209.3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100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1038.5</v>
      </c>
    </row>
    <row r="24" spans="1:49">
      <c r="A24" s="261" t="s">
        <v>24</v>
      </c>
      <c r="B24" s="262"/>
      <c r="C24" s="255">
        <f ca="1">SUM(C20:C23)</f>
        <v>33089.760000000002</v>
      </c>
      <c r="D24" s="254">
        <f>SUM(D20:D23)</f>
        <v>46926</v>
      </c>
      <c r="G24" s="204">
        <v>29.96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N24" s="275"/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200</v>
      </c>
      <c r="V24" s="297">
        <f t="shared" si="6"/>
        <v>0</v>
      </c>
      <c r="W24" s="297">
        <f t="shared" si="6"/>
        <v>0</v>
      </c>
      <c r="X24" s="297">
        <f t="shared" si="6"/>
        <v>339.12</v>
      </c>
      <c r="Y24" s="297">
        <f t="shared" si="6"/>
        <v>50.05</v>
      </c>
      <c r="Z24" s="297">
        <f t="shared" si="6"/>
        <v>415.38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93.26</v>
      </c>
      <c r="AE24" s="297">
        <f t="shared" si="7"/>
        <v>0</v>
      </c>
      <c r="AF24" s="297">
        <f t="shared" si="7"/>
        <v>0</v>
      </c>
      <c r="AG24" s="297">
        <f t="shared" si="7"/>
        <v>323.34999999999997</v>
      </c>
      <c r="AH24" s="297">
        <f t="shared" si="7"/>
        <v>0</v>
      </c>
      <c r="AI24" s="297">
        <f t="shared" si="7"/>
        <v>86.04</v>
      </c>
      <c r="AJ24" s="297">
        <f t="shared" si="7"/>
        <v>719.95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564.02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735.2700000000001</v>
      </c>
      <c r="AT24" s="297">
        <f t="shared" si="8"/>
        <v>202.9</v>
      </c>
      <c r="AU24" s="297">
        <f t="shared" si="8"/>
        <v>0</v>
      </c>
      <c r="AV24" s="297">
        <f t="shared" si="8"/>
        <v>0</v>
      </c>
      <c r="AW24" s="294">
        <f t="shared" si="9"/>
        <v>3729.3399999999997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2920</v>
      </c>
      <c r="G25" s="204">
        <v>10.42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N25" s="275"/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33089.760000000002</v>
      </c>
      <c r="D26" s="257">
        <f>SUM(D24:D25)</f>
        <v>49846</v>
      </c>
      <c r="G26" s="204">
        <v>53.91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N26" s="275"/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04">
        <v>259.74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N27" s="275"/>
      <c r="P27" s="295" t="str">
        <v>מכשירים</v>
      </c>
      <c r="Q27" s="297">
        <f t="shared" si="5"/>
        <v>2322.13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2322.13</v>
      </c>
    </row>
    <row r="28" spans="1:49">
      <c r="A28" s="467" t="s">
        <v>28</v>
      </c>
      <c r="B28" s="239" t="s">
        <v>29</v>
      </c>
      <c r="C28" s="239">
        <f>'1225'!C29</f>
        <v>623468.67999999993</v>
      </c>
      <c r="D28" s="240">
        <f>'1225'!D29</f>
        <v>6076.9500000000116</v>
      </c>
      <c r="G28" s="204">
        <v>275.38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N28" s="275"/>
      <c r="P28" s="295" t="str">
        <v>הוצאות לעסק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70551.579999999958</v>
      </c>
      <c r="D29" s="242">
        <f ca="1">D28+D24-D18</f>
        <v>10131.390000000007</v>
      </c>
      <c r="E29" s="204">
        <f ca="1">C29-D38</f>
        <v>-45483.530000000028</v>
      </c>
      <c r="G29" s="204">
        <v>273.58999999999997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N29" s="275"/>
      <c r="P29" s="295" t="str">
        <v>מנויים</v>
      </c>
      <c r="Q29" s="297">
        <f t="shared" si="5"/>
        <v>175.2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175.2</v>
      </c>
    </row>
    <row r="30" spans="1:49">
      <c r="A30" s="243" t="s">
        <v>31</v>
      </c>
      <c r="B30" s="204" t="s">
        <v>32</v>
      </c>
      <c r="C30" s="204">
        <f ca="1">SUM(Data!$B$2+C29)</f>
        <v>105551.57999999996</v>
      </c>
      <c r="D30" s="244">
        <f ca="1">SUM(Data!$B$3+D29)</f>
        <v>20131.390000000007</v>
      </c>
      <c r="G30" s="345">
        <v>191.94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N30" s="275"/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-552417.1</v>
      </c>
      <c r="D31" s="244">
        <f ca="1">SUM(D29+D16-D28)</f>
        <v>4054.4399999999951</v>
      </c>
      <c r="G31" s="204">
        <v>278.04000000000002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N31" s="275"/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-552917.1</v>
      </c>
      <c r="D32" s="246">
        <f ca="1">D24-D18</f>
        <v>4054.4399999999951</v>
      </c>
      <c r="G32" s="204">
        <v>63.43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N32" s="275"/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04">
        <v>71.209999999999994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N33" s="275"/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22"/>
      <c r="G34" s="204">
        <v>98.06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N34" s="275"/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'1225'!D35-C35</f>
        <v>58550</v>
      </c>
      <c r="E35" s="222"/>
      <c r="G35" s="204">
        <v>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166</v>
      </c>
      <c r="M35" s="275" t="s">
        <v>456</v>
      </c>
      <c r="N35" s="275"/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22"/>
      <c r="G36" s="204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N36" s="275"/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22"/>
      <c r="G37" s="204">
        <f>454.3</f>
        <v>454.3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>
        <f>'1225'!D38</f>
        <v>633217.24</v>
      </c>
      <c r="C38" s="150">
        <f>145844.69+151512.89+202124.55+17700</f>
        <v>517182.13</v>
      </c>
      <c r="D38" s="205">
        <f>'1225'!D38-C38</f>
        <v>116035.10999999999</v>
      </c>
      <c r="E38" s="222"/>
      <c r="G38" s="204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N38" s="275"/>
      <c r="P38" s="287"/>
    </row>
    <row r="39" spans="1:49" ht="13.5" thickBot="1">
      <c r="A39" s="263"/>
      <c r="B39" s="258"/>
      <c r="C39" s="258">
        <f>SUM(C35:C38)</f>
        <v>517182.13</v>
      </c>
      <c r="D39" s="257">
        <f>SUM(D35:D38)</f>
        <v>310761.11</v>
      </c>
      <c r="E39" s="222"/>
      <c r="G39" s="204">
        <v>3217.61</v>
      </c>
      <c r="H39" s="204" t="s">
        <v>328</v>
      </c>
      <c r="I39" s="204" t="str">
        <f>_xlfn.XLOOKUP(H39,Dropdown!B:B,Dropdown!C:C)</f>
        <v>עסק</v>
      </c>
      <c r="J39" s="204" t="s">
        <v>352</v>
      </c>
      <c r="N39" s="275"/>
    </row>
    <row r="40" spans="1:49" ht="13.5" thickBot="1">
      <c r="D40" s="136"/>
      <c r="G40" s="204">
        <v>13003</v>
      </c>
      <c r="H40" s="204" t="s">
        <v>326</v>
      </c>
      <c r="I40" s="204" t="str">
        <f>_xlfn.XLOOKUP(H40,Dropdown!B:B,Dropdown!C:C)</f>
        <v>עסק</v>
      </c>
      <c r="J40" s="204" t="s">
        <v>400</v>
      </c>
      <c r="N40" s="275"/>
    </row>
    <row r="41" spans="1:49">
      <c r="A41" s="204" t="s">
        <v>175</v>
      </c>
      <c r="B41" s="268"/>
      <c r="C41" s="221" t="s">
        <v>449</v>
      </c>
      <c r="D41" s="212"/>
      <c r="G41" s="204">
        <v>6054</v>
      </c>
      <c r="H41" s="204" t="s">
        <v>327</v>
      </c>
      <c r="I41" s="204" t="str">
        <f>_xlfn.XLOOKUP(H41,Dropdown!B:B,Dropdown!C:C)</f>
        <v>עסק</v>
      </c>
      <c r="J41" s="204" t="s">
        <v>400</v>
      </c>
      <c r="N41" s="275"/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21174.11</v>
      </c>
      <c r="G42" s="204">
        <v>4794</v>
      </c>
      <c r="H42" s="204" t="s">
        <v>329</v>
      </c>
      <c r="I42" s="204" t="str">
        <f>_xlfn.XLOOKUP(H42,Dropdown!B:B,Dropdown!C:C)</f>
        <v>עסק</v>
      </c>
      <c r="J42" s="204" t="s">
        <v>400</v>
      </c>
      <c r="N42" s="275"/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16676.14</v>
      </c>
      <c r="C43" s="269" t="s">
        <v>451</v>
      </c>
      <c r="D43" s="205">
        <f ca="1">50000-C4</f>
        <v>43270.11</v>
      </c>
      <c r="G43" s="204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  <c r="N43" s="275"/>
      <c r="P43" s="204" t="s">
        <v>639</v>
      </c>
      <c r="Q43" s="352">
        <f>'1225'!Q46</f>
        <v>-29948.560000000012</v>
      </c>
      <c r="R43" s="352">
        <f>'1225'!R46</f>
        <v>652812.24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27666.049999999996</v>
      </c>
      <c r="G44" s="204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  <c r="N44" s="275"/>
      <c r="P44" s="204" t="s">
        <v>25</v>
      </c>
      <c r="Q44" s="352">
        <f ca="1">C24</f>
        <v>33089.760000000002</v>
      </c>
      <c r="R44" s="352">
        <v>0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04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  <c r="N45" s="275"/>
      <c r="P45" s="204" t="s">
        <v>49</v>
      </c>
      <c r="Q45" s="352">
        <f ca="1">C18-R45+SUMIFS((INDIRECT("'"&amp;$A$1&amp;"'!"&amp;"G:G")), (INDIRECT("'"&amp;$A$1&amp;"'!"&amp;"H:H")), R42, (INDIRECT("'"&amp;$A$1&amp;"'!"&amp;"J:J")), "ל-פ 1")+SUMIFS((INDIRECT("'"&amp;$B$1&amp;"'!"&amp;"G:G")),(INDIRECT("'"&amp;$B$1&amp;"'!"&amp;"H:H")), R42,(INDIRECT("'"&amp;$B$1&amp;"'!"&amp;"J:J")), "ל-פ 2")</f>
        <v>35672.229999999981</v>
      </c>
      <c r="R45" s="352">
        <f ca="1">SUMIFS(G:G,H:H,R42,J:J,"העברה")+SUMIFS((INDIRECT("'"&amp;$A$1&amp;"'!"&amp;"G:G")), (INDIRECT("'"&amp;$A$1&amp;"'!"&amp;"H:H")), R42, (INDIRECT("'"&amp;$A$1&amp;"'!"&amp;"J:J")), "*1*")+SUMIFS((INDIRECT("'"&amp;$B$1&amp;"'!"&amp;"G:G")),(INDIRECT("'"&amp;$B$1&amp;"'!"&amp;"H:H")), R42,(INDIRECT("'"&amp;$B$1&amp;"'!"&amp;"J:J")), "*2*")+145844.69+151512.89+202124.55</f>
        <v>554694.63</v>
      </c>
    </row>
    <row r="46" spans="1:49" ht="13.5" thickBot="1">
      <c r="B46" s="268"/>
      <c r="C46" s="272"/>
      <c r="D46" s="257">
        <f ca="1">SUM(D42:D45)</f>
        <v>92110.26999999999</v>
      </c>
      <c r="G46" s="204">
        <v>64.3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  <c r="N46" s="275"/>
      <c r="P46" s="204" t="s">
        <v>273</v>
      </c>
      <c r="Q46" s="352">
        <f ca="1">Q43+Q44-Q45</f>
        <v>-32531.029999999992</v>
      </c>
      <c r="R46" s="352">
        <f ca="1">R43+R44-R45</f>
        <v>98117.609999999986</v>
      </c>
    </row>
    <row r="47" spans="1:49">
      <c r="D47" s="136"/>
      <c r="G47" s="204">
        <v>67</v>
      </c>
      <c r="H47" s="204" t="s">
        <v>406</v>
      </c>
      <c r="I47" s="204" t="str">
        <f>_xlfn.XLOOKUP(H47,Dropdown!B:B,Dropdown!C:C)</f>
        <v>מזון וקניות</v>
      </c>
      <c r="J47" s="204" t="s">
        <v>166</v>
      </c>
      <c r="M47" t="s">
        <v>577</v>
      </c>
      <c r="N47" s="275"/>
    </row>
    <row r="48" spans="1:49">
      <c r="D48" s="136"/>
      <c r="G48" s="204">
        <v>600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409</v>
      </c>
      <c r="N48" s="275"/>
    </row>
    <row r="49" spans="4:14">
      <c r="D49" s="136"/>
      <c r="G49" s="204">
        <v>700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383</v>
      </c>
      <c r="N49" s="275"/>
    </row>
    <row r="50" spans="4:14">
      <c r="D50" s="136"/>
      <c r="G50" s="204">
        <v>450</v>
      </c>
      <c r="H50" s="204" t="s">
        <v>111</v>
      </c>
      <c r="I50" s="204" t="str">
        <f>_xlfn.XLOOKUP(H50,Dropdown!B:B,Dropdown!C:C)</f>
        <v>ילדים וחינוך</v>
      </c>
      <c r="J50" s="204" t="s">
        <v>166</v>
      </c>
      <c r="M50" s="275" t="s">
        <v>382</v>
      </c>
      <c r="N50" s="275"/>
    </row>
    <row r="51" spans="4:14">
      <c r="D51" s="136"/>
      <c r="G51" s="204">
        <f>390+45</f>
        <v>435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410</v>
      </c>
      <c r="N51" s="275"/>
    </row>
    <row r="52" spans="4:14" ht="13.5" thickBot="1">
      <c r="D52" s="136"/>
      <c r="G52" s="204">
        <v>280</v>
      </c>
      <c r="H52" s="204" t="s">
        <v>111</v>
      </c>
      <c r="I52" s="204" t="str">
        <f>_xlfn.XLOOKUP(H52,Dropdown!B:B,Dropdown!C:C)</f>
        <v>ילדים וחינוך</v>
      </c>
      <c r="J52" s="204" t="s">
        <v>165</v>
      </c>
      <c r="M52" s="275" t="s">
        <v>411</v>
      </c>
      <c r="N52" s="275"/>
    </row>
    <row r="53" spans="4:14">
      <c r="D53" s="136"/>
      <c r="F53" s="219" t="s">
        <v>404</v>
      </c>
      <c r="G53" s="225"/>
      <c r="H53" s="225"/>
      <c r="I53" s="225"/>
      <c r="J53" s="225"/>
      <c r="K53" s="225"/>
      <c r="L53" s="225"/>
      <c r="M53" s="274"/>
      <c r="N53" s="274"/>
    </row>
    <row r="54" spans="4:14">
      <c r="G54" s="204">
        <v>587.72</v>
      </c>
      <c r="H54" s="204" t="s">
        <v>111</v>
      </c>
      <c r="I54" s="204" t="str">
        <f>_xlfn.XLOOKUP(H54,Dropdown!B:B,Dropdown!C:C)</f>
        <v>ילדים וחינוך</v>
      </c>
      <c r="J54" s="204" t="s">
        <v>165</v>
      </c>
      <c r="K54" s="227">
        <v>6</v>
      </c>
      <c r="M54" s="275" t="s">
        <v>412</v>
      </c>
      <c r="N54" s="275"/>
    </row>
    <row r="55" spans="4:14">
      <c r="G55" s="204">
        <v>2000</v>
      </c>
      <c r="H55" s="204" t="s">
        <v>374</v>
      </c>
      <c r="I55" s="204" t="str">
        <f>_xlfn.XLOOKUP(H55,Dropdown!B:B,Dropdown!C:C)</f>
        <v>תחזוקת דירה ותקשורת</v>
      </c>
      <c r="J55" s="204" t="s">
        <v>399</v>
      </c>
      <c r="K55" s="227">
        <v>3</v>
      </c>
      <c r="L55" s="253" t="s">
        <v>553</v>
      </c>
      <c r="M55" s="275" t="s">
        <v>569</v>
      </c>
    </row>
    <row r="56" spans="4:14">
      <c r="G56" s="204">
        <v>720</v>
      </c>
      <c r="H56" s="204" t="s">
        <v>134</v>
      </c>
      <c r="I56" s="204" t="str">
        <f>_xlfn.XLOOKUP(H56,[2]Dropdown!B:B,[2]Dropdown!C:C)</f>
        <v>ביטוחים ופיננסים</v>
      </c>
      <c r="J56" s="204" t="s">
        <v>400</v>
      </c>
      <c r="K56" s="227">
        <v>1</v>
      </c>
      <c r="L56" s="253" t="s">
        <v>489</v>
      </c>
      <c r="M56" s="275" t="s">
        <v>490</v>
      </c>
      <c r="N56" s="275"/>
    </row>
    <row r="57" spans="4:14">
      <c r="G57" s="204">
        <v>1138.8</v>
      </c>
      <c r="H57" s="204" t="s">
        <v>279</v>
      </c>
      <c r="I57" s="204" t="str">
        <f>_xlfn.XLOOKUP(H57,Dropdown!B:B,Dropdown!C:C)</f>
        <v>מזון וקניות</v>
      </c>
      <c r="J57" s="204" t="s">
        <v>166</v>
      </c>
      <c r="K57" s="227">
        <v>2</v>
      </c>
      <c r="L57" s="253" t="s">
        <v>442</v>
      </c>
      <c r="M57" s="275" t="s">
        <v>443</v>
      </c>
      <c r="N57" s="275"/>
    </row>
    <row r="58" spans="4:14">
      <c r="G58" s="204">
        <v>567</v>
      </c>
      <c r="H58" s="204" t="s">
        <v>279</v>
      </c>
      <c r="I58" s="204" t="str">
        <f>_xlfn.XLOOKUP(H58,Dropdown!B:B,Dropdown!C:C)</f>
        <v>מזון וקניות</v>
      </c>
      <c r="J58" s="204" t="s">
        <v>166</v>
      </c>
      <c r="K58" s="227">
        <v>0</v>
      </c>
      <c r="L58" s="253" t="s">
        <v>418</v>
      </c>
      <c r="M58" s="275" t="s">
        <v>434</v>
      </c>
      <c r="N58" s="275"/>
    </row>
    <row r="59" spans="4:14">
      <c r="G59" s="204">
        <v>616.33000000000004</v>
      </c>
      <c r="H59" s="204" t="s">
        <v>279</v>
      </c>
      <c r="I59" s="204" t="str">
        <f>_xlfn.XLOOKUP(H59,Dropdown!B:B,Dropdown!C:C)</f>
        <v>מזון וקניות</v>
      </c>
      <c r="J59" s="204" t="s">
        <v>166</v>
      </c>
      <c r="K59" s="227">
        <v>0</v>
      </c>
      <c r="L59" s="253" t="s">
        <v>445</v>
      </c>
      <c r="M59" s="275" t="s">
        <v>444</v>
      </c>
      <c r="N59" s="275"/>
    </row>
    <row r="60" spans="4:14">
      <c r="G60" s="204">
        <v>2280.96</v>
      </c>
      <c r="H60" s="204" t="s">
        <v>329</v>
      </c>
      <c r="I60" s="204" t="str">
        <f>_xlfn.XLOOKUP(H60,Dropdown!B:B,Dropdown!C:C)</f>
        <v>עסק</v>
      </c>
      <c r="J60" s="204" t="s">
        <v>400</v>
      </c>
      <c r="K60" s="227">
        <v>2</v>
      </c>
      <c r="L60" s="253" t="s">
        <v>508</v>
      </c>
      <c r="N60" s="275"/>
    </row>
    <row r="61" spans="4:14">
      <c r="G61" s="250">
        <v>749</v>
      </c>
      <c r="H61" s="204" t="s">
        <v>332</v>
      </c>
      <c r="I61" s="204" t="str">
        <f>_xlfn.XLOOKUP(H61,Dropdown!B:B,Dropdown!C:C)</f>
        <v>עסק</v>
      </c>
      <c r="J61" s="204" t="s">
        <v>400</v>
      </c>
      <c r="M61" s="228" t="s">
        <v>448</v>
      </c>
      <c r="N61" s="275"/>
    </row>
    <row r="62" spans="4:14">
      <c r="G62" s="204">
        <v>3163</v>
      </c>
      <c r="H62" s="204" t="s">
        <v>374</v>
      </c>
      <c r="I62" s="204" t="str">
        <f>_xlfn.XLOOKUP(H62,[2]Dropdown!B:B,[2]Dropdown!C:C)</f>
        <v>תחזוקת דירה ותקשורת</v>
      </c>
      <c r="J62" s="204" t="s">
        <v>166</v>
      </c>
      <c r="K62" s="227">
        <v>1</v>
      </c>
      <c r="L62" s="253" t="s">
        <v>519</v>
      </c>
      <c r="M62" s="275" t="s">
        <v>520</v>
      </c>
    </row>
    <row r="63" spans="4:14">
      <c r="G63" s="204">
        <v>1602</v>
      </c>
      <c r="H63" s="204" t="s">
        <v>374</v>
      </c>
      <c r="I63" s="204" t="str">
        <f>_xlfn.XLOOKUP(H63,[2]Dropdown!B:B,[2]Dropdown!C:C)</f>
        <v>תחזוקת דירה ותקשורת</v>
      </c>
      <c r="J63" s="204" t="s">
        <v>166</v>
      </c>
      <c r="K63" s="227">
        <v>1</v>
      </c>
      <c r="L63" s="253" t="s">
        <v>519</v>
      </c>
      <c r="M63" s="275" t="s">
        <v>521</v>
      </c>
    </row>
    <row r="64" spans="4:14">
      <c r="G64" s="204">
        <v>2360</v>
      </c>
      <c r="H64" s="204" t="s">
        <v>374</v>
      </c>
      <c r="I64" s="204" t="str">
        <f>_xlfn.XLOOKUP(H64,[2]Dropdown!B:B,[2]Dropdown!C:C)</f>
        <v>תחזוקת דירה ותקשורת</v>
      </c>
      <c r="J64" s="204" t="s">
        <v>400</v>
      </c>
      <c r="K64" s="227">
        <v>1</v>
      </c>
      <c r="L64" s="253" t="s">
        <v>415</v>
      </c>
      <c r="M64" s="275" t="s">
        <v>435</v>
      </c>
    </row>
    <row r="65" spans="1:14">
      <c r="A65" s="204" t="s">
        <v>214</v>
      </c>
      <c r="B65" s="204" t="s">
        <v>204</v>
      </c>
      <c r="C65" s="204" t="s">
        <v>181</v>
      </c>
      <c r="D65" s="204" t="s">
        <v>182</v>
      </c>
      <c r="E65" s="204" t="s">
        <v>238</v>
      </c>
      <c r="G65" s="250">
        <v>1012.33</v>
      </c>
      <c r="H65" s="204" t="s">
        <v>134</v>
      </c>
      <c r="I65" s="204" t="str">
        <f>_xlfn.XLOOKUP(H65,[2]Dropdown!B:B,[2]Dropdown!C:C)</f>
        <v>ביטוחים ופיננסים</v>
      </c>
      <c r="J65" s="204" t="s">
        <v>400</v>
      </c>
      <c r="K65" s="227">
        <v>1</v>
      </c>
      <c r="L65" s="253" t="s">
        <v>522</v>
      </c>
      <c r="M65" s="275" t="s">
        <v>570</v>
      </c>
      <c r="N65" s="275"/>
    </row>
    <row r="66" spans="1:14" ht="13.5" thickBot="1">
      <c r="A66" s="227" t="s">
        <v>426</v>
      </c>
      <c r="B66" s="251">
        <f>SUMIF(I:I,A66,G:G)-SUMIF(H:H,"הוצאות על הבנייה",G:G)</f>
        <v>62767.64</v>
      </c>
      <c r="C66" s="204">
        <f>'ממוצע ורצוי'!$N$22</f>
        <v>12822</v>
      </c>
      <c r="D66" s="204">
        <f>IF(C66-B66&lt;0,0,C66-B66)</f>
        <v>0</v>
      </c>
      <c r="E66" s="204">
        <f>IF(C66-B66&lt;0,(C66-B66)*-1,0)</f>
        <v>49945.64</v>
      </c>
      <c r="G66" s="204">
        <v>628</v>
      </c>
      <c r="H66" s="204" t="s">
        <v>107</v>
      </c>
      <c r="I66" s="204" t="str">
        <f>_xlfn.XLOOKUP(H66,[2]Dropdown!B:B,[2]Dropdown!C:C)</f>
        <v>ילדים וחינוך</v>
      </c>
      <c r="J66" s="204" t="s">
        <v>166</v>
      </c>
      <c r="K66" s="227">
        <v>1</v>
      </c>
      <c r="L66" s="253" t="s">
        <v>522</v>
      </c>
      <c r="N66" s="275"/>
    </row>
    <row r="67" spans="1:14">
      <c r="A67" s="227" t="s">
        <v>425</v>
      </c>
      <c r="B67" s="136">
        <f t="shared" ref="B67:B72" si="13">SUMIF(I:I,A67,G:G)</f>
        <v>15613.55</v>
      </c>
      <c r="C67" s="204">
        <f>'ממוצע ורצוי'!$N$38</f>
        <v>9000</v>
      </c>
      <c r="D67" s="204">
        <f t="shared" ref="D67:D72" si="14">IF(C67-B67&lt;0,0,C67-B67)</f>
        <v>0</v>
      </c>
      <c r="E67" s="204">
        <f t="shared" ref="E67:E72" si="15">IF(C67-B67&lt;0,(C67-B67)*-1,0)</f>
        <v>6613.5499999999993</v>
      </c>
      <c r="F67" s="219" t="s">
        <v>287</v>
      </c>
      <c r="G67" s="225"/>
      <c r="H67" s="225"/>
      <c r="I67" s="225"/>
      <c r="J67" s="225"/>
      <c r="K67" s="225"/>
      <c r="L67" s="225"/>
      <c r="M67" s="274"/>
      <c r="N67" s="274"/>
    </row>
    <row r="68" spans="1:14">
      <c r="A68" s="227" t="s">
        <v>424</v>
      </c>
      <c r="B68" s="136">
        <f t="shared" si="13"/>
        <v>1980.54</v>
      </c>
      <c r="C68" s="204">
        <f>'ממוצע ורצוי'!$N$54</f>
        <v>3240</v>
      </c>
      <c r="D68" s="204">
        <f t="shared" si="14"/>
        <v>1259.46</v>
      </c>
      <c r="E68" s="204">
        <f t="shared" si="15"/>
        <v>0</v>
      </c>
      <c r="F68" s="226" t="s">
        <v>517</v>
      </c>
      <c r="G68" s="250">
        <v>20</v>
      </c>
      <c r="H68" s="204" t="s">
        <v>103</v>
      </c>
      <c r="I68" s="204" t="str">
        <f>_xlfn.XLOOKUP(H68,Dropdown!B:B,Dropdown!C:C)</f>
        <v>רכב ונסיעות</v>
      </c>
      <c r="J68" s="204" t="s">
        <v>167</v>
      </c>
      <c r="N68" s="275"/>
    </row>
    <row r="69" spans="1:14">
      <c r="A69" s="252" t="s">
        <v>423</v>
      </c>
      <c r="B69" s="136">
        <f t="shared" si="13"/>
        <v>4379.72</v>
      </c>
      <c r="C69" s="204">
        <f>'ממוצע ורצוי'!$N$71</f>
        <v>4900</v>
      </c>
      <c r="D69" s="204">
        <f t="shared" si="14"/>
        <v>520.27999999999975</v>
      </c>
      <c r="E69" s="204">
        <f t="shared" si="15"/>
        <v>0</v>
      </c>
      <c r="F69" s="226" t="s">
        <v>517</v>
      </c>
      <c r="G69" s="250">
        <v>329</v>
      </c>
      <c r="H69" s="204" t="s">
        <v>91</v>
      </c>
      <c r="I69" s="204" t="str">
        <f>_xlfn.XLOOKUP(H69,Dropdown!B:B,Dropdown!C:C)</f>
        <v>מזון וקניות</v>
      </c>
      <c r="J69" s="204" t="s">
        <v>167</v>
      </c>
      <c r="N69" s="275"/>
    </row>
    <row r="70" spans="1:14">
      <c r="A70" s="227" t="s">
        <v>422</v>
      </c>
      <c r="B70" s="136">
        <f t="shared" si="13"/>
        <v>2661.23</v>
      </c>
      <c r="C70" s="204">
        <f>'ממוצע ורצוי'!$N$88</f>
        <v>2600</v>
      </c>
      <c r="D70" s="204">
        <f t="shared" si="14"/>
        <v>0</v>
      </c>
      <c r="E70" s="204">
        <f t="shared" si="15"/>
        <v>61.230000000000018</v>
      </c>
      <c r="F70" s="226" t="s">
        <v>517</v>
      </c>
      <c r="G70" s="250">
        <v>258.57</v>
      </c>
      <c r="H70" s="204" t="s">
        <v>99</v>
      </c>
      <c r="I70" s="204" t="str">
        <f>_xlfn.XLOOKUP(H70,Dropdown!B:B,Dropdown!C:C)</f>
        <v>רכב ונסיעות</v>
      </c>
      <c r="J70" s="204" t="s">
        <v>167</v>
      </c>
      <c r="N70" s="275"/>
    </row>
    <row r="71" spans="1:14">
      <c r="A71" s="227" t="s">
        <v>421</v>
      </c>
      <c r="B71" s="136">
        <f t="shared" si="13"/>
        <v>1703.29</v>
      </c>
      <c r="C71" s="204">
        <f>'ממוצע ורצוי'!$N$98</f>
        <v>980</v>
      </c>
      <c r="D71" s="204">
        <f t="shared" si="14"/>
        <v>0</v>
      </c>
      <c r="E71" s="204">
        <f t="shared" si="15"/>
        <v>723.29</v>
      </c>
      <c r="F71" s="226" t="s">
        <v>517</v>
      </c>
      <c r="G71" s="250">
        <v>27.5</v>
      </c>
      <c r="H71" s="204" t="s">
        <v>91</v>
      </c>
      <c r="I71" s="204" t="str">
        <f>_xlfn.XLOOKUP(H71,Dropdown!B:B,Dropdown!C:C)</f>
        <v>מזון וקניות</v>
      </c>
      <c r="J71" s="204" t="s">
        <v>167</v>
      </c>
      <c r="N71" s="275"/>
    </row>
    <row r="72" spans="1:14">
      <c r="A72" s="227" t="s">
        <v>420</v>
      </c>
      <c r="B72" s="136">
        <f t="shared" ca="1" si="13"/>
        <v>3039.9100000000003</v>
      </c>
      <c r="C72" s="204">
        <f>'ממוצע ורצוי'!$N$111</f>
        <v>1330</v>
      </c>
      <c r="D72" s="204">
        <f t="shared" ca="1" si="14"/>
        <v>0</v>
      </c>
      <c r="E72" s="204">
        <f t="shared" ca="1" si="15"/>
        <v>1709.9100000000003</v>
      </c>
      <c r="F72" s="226" t="s">
        <v>517</v>
      </c>
      <c r="G72" s="250">
        <v>25</v>
      </c>
      <c r="H72" s="204" t="s">
        <v>91</v>
      </c>
      <c r="I72" s="204" t="str">
        <f>_xlfn.XLOOKUP(H72,Dropdown!B:B,Dropdown!C:C)</f>
        <v>מזון וקניות</v>
      </c>
      <c r="J72" s="204" t="s">
        <v>167</v>
      </c>
      <c r="N72" s="275"/>
    </row>
    <row r="73" spans="1:14">
      <c r="A73" s="227"/>
      <c r="B73" s="136"/>
      <c r="F73" s="226" t="s">
        <v>518</v>
      </c>
      <c r="G73" s="250">
        <v>159</v>
      </c>
      <c r="H73" s="204" t="s">
        <v>121</v>
      </c>
      <c r="I73" s="204" t="str">
        <f>_xlfn.XLOOKUP(H73,Dropdown!B:B,Dropdown!C:C)</f>
        <v>תרבות ופנאי</v>
      </c>
      <c r="J73" s="204" t="s">
        <v>165</v>
      </c>
      <c r="N73" s="275"/>
    </row>
    <row r="74" spans="1:14">
      <c r="F74" s="226" t="s">
        <v>518</v>
      </c>
      <c r="G74" s="250">
        <v>50</v>
      </c>
      <c r="H74" s="204" t="s">
        <v>121</v>
      </c>
      <c r="I74" s="204" t="str">
        <f>_xlfn.XLOOKUP(H74,Dropdown!B:B,Dropdown!C:C)</f>
        <v>תרבות ופנאי</v>
      </c>
      <c r="J74" s="204" t="s">
        <v>165</v>
      </c>
      <c r="N74" s="275"/>
    </row>
    <row r="75" spans="1:14">
      <c r="F75" s="226" t="s">
        <v>518</v>
      </c>
      <c r="G75" s="250">
        <v>64.599999999999994</v>
      </c>
      <c r="H75" s="204" t="s">
        <v>121</v>
      </c>
      <c r="I75" s="204" t="str">
        <f>_xlfn.XLOOKUP(H75,Dropdown!B:B,Dropdown!C:C)</f>
        <v>תרבות ופנאי</v>
      </c>
      <c r="J75" s="204" t="s">
        <v>165</v>
      </c>
      <c r="N75" s="275"/>
    </row>
    <row r="76" spans="1:14">
      <c r="F76" s="226" t="s">
        <v>518</v>
      </c>
      <c r="G76" s="250">
        <v>54.8</v>
      </c>
      <c r="H76" s="204" t="s">
        <v>121</v>
      </c>
      <c r="I76" s="204" t="str">
        <f>_xlfn.XLOOKUP(H76,Dropdown!B:B,Dropdown!C:C)</f>
        <v>תרבות ופנאי</v>
      </c>
      <c r="J76" s="204" t="s">
        <v>165</v>
      </c>
      <c r="N76" s="275"/>
    </row>
    <row r="77" spans="1:14">
      <c r="F77" s="226" t="s">
        <v>518</v>
      </c>
      <c r="G77" s="250">
        <v>151</v>
      </c>
      <c r="H77" s="204" t="s">
        <v>121</v>
      </c>
      <c r="I77" s="204" t="str">
        <f>_xlfn.XLOOKUP(H77,Dropdown!B:B,Dropdown!C:C)</f>
        <v>תרבות ופנאי</v>
      </c>
      <c r="J77" s="204" t="s">
        <v>165</v>
      </c>
      <c r="N77" s="275"/>
    </row>
    <row r="78" spans="1:14">
      <c r="F78" s="226" t="s">
        <v>518</v>
      </c>
      <c r="G78" s="250">
        <v>24.5</v>
      </c>
      <c r="H78" s="204" t="s">
        <v>276</v>
      </c>
      <c r="I78" s="204" t="str">
        <f>_xlfn.XLOOKUP(H78,Dropdown!B:B,Dropdown!C:C)</f>
        <v>תרבות ופנאי</v>
      </c>
      <c r="J78" s="204" t="s">
        <v>165</v>
      </c>
      <c r="N78" s="275"/>
    </row>
    <row r="79" spans="1:14">
      <c r="F79" s="226" t="s">
        <v>518</v>
      </c>
      <c r="G79" s="250">
        <v>161.71</v>
      </c>
      <c r="H79" s="204" t="s">
        <v>91</v>
      </c>
      <c r="I79" s="204" t="str">
        <f>_xlfn.XLOOKUP(H79,Dropdown!B:B,Dropdown!C:C)</f>
        <v>מזון וקניות</v>
      </c>
      <c r="J79" s="204" t="s">
        <v>165</v>
      </c>
      <c r="N79" s="275"/>
    </row>
    <row r="80" spans="1:14">
      <c r="F80" s="226" t="s">
        <v>518</v>
      </c>
      <c r="G80" s="250">
        <v>59</v>
      </c>
      <c r="H80" s="204" t="s">
        <v>91</v>
      </c>
      <c r="I80" s="204" t="str">
        <f>_xlfn.XLOOKUP(H80,Dropdown!B:B,Dropdown!C:C)</f>
        <v>מזון וקניות</v>
      </c>
      <c r="J80" s="204" t="s">
        <v>165</v>
      </c>
      <c r="N80" s="275"/>
    </row>
    <row r="81" spans="6:14">
      <c r="F81" s="226" t="s">
        <v>518</v>
      </c>
      <c r="G81" s="250">
        <v>102.22</v>
      </c>
      <c r="H81" s="204" t="s">
        <v>91</v>
      </c>
      <c r="I81" s="204" t="str">
        <f>_xlfn.XLOOKUP(H81,Dropdown!B:B,Dropdown!C:C)</f>
        <v>מזון וקניות</v>
      </c>
      <c r="J81" s="204" t="s">
        <v>165</v>
      </c>
      <c r="N81" s="275"/>
    </row>
    <row r="82" spans="6:14">
      <c r="F82" s="226" t="s">
        <v>518</v>
      </c>
      <c r="G82" s="250">
        <v>150</v>
      </c>
      <c r="H82" s="204" t="s">
        <v>109</v>
      </c>
      <c r="I82" s="204" t="str">
        <f>_xlfn.XLOOKUP(H82,Dropdown!B:B,Dropdown!C:C)</f>
        <v>ילדים וחינוך</v>
      </c>
      <c r="J82" s="204" t="s">
        <v>165</v>
      </c>
      <c r="N82" s="275"/>
    </row>
    <row r="83" spans="6:14">
      <c r="F83" s="226" t="s">
        <v>518</v>
      </c>
      <c r="G83" s="250">
        <v>394.23</v>
      </c>
      <c r="H83" s="204" t="s">
        <v>91</v>
      </c>
      <c r="I83" s="204" t="str">
        <f>_xlfn.XLOOKUP(H83,Dropdown!B:B,Dropdown!C:C)</f>
        <v>מזון וקניות</v>
      </c>
      <c r="J83" s="204" t="s">
        <v>169</v>
      </c>
      <c r="N83" s="275"/>
    </row>
    <row r="84" spans="6:14">
      <c r="F84" s="226" t="s">
        <v>518</v>
      </c>
      <c r="G84" s="250">
        <v>-105</v>
      </c>
      <c r="H84" s="204" t="s">
        <v>121</v>
      </c>
      <c r="I84" s="204" t="str">
        <f>_xlfn.XLOOKUP(H84,Dropdown!B:B,Dropdown!C:C)</f>
        <v>תרבות ופנאי</v>
      </c>
      <c r="J84" s="204" t="s">
        <v>165</v>
      </c>
      <c r="N84" s="275"/>
    </row>
    <row r="85" spans="6:14">
      <c r="F85" s="226" t="s">
        <v>518</v>
      </c>
      <c r="G85" s="250">
        <v>-54</v>
      </c>
      <c r="H85" s="204" t="s">
        <v>121</v>
      </c>
      <c r="I85" s="204" t="str">
        <f>_xlfn.XLOOKUP(H85,Dropdown!B:B,Dropdown!C:C)</f>
        <v>תרבות ופנאי</v>
      </c>
      <c r="J85" s="204" t="s">
        <v>165</v>
      </c>
      <c r="N85" s="275"/>
    </row>
    <row r="86" spans="6:14">
      <c r="F86" s="226" t="s">
        <v>544</v>
      </c>
      <c r="G86" s="250">
        <v>200</v>
      </c>
      <c r="H86" s="204" t="s">
        <v>96</v>
      </c>
      <c r="I86" s="204" t="str">
        <f>_xlfn.XLOOKUP(H86,Dropdown!B:B,Dropdown!C:C)</f>
        <v>מזון וקניות</v>
      </c>
      <c r="J86" s="204" t="s">
        <v>165</v>
      </c>
      <c r="N86" s="275"/>
    </row>
    <row r="87" spans="6:14">
      <c r="F87" s="226" t="s">
        <v>545</v>
      </c>
      <c r="G87" s="250">
        <v>419.9</v>
      </c>
      <c r="H87" s="204" t="s">
        <v>91</v>
      </c>
      <c r="I87" s="204" t="str">
        <f>_xlfn.XLOOKUP(H87,Dropdown!B:B,Dropdown!C:C)</f>
        <v>מזון וקניות</v>
      </c>
      <c r="J87" s="204" t="s">
        <v>165</v>
      </c>
      <c r="N87" s="275"/>
    </row>
    <row r="88" spans="6:14">
      <c r="F88" s="226" t="s">
        <v>545</v>
      </c>
      <c r="G88" s="250">
        <v>120</v>
      </c>
      <c r="H88" s="204" t="s">
        <v>103</v>
      </c>
      <c r="I88" s="204" t="str">
        <f>_xlfn.XLOOKUP(H88,Dropdown!B:B,Dropdown!C:C)</f>
        <v>רכב ונסיעות</v>
      </c>
      <c r="J88" s="204" t="s">
        <v>167</v>
      </c>
      <c r="N88" s="275"/>
    </row>
    <row r="89" spans="6:14">
      <c r="F89" s="226" t="s">
        <v>545</v>
      </c>
      <c r="G89" s="250">
        <v>155.68</v>
      </c>
      <c r="H89" s="204" t="s">
        <v>99</v>
      </c>
      <c r="I89" s="204" t="str">
        <f>_xlfn.XLOOKUP(H89,Dropdown!B:B,Dropdown!C:C)</f>
        <v>רכב ונסיעות</v>
      </c>
      <c r="J89" s="204" t="s">
        <v>167</v>
      </c>
      <c r="N89" s="275"/>
    </row>
    <row r="90" spans="6:14">
      <c r="F90" s="226" t="s">
        <v>545</v>
      </c>
      <c r="G90" s="250">
        <v>450</v>
      </c>
      <c r="H90" s="204" t="s">
        <v>374</v>
      </c>
      <c r="I90" s="204" t="str">
        <f>_xlfn.XLOOKUP(H90,Dropdown!B:B,Dropdown!C:C)</f>
        <v>תחזוקת דירה ותקשורת</v>
      </c>
      <c r="J90" s="204" t="s">
        <v>167</v>
      </c>
    </row>
    <row r="91" spans="6:14">
      <c r="F91" s="226" t="s">
        <v>545</v>
      </c>
      <c r="G91" s="250">
        <v>70</v>
      </c>
      <c r="H91" s="204" t="s">
        <v>139</v>
      </c>
      <c r="I91" s="204" t="str">
        <f>_xlfn.XLOOKUP(H91,Dropdown!B:B,Dropdown!C:C)</f>
        <v>תרבות ופנאי</v>
      </c>
      <c r="J91" s="204" t="s">
        <v>167</v>
      </c>
      <c r="N91" s="275"/>
    </row>
    <row r="92" spans="6:14">
      <c r="F92" s="226" t="s">
        <v>545</v>
      </c>
      <c r="G92" s="250">
        <v>37</v>
      </c>
      <c r="H92" s="204" t="s">
        <v>276</v>
      </c>
      <c r="I92" s="204" t="str">
        <f>_xlfn.XLOOKUP(H92,Dropdown!B:B,Dropdown!C:C)</f>
        <v>תרבות ופנאי</v>
      </c>
      <c r="J92" s="204" t="s">
        <v>167</v>
      </c>
      <c r="N92" s="275"/>
    </row>
    <row r="93" spans="6:14">
      <c r="F93" s="226" t="s">
        <v>545</v>
      </c>
      <c r="G93" s="250">
        <v>13</v>
      </c>
      <c r="H93" s="204" t="s">
        <v>276</v>
      </c>
      <c r="I93" s="204" t="str">
        <f>_xlfn.XLOOKUP(H93,Dropdown!B:B,Dropdown!C:C)</f>
        <v>תרבות ופנאי</v>
      </c>
      <c r="J93" s="204" t="s">
        <v>167</v>
      </c>
      <c r="N93" s="275"/>
    </row>
    <row r="94" spans="6:14">
      <c r="F94" s="226" t="s">
        <v>545</v>
      </c>
      <c r="G94" s="250">
        <v>27</v>
      </c>
      <c r="H94" s="204" t="s">
        <v>276</v>
      </c>
      <c r="I94" s="204" t="str">
        <f>_xlfn.XLOOKUP(H94,Dropdown!B:B,Dropdown!C:C)</f>
        <v>תרבות ופנאי</v>
      </c>
      <c r="J94" s="204" t="s">
        <v>167</v>
      </c>
      <c r="N94" s="275"/>
    </row>
    <row r="95" spans="6:14">
      <c r="F95" s="226" t="s">
        <v>542</v>
      </c>
      <c r="G95" s="250">
        <v>60</v>
      </c>
      <c r="H95" s="204" t="s">
        <v>19</v>
      </c>
      <c r="I95" s="204" t="str">
        <f>_xlfn.XLOOKUP(H95,Dropdown!B:B,Dropdown!C:C)</f>
        <v>ביטוחים ופיננסים</v>
      </c>
      <c r="J95" s="204" t="s">
        <v>179</v>
      </c>
      <c r="N95" s="275"/>
    </row>
    <row r="96" spans="6:14">
      <c r="F96" s="226" t="s">
        <v>542</v>
      </c>
      <c r="G96" s="250">
        <v>96.9</v>
      </c>
      <c r="H96" s="204" t="s">
        <v>276</v>
      </c>
      <c r="I96" s="204" t="str">
        <f>_xlfn.XLOOKUP(H96,Dropdown!B:B,Dropdown!C:C)</f>
        <v>תרבות ופנאי</v>
      </c>
      <c r="J96" s="204" t="s">
        <v>165</v>
      </c>
      <c r="N96" s="275"/>
    </row>
    <row r="97" spans="6:14">
      <c r="F97" s="226" t="s">
        <v>542</v>
      </c>
      <c r="G97" s="250">
        <v>304.36</v>
      </c>
      <c r="H97" s="204" t="s">
        <v>276</v>
      </c>
      <c r="I97" s="204" t="str">
        <f>_xlfn.XLOOKUP(H97,Dropdown!B:B,Dropdown!C:C)</f>
        <v>תרבות ופנאי</v>
      </c>
      <c r="J97" s="204" t="s">
        <v>165</v>
      </c>
      <c r="N97" s="275"/>
    </row>
    <row r="98" spans="6:14">
      <c r="F98" s="226" t="s">
        <v>542</v>
      </c>
      <c r="G98" s="250">
        <v>90</v>
      </c>
      <c r="H98" s="204" t="s">
        <v>126</v>
      </c>
      <c r="I98" s="204" t="str">
        <f>_xlfn.XLOOKUP(H98,Dropdown!B:B,Dropdown!C:C)</f>
        <v>בריאות וטיפולים</v>
      </c>
      <c r="J98" s="204" t="s">
        <v>165</v>
      </c>
      <c r="N98" s="275"/>
    </row>
    <row r="99" spans="6:14">
      <c r="F99" s="226" t="s">
        <v>542</v>
      </c>
      <c r="G99" s="250">
        <v>64.5</v>
      </c>
      <c r="H99" s="204" t="s">
        <v>91</v>
      </c>
      <c r="I99" s="204" t="str">
        <f>_xlfn.XLOOKUP(H99,Dropdown!B:B,Dropdown!C:C)</f>
        <v>מזון וקניות</v>
      </c>
      <c r="J99" s="204" t="s">
        <v>399</v>
      </c>
      <c r="N99" s="275"/>
    </row>
    <row r="100" spans="6:14">
      <c r="F100" s="226" t="s">
        <v>543</v>
      </c>
      <c r="G100" s="250">
        <v>185.88</v>
      </c>
      <c r="H100" s="204" t="s">
        <v>91</v>
      </c>
      <c r="I100" s="204" t="str">
        <f>_xlfn.XLOOKUP(H100,Dropdown!B:B,Dropdown!C:C)</f>
        <v>מזון וקניות</v>
      </c>
      <c r="J100" s="204" t="s">
        <v>169</v>
      </c>
      <c r="N100" s="275"/>
    </row>
    <row r="101" spans="6:14">
      <c r="F101" s="226" t="s">
        <v>543</v>
      </c>
      <c r="G101" s="250">
        <v>137.9</v>
      </c>
      <c r="H101" s="204" t="s">
        <v>96</v>
      </c>
      <c r="I101" s="204" t="str">
        <f>_xlfn.XLOOKUP(H101,Dropdown!B:B,Dropdown!C:C)</f>
        <v>מזון וקניות</v>
      </c>
      <c r="J101" s="204" t="s">
        <v>169</v>
      </c>
      <c r="N101" s="275"/>
    </row>
    <row r="102" spans="6:14">
      <c r="F102" s="226" t="s">
        <v>543</v>
      </c>
      <c r="G102" s="250">
        <v>201.22</v>
      </c>
      <c r="H102" s="204" t="s">
        <v>96</v>
      </c>
      <c r="I102" s="204" t="str">
        <f>_xlfn.XLOOKUP(H102,Dropdown!B:B,Dropdown!C:C)</f>
        <v>מזון וקניות</v>
      </c>
      <c r="J102" s="204" t="s">
        <v>169</v>
      </c>
      <c r="N102" s="275"/>
    </row>
    <row r="103" spans="6:14">
      <c r="F103" s="226" t="s">
        <v>543</v>
      </c>
      <c r="G103" s="250">
        <v>399.7</v>
      </c>
      <c r="H103" s="204" t="s">
        <v>95</v>
      </c>
      <c r="I103" s="204" t="str">
        <f>_xlfn.XLOOKUP(H103,Dropdown!B:B,Dropdown!C:C)</f>
        <v>מזון וקניות</v>
      </c>
      <c r="J103" s="204" t="s">
        <v>165</v>
      </c>
      <c r="N103" s="275"/>
    </row>
    <row r="104" spans="6:14">
      <c r="F104" s="226" t="s">
        <v>543</v>
      </c>
      <c r="G104" s="250">
        <v>13.08</v>
      </c>
      <c r="H104" s="204" t="s">
        <v>68</v>
      </c>
      <c r="I104" s="204" t="str">
        <f>_xlfn.XLOOKUP(H104,Dropdown!B:B,Dropdown!C:C)</f>
        <v>תחזוקת דירה ותקשורת</v>
      </c>
      <c r="J104" s="204" t="s">
        <v>165</v>
      </c>
      <c r="N104" s="275"/>
    </row>
    <row r="105" spans="6:14">
      <c r="F105" s="226" t="s">
        <v>543</v>
      </c>
      <c r="G105" s="250">
        <v>139.80000000000001</v>
      </c>
      <c r="H105" s="204" t="s">
        <v>95</v>
      </c>
      <c r="I105" s="204" t="str">
        <f>_xlfn.XLOOKUP(H105,Dropdown!B:B,Dropdown!C:C)</f>
        <v>מזון וקניות</v>
      </c>
      <c r="J105" s="204" t="s">
        <v>165</v>
      </c>
      <c r="N105" s="275"/>
    </row>
    <row r="106" spans="6:14">
      <c r="F106" s="226" t="s">
        <v>543</v>
      </c>
      <c r="G106" s="250">
        <v>189.7</v>
      </c>
      <c r="H106" s="204" t="s">
        <v>95</v>
      </c>
      <c r="I106" s="204" t="str">
        <f>_xlfn.XLOOKUP(H106,Dropdown!B:B,Dropdown!C:C)</f>
        <v>מזון וקניות</v>
      </c>
      <c r="J106" s="204" t="s">
        <v>165</v>
      </c>
      <c r="N106" s="275"/>
    </row>
    <row r="107" spans="6:14">
      <c r="F107" s="226" t="s">
        <v>543</v>
      </c>
      <c r="G107" s="250">
        <v>160</v>
      </c>
      <c r="H107" s="204" t="s">
        <v>276</v>
      </c>
      <c r="I107" s="204" t="str">
        <f>_xlfn.XLOOKUP(H107,Dropdown!B:B,Dropdown!C:C)</f>
        <v>תרבות ופנאי</v>
      </c>
      <c r="J107" s="204" t="s">
        <v>167</v>
      </c>
      <c r="N107" s="275"/>
    </row>
    <row r="108" spans="6:14">
      <c r="F108" s="226" t="s">
        <v>543</v>
      </c>
      <c r="G108" s="250">
        <v>350</v>
      </c>
      <c r="H108" s="204" t="s">
        <v>374</v>
      </c>
      <c r="I108" s="204" t="str">
        <f>_xlfn.XLOOKUP(H108,Dropdown!B:B,Dropdown!C:C)</f>
        <v>תחזוקת דירה ותקשורת</v>
      </c>
      <c r="J108" s="204" t="s">
        <v>167</v>
      </c>
    </row>
    <row r="109" spans="6:14">
      <c r="F109" s="226" t="s">
        <v>543</v>
      </c>
      <c r="G109" s="250">
        <v>44</v>
      </c>
      <c r="H109" s="204" t="s">
        <v>139</v>
      </c>
      <c r="I109" s="204" t="str">
        <f>_xlfn.XLOOKUP(H109,Dropdown!B:B,Dropdown!C:C)</f>
        <v>תרבות ופנאי</v>
      </c>
      <c r="J109" s="204" t="s">
        <v>167</v>
      </c>
      <c r="N109" s="275"/>
    </row>
    <row r="110" spans="6:14">
      <c r="F110" s="226" t="s">
        <v>546</v>
      </c>
      <c r="G110" s="250">
        <v>721.18</v>
      </c>
      <c r="H110" s="204" t="s">
        <v>91</v>
      </c>
      <c r="I110" s="204" t="str">
        <f>_xlfn.XLOOKUP(H110,Dropdown!B:B,Dropdown!C:C)</f>
        <v>מזון וקניות</v>
      </c>
      <c r="J110" s="204" t="s">
        <v>165</v>
      </c>
      <c r="N110" s="275"/>
    </row>
    <row r="111" spans="6:14">
      <c r="F111" s="226" t="s">
        <v>546</v>
      </c>
      <c r="G111" s="250">
        <v>50.05</v>
      </c>
      <c r="H111" s="204" t="s">
        <v>96</v>
      </c>
      <c r="I111" s="204" t="str">
        <f>_xlfn.XLOOKUP(H111,Dropdown!B:B,Dropdown!C:C)</f>
        <v>מזון וקניות</v>
      </c>
      <c r="J111" s="204" t="s">
        <v>165</v>
      </c>
      <c r="N111" s="275"/>
    </row>
    <row r="112" spans="6:14">
      <c r="F112" s="226" t="s">
        <v>546</v>
      </c>
      <c r="G112" s="250">
        <v>20</v>
      </c>
      <c r="H112" s="204" t="s">
        <v>103</v>
      </c>
      <c r="I112" s="204" t="str">
        <f>_xlfn.XLOOKUP(H112,Dropdown!B:B,Dropdown!C:C)</f>
        <v>רכב ונסיעות</v>
      </c>
      <c r="J112" s="204" t="s">
        <v>165</v>
      </c>
      <c r="N112" s="275"/>
    </row>
    <row r="113" spans="6:14">
      <c r="F113" s="226" t="s">
        <v>546</v>
      </c>
      <c r="G113" s="250">
        <v>157.74</v>
      </c>
      <c r="H113" s="204" t="s">
        <v>429</v>
      </c>
      <c r="I113" s="204" t="str">
        <f>_xlfn.XLOOKUP(H113,Dropdown!B:B,Dropdown!C:C)</f>
        <v>בריאות וטיפולים</v>
      </c>
      <c r="J113" s="204" t="s">
        <v>165</v>
      </c>
      <c r="N113" s="275"/>
    </row>
    <row r="114" spans="6:14">
      <c r="F114" s="226" t="s">
        <v>546</v>
      </c>
      <c r="G114" s="250">
        <v>80</v>
      </c>
      <c r="H114" s="204" t="s">
        <v>93</v>
      </c>
      <c r="I114" s="204" t="str">
        <f>_xlfn.XLOOKUP(H114,Dropdown!B:B,Dropdown!C:C)</f>
        <v>מזון וקניות</v>
      </c>
      <c r="J114" s="204" t="s">
        <v>167</v>
      </c>
      <c r="N114" s="275"/>
    </row>
    <row r="115" spans="6:14">
      <c r="F115" s="226" t="s">
        <v>546</v>
      </c>
      <c r="G115" s="250">
        <v>31.5</v>
      </c>
      <c r="H115" s="204" t="s">
        <v>91</v>
      </c>
      <c r="I115" s="204" t="str">
        <f>_xlfn.XLOOKUP(H115,Dropdown!B:B,Dropdown!C:C)</f>
        <v>מזון וקניות</v>
      </c>
      <c r="J115" s="204" t="s">
        <v>167</v>
      </c>
      <c r="N115" s="275"/>
    </row>
    <row r="116" spans="6:14">
      <c r="F116" s="226" t="s">
        <v>547</v>
      </c>
      <c r="G116" s="250">
        <v>211.7</v>
      </c>
      <c r="H116" s="204" t="s">
        <v>91</v>
      </c>
      <c r="I116" s="204" t="str">
        <f>_xlfn.XLOOKUP(H116,Dropdown!B:B,Dropdown!C:C)</f>
        <v>מזון וקניות</v>
      </c>
      <c r="J116" s="204" t="s">
        <v>166</v>
      </c>
      <c r="N116" s="275"/>
    </row>
    <row r="117" spans="6:14">
      <c r="F117" s="226" t="s">
        <v>547</v>
      </c>
      <c r="G117" s="250">
        <v>204.9</v>
      </c>
      <c r="H117" s="204" t="s">
        <v>91</v>
      </c>
      <c r="I117" s="204" t="str">
        <f>_xlfn.XLOOKUP(H117,Dropdown!B:B,Dropdown!C:C)</f>
        <v>מזון וקניות</v>
      </c>
      <c r="J117" s="204" t="s">
        <v>166</v>
      </c>
      <c r="N117" s="275"/>
    </row>
    <row r="118" spans="6:14">
      <c r="F118" s="226" t="s">
        <v>547</v>
      </c>
      <c r="G118" s="250">
        <v>108.5</v>
      </c>
      <c r="H118" s="204" t="s">
        <v>91</v>
      </c>
      <c r="I118" s="204" t="str">
        <f>_xlfn.XLOOKUP(H118,Dropdown!B:B,Dropdown!C:C)</f>
        <v>מזון וקניות</v>
      </c>
      <c r="J118" s="204" t="s">
        <v>166</v>
      </c>
      <c r="N118" s="275"/>
    </row>
    <row r="119" spans="6:14">
      <c r="F119" s="226" t="s">
        <v>547</v>
      </c>
      <c r="G119" s="250">
        <v>266.26</v>
      </c>
      <c r="H119" s="204" t="s">
        <v>96</v>
      </c>
      <c r="I119" s="204" t="str">
        <f>_xlfn.XLOOKUP(H119,Dropdown!B:B,Dropdown!C:C)</f>
        <v>מזון וקניות</v>
      </c>
      <c r="J119" s="204" t="s">
        <v>169</v>
      </c>
      <c r="N119" s="275"/>
    </row>
    <row r="120" spans="6:14">
      <c r="F120" s="226" t="s">
        <v>547</v>
      </c>
      <c r="G120" s="250">
        <v>149.12</v>
      </c>
      <c r="H120" s="204" t="s">
        <v>96</v>
      </c>
      <c r="I120" s="204" t="str">
        <f>_xlfn.XLOOKUP(H120,Dropdown!B:B,Dropdown!C:C)</f>
        <v>מזון וקניות</v>
      </c>
      <c r="J120" s="204" t="s">
        <v>169</v>
      </c>
      <c r="N120" s="275"/>
    </row>
    <row r="121" spans="6:14">
      <c r="F121" s="226" t="s">
        <v>547</v>
      </c>
      <c r="G121" s="250">
        <v>350</v>
      </c>
      <c r="H121" s="204" t="s">
        <v>93</v>
      </c>
      <c r="I121" s="204" t="str">
        <f>_xlfn.XLOOKUP(H121,Dropdown!B:B,Dropdown!C:C)</f>
        <v>מזון וקניות</v>
      </c>
      <c r="J121" s="204" t="s">
        <v>399</v>
      </c>
      <c r="N121" s="275"/>
    </row>
    <row r="122" spans="6:14">
      <c r="F122" s="226" t="s">
        <v>547</v>
      </c>
      <c r="G122" s="250">
        <v>440.3</v>
      </c>
      <c r="H122" s="204" t="s">
        <v>91</v>
      </c>
      <c r="I122" s="204" t="str">
        <f>_xlfn.XLOOKUP(H122,Dropdown!B:B,Dropdown!C:C)</f>
        <v>מזון וקניות</v>
      </c>
      <c r="J122" s="204" t="s">
        <v>399</v>
      </c>
      <c r="N122" s="275"/>
    </row>
    <row r="123" spans="6:14">
      <c r="F123" s="226" t="s">
        <v>548</v>
      </c>
      <c r="G123" s="250">
        <v>49</v>
      </c>
      <c r="H123" s="204" t="s">
        <v>276</v>
      </c>
      <c r="I123" s="204" t="str">
        <f>_xlfn.XLOOKUP(H123,Dropdown!B:B,Dropdown!C:C)</f>
        <v>תרבות ופנאי</v>
      </c>
      <c r="J123" s="204" t="s">
        <v>166</v>
      </c>
      <c r="N123" s="275"/>
    </row>
    <row r="124" spans="6:14">
      <c r="F124" s="226" t="s">
        <v>548</v>
      </c>
      <c r="G124" s="250">
        <v>115</v>
      </c>
      <c r="H124" s="204" t="s">
        <v>276</v>
      </c>
      <c r="I124" s="204" t="str">
        <f>_xlfn.XLOOKUP(H124,Dropdown!B:B,Dropdown!C:C)</f>
        <v>תרבות ופנאי</v>
      </c>
      <c r="J124" s="204" t="s">
        <v>166</v>
      </c>
      <c r="N124" s="275"/>
    </row>
    <row r="125" spans="6:14">
      <c r="F125" s="226" t="s">
        <v>548</v>
      </c>
      <c r="G125" s="250">
        <v>309</v>
      </c>
      <c r="H125" s="204" t="s">
        <v>95</v>
      </c>
      <c r="I125" s="204" t="str">
        <f>_xlfn.XLOOKUP(H125,Dropdown!B:B,Dropdown!C:C)</f>
        <v>מזון וקניות</v>
      </c>
      <c r="J125" s="204" t="s">
        <v>168</v>
      </c>
      <c r="N125" s="275"/>
    </row>
    <row r="126" spans="6:14">
      <c r="F126" s="226" t="s">
        <v>548</v>
      </c>
      <c r="G126" s="250">
        <v>25</v>
      </c>
      <c r="H126" s="204" t="s">
        <v>276</v>
      </c>
      <c r="I126" s="204" t="str">
        <f>_xlfn.XLOOKUP(H126,Dropdown!B:B,Dropdown!C:C)</f>
        <v>תרבות ופנאי</v>
      </c>
      <c r="J126" s="204" t="s">
        <v>168</v>
      </c>
      <c r="N126" s="275"/>
    </row>
    <row r="127" spans="6:14">
      <c r="F127" s="226" t="s">
        <v>548</v>
      </c>
      <c r="G127" s="250">
        <v>300</v>
      </c>
      <c r="H127" s="204" t="s">
        <v>95</v>
      </c>
      <c r="I127" s="204" t="str">
        <f>_xlfn.XLOOKUP(H127,Dropdown!B:B,Dropdown!C:C)</f>
        <v>מזון וקניות</v>
      </c>
      <c r="J127" s="204" t="s">
        <v>168</v>
      </c>
      <c r="N127" s="275"/>
    </row>
    <row r="128" spans="6:14">
      <c r="F128" s="226" t="s">
        <v>548</v>
      </c>
      <c r="G128" s="250">
        <v>244.39</v>
      </c>
      <c r="H128" s="204" t="s">
        <v>99</v>
      </c>
      <c r="I128" s="204" t="str">
        <f>_xlfn.XLOOKUP(H128,Dropdown!B:B,Dropdown!C:C)</f>
        <v>רכב ונסיעות</v>
      </c>
      <c r="J128" s="204" t="s">
        <v>400</v>
      </c>
      <c r="N128" s="275"/>
    </row>
    <row r="129" spans="6:14">
      <c r="F129" s="226" t="s">
        <v>548</v>
      </c>
      <c r="G129" s="250">
        <v>30</v>
      </c>
      <c r="H129" s="204" t="s">
        <v>103</v>
      </c>
      <c r="I129" s="204" t="str">
        <f>_xlfn.XLOOKUP(H129,Dropdown!B:B,Dropdown!C:C)</f>
        <v>רכב ונסיעות</v>
      </c>
      <c r="J129" s="204" t="s">
        <v>166</v>
      </c>
      <c r="N129" s="275"/>
    </row>
    <row r="130" spans="6:14">
      <c r="F130" s="226" t="s">
        <v>548</v>
      </c>
      <c r="G130" s="250">
        <v>-399.7</v>
      </c>
      <c r="H130" s="204" t="s">
        <v>95</v>
      </c>
      <c r="I130" s="204" t="str">
        <f>_xlfn.XLOOKUP(H130,Dropdown!B:B,Dropdown!C:C)</f>
        <v>מזון וקניות</v>
      </c>
      <c r="J130" s="204" t="s">
        <v>166</v>
      </c>
      <c r="N130" s="275"/>
    </row>
    <row r="131" spans="6:14">
      <c r="F131" s="226" t="s">
        <v>554</v>
      </c>
      <c r="G131" s="250">
        <v>332.91</v>
      </c>
      <c r="H131" s="204" t="s">
        <v>91</v>
      </c>
      <c r="I131" s="204" t="str">
        <f>_xlfn.XLOOKUP(H131,Dropdown!B:B,Dropdown!C:C)</f>
        <v>מזון וקניות</v>
      </c>
      <c r="J131" s="204" t="s">
        <v>166</v>
      </c>
      <c r="N131" s="275"/>
    </row>
    <row r="132" spans="6:14">
      <c r="F132" s="226" t="s">
        <v>552</v>
      </c>
      <c r="G132" s="250">
        <v>30</v>
      </c>
      <c r="H132" s="204" t="s">
        <v>139</v>
      </c>
      <c r="I132" s="204" t="str">
        <f>_xlfn.XLOOKUP(H132,Dropdown!B:B,Dropdown!C:C)</f>
        <v>תרבות ופנאי</v>
      </c>
      <c r="J132" s="204" t="s">
        <v>168</v>
      </c>
      <c r="N132" s="275"/>
    </row>
    <row r="133" spans="6:14">
      <c r="F133" s="226" t="s">
        <v>552</v>
      </c>
      <c r="G133" s="250">
        <v>154.9</v>
      </c>
      <c r="H133" s="204" t="s">
        <v>276</v>
      </c>
      <c r="I133" s="204" t="str">
        <f>_xlfn.XLOOKUP(H133,Dropdown!B:B,Dropdown!C:C)</f>
        <v>תרבות ופנאי</v>
      </c>
      <c r="J133" s="204" t="s">
        <v>166</v>
      </c>
      <c r="N133" s="275"/>
    </row>
    <row r="134" spans="6:14">
      <c r="F134" s="226" t="s">
        <v>552</v>
      </c>
      <c r="G134" s="204">
        <v>27</v>
      </c>
      <c r="H134" s="204" t="s">
        <v>139</v>
      </c>
      <c r="I134" s="204" t="str">
        <f>_xlfn.XLOOKUP(H134,Dropdown!B:B,Dropdown!C:C)</f>
        <v>תרבות ופנאי</v>
      </c>
      <c r="J134" s="204" t="s">
        <v>168</v>
      </c>
      <c r="N134" s="275"/>
    </row>
    <row r="135" spans="6:14">
      <c r="F135" s="226" t="s">
        <v>552</v>
      </c>
      <c r="G135" s="204">
        <v>5</v>
      </c>
      <c r="H135" s="204" t="s">
        <v>91</v>
      </c>
      <c r="I135" s="204" t="str">
        <f>_xlfn.XLOOKUP(H135,Dropdown!B:B,Dropdown!C:C)</f>
        <v>מזון וקניות</v>
      </c>
      <c r="J135" s="204" t="s">
        <v>168</v>
      </c>
      <c r="N135" s="275"/>
    </row>
    <row r="136" spans="6:14">
      <c r="F136" s="226" t="s">
        <v>552</v>
      </c>
      <c r="G136" s="204">
        <v>65</v>
      </c>
      <c r="H136" s="204" t="s">
        <v>139</v>
      </c>
      <c r="I136" s="204" t="str">
        <f>_xlfn.XLOOKUP(H136,Dropdown!B:B,Dropdown!C:C)</f>
        <v>תרבות ופנאי</v>
      </c>
      <c r="J136" s="204" t="s">
        <v>168</v>
      </c>
      <c r="N136" s="275"/>
    </row>
    <row r="137" spans="6:14">
      <c r="F137" s="226" t="s">
        <v>555</v>
      </c>
      <c r="G137" s="250">
        <v>158.94</v>
      </c>
      <c r="H137" s="204" t="s">
        <v>276</v>
      </c>
      <c r="I137" s="204" t="str">
        <f>_xlfn.XLOOKUP(H137,Dropdown!B:B,Dropdown!C:C)</f>
        <v>תרבות ופנאי</v>
      </c>
      <c r="J137" s="204" t="s">
        <v>166</v>
      </c>
      <c r="N137" s="275"/>
    </row>
    <row r="138" spans="6:14">
      <c r="F138" s="226" t="s">
        <v>555</v>
      </c>
      <c r="G138" s="250">
        <v>76</v>
      </c>
      <c r="H138" s="204" t="s">
        <v>87</v>
      </c>
      <c r="I138" s="204" t="str">
        <f>_xlfn.XLOOKUP(H138,Dropdown!B:B,Dropdown!C:C)</f>
        <v>תחזוקת דירה ותקשורת</v>
      </c>
      <c r="J138" s="204" t="s">
        <v>166</v>
      </c>
      <c r="N138" s="275"/>
    </row>
    <row r="139" spans="6:14">
      <c r="F139" s="226" t="s">
        <v>555</v>
      </c>
      <c r="G139" s="250">
        <v>93.26</v>
      </c>
      <c r="H139" s="204" t="s">
        <v>96</v>
      </c>
      <c r="I139" s="204" t="str">
        <f>_xlfn.XLOOKUP(H139,Dropdown!B:B,Dropdown!C:C)</f>
        <v>מזון וקניות</v>
      </c>
      <c r="J139" s="204" t="s">
        <v>400</v>
      </c>
      <c r="N139" s="275"/>
    </row>
    <row r="140" spans="6:14">
      <c r="F140" s="226" t="s">
        <v>555</v>
      </c>
      <c r="G140" s="204">
        <v>28</v>
      </c>
      <c r="H140" s="204" t="s">
        <v>276</v>
      </c>
      <c r="I140" s="204" t="str">
        <f>_xlfn.XLOOKUP(H140,Dropdown!B:B,Dropdown!C:C)</f>
        <v>תרבות ופנאי</v>
      </c>
      <c r="J140" s="204" t="s">
        <v>168</v>
      </c>
      <c r="N140" s="275"/>
    </row>
    <row r="141" spans="6:14">
      <c r="F141" s="226" t="s">
        <v>556</v>
      </c>
      <c r="G141" s="250">
        <v>10.9</v>
      </c>
      <c r="H141" s="204" t="s">
        <v>91</v>
      </c>
      <c r="I141" s="204" t="str">
        <f>_xlfn.XLOOKUP(H141,Dropdown!B:B,Dropdown!C:C)</f>
        <v>מזון וקניות</v>
      </c>
      <c r="J141" s="204" t="s">
        <v>166</v>
      </c>
      <c r="N141" s="275"/>
    </row>
    <row r="142" spans="6:14">
      <c r="F142" s="226" t="s">
        <v>556</v>
      </c>
      <c r="G142" s="250">
        <v>60.6</v>
      </c>
      <c r="H142" s="204" t="s">
        <v>91</v>
      </c>
      <c r="I142" s="204" t="str">
        <f>_xlfn.XLOOKUP(H142,Dropdown!B:B,Dropdown!C:C)</f>
        <v>מזון וקניות</v>
      </c>
      <c r="J142" s="204" t="s">
        <v>166</v>
      </c>
      <c r="N142" s="275"/>
    </row>
    <row r="143" spans="6:14">
      <c r="F143" s="226" t="s">
        <v>556</v>
      </c>
      <c r="G143" s="204">
        <v>550</v>
      </c>
      <c r="H143" s="204" t="s">
        <v>374</v>
      </c>
      <c r="I143" s="204" t="str">
        <f>_xlfn.XLOOKUP(H143,Dropdown!B:B,Dropdown!C:C)</f>
        <v>תחזוקת דירה ותקשורת</v>
      </c>
      <c r="J143" s="204" t="s">
        <v>168</v>
      </c>
    </row>
    <row r="144" spans="6:14">
      <c r="F144" s="226" t="s">
        <v>556</v>
      </c>
      <c r="G144" s="250">
        <v>52.47</v>
      </c>
      <c r="H144" s="204" t="s">
        <v>91</v>
      </c>
      <c r="I144" s="204" t="str">
        <f>_xlfn.XLOOKUP(H144,Dropdown!B:B,Dropdown!C:C)</f>
        <v>מזון וקניות</v>
      </c>
      <c r="J144" s="204" t="s">
        <v>168</v>
      </c>
      <c r="N144" s="275"/>
    </row>
    <row r="145" spans="6:14">
      <c r="F145" s="226" t="s">
        <v>557</v>
      </c>
      <c r="G145" s="250">
        <v>42</v>
      </c>
      <c r="H145" s="204" t="s">
        <v>91</v>
      </c>
      <c r="I145" s="204" t="str">
        <f>_xlfn.XLOOKUP(H145,Dropdown!B:B,Dropdown!C:C)</f>
        <v>מזון וקניות</v>
      </c>
      <c r="J145" s="204" t="s">
        <v>166</v>
      </c>
      <c r="N145" s="275"/>
    </row>
    <row r="146" spans="6:14">
      <c r="F146" s="226" t="s">
        <v>557</v>
      </c>
      <c r="G146" s="250">
        <v>20</v>
      </c>
      <c r="H146" s="204" t="s">
        <v>103</v>
      </c>
      <c r="I146" s="204" t="str">
        <f>_xlfn.XLOOKUP(H146,Dropdown!B:B,Dropdown!C:C)</f>
        <v>רכב ונסיעות</v>
      </c>
      <c r="J146" s="204" t="s">
        <v>166</v>
      </c>
      <c r="N146" s="275"/>
    </row>
    <row r="147" spans="6:14">
      <c r="F147" s="226" t="s">
        <v>557</v>
      </c>
      <c r="G147" s="250">
        <v>48.53</v>
      </c>
      <c r="H147" s="204" t="s">
        <v>91</v>
      </c>
      <c r="I147" s="204" t="str">
        <f>_xlfn.XLOOKUP(H147,Dropdown!B:B,Dropdown!C:C)</f>
        <v>מזון וקניות</v>
      </c>
      <c r="J147" s="204" t="s">
        <v>166</v>
      </c>
      <c r="N147" s="275"/>
    </row>
    <row r="148" spans="6:14">
      <c r="F148" s="226" t="s">
        <v>557</v>
      </c>
      <c r="G148" s="250">
        <v>682.02</v>
      </c>
      <c r="H148" s="204" t="s">
        <v>91</v>
      </c>
      <c r="I148" s="204" t="str">
        <f>_xlfn.XLOOKUP(H148,Dropdown!B:B,Dropdown!C:C)</f>
        <v>מזון וקניות</v>
      </c>
      <c r="J148" s="204" t="s">
        <v>166</v>
      </c>
      <c r="N148" s="275"/>
    </row>
    <row r="149" spans="6:14">
      <c r="F149" s="226" t="s">
        <v>557</v>
      </c>
      <c r="G149" s="250">
        <v>32</v>
      </c>
      <c r="H149" s="204" t="s">
        <v>140</v>
      </c>
      <c r="I149" s="204" t="str">
        <f>_xlfn.XLOOKUP(H149,Dropdown!B:B,Dropdown!C:C)</f>
        <v>תרבות ופנאי</v>
      </c>
      <c r="J149" s="204" t="s">
        <v>400</v>
      </c>
      <c r="N149" s="275"/>
    </row>
    <row r="150" spans="6:14">
      <c r="F150" s="226" t="s">
        <v>557</v>
      </c>
      <c r="G150" s="250">
        <v>70.17</v>
      </c>
      <c r="H150" s="204" t="s">
        <v>138</v>
      </c>
      <c r="I150" s="204" t="str">
        <f>_xlfn.XLOOKUP(H150,Dropdown!B:B,Dropdown!C:C)</f>
        <v>רכב ונסיעות</v>
      </c>
      <c r="J150" s="204" t="s">
        <v>400</v>
      </c>
      <c r="N150" s="275"/>
    </row>
    <row r="151" spans="6:14">
      <c r="F151" s="226" t="s">
        <v>557</v>
      </c>
      <c r="G151" s="250">
        <v>4.0999999999999996</v>
      </c>
      <c r="H151" s="204" t="s">
        <v>91</v>
      </c>
      <c r="I151" s="204" t="str">
        <f>_xlfn.XLOOKUP(H151,Dropdown!B:B,Dropdown!C:C)</f>
        <v>מזון וקניות</v>
      </c>
      <c r="J151" s="204" t="s">
        <v>168</v>
      </c>
      <c r="N151" s="275"/>
    </row>
    <row r="152" spans="6:14">
      <c r="F152" s="226" t="s">
        <v>557</v>
      </c>
      <c r="G152" s="250">
        <v>20.8</v>
      </c>
      <c r="H152" s="204" t="s">
        <v>91</v>
      </c>
      <c r="I152" s="204" t="str">
        <f>_xlfn.XLOOKUP(H152,Dropdown!B:B,Dropdown!C:C)</f>
        <v>מזון וקניות</v>
      </c>
      <c r="J152" s="204" t="s">
        <v>168</v>
      </c>
      <c r="N152" s="275"/>
    </row>
    <row r="153" spans="6:14">
      <c r="F153" s="226" t="s">
        <v>557</v>
      </c>
      <c r="G153" s="250">
        <v>12</v>
      </c>
      <c r="H153" s="204" t="s">
        <v>139</v>
      </c>
      <c r="I153" s="204" t="str">
        <f>_xlfn.XLOOKUP(H153,Dropdown!B:B,Dropdown!C:C)</f>
        <v>תרבות ופנאי</v>
      </c>
      <c r="J153" s="204" t="s">
        <v>168</v>
      </c>
      <c r="N153" s="275"/>
    </row>
    <row r="154" spans="6:14">
      <c r="F154" s="226" t="s">
        <v>557</v>
      </c>
      <c r="G154" s="250">
        <v>72</v>
      </c>
      <c r="H154" s="204" t="s">
        <v>139</v>
      </c>
      <c r="I154" s="204" t="str">
        <f>_xlfn.XLOOKUP(H154,Dropdown!B:B,Dropdown!C:C)</f>
        <v>תרבות ופנאי</v>
      </c>
      <c r="J154" s="204" t="s">
        <v>168</v>
      </c>
      <c r="N154" s="275"/>
    </row>
    <row r="155" spans="6:14">
      <c r="F155" s="226" t="s">
        <v>557</v>
      </c>
      <c r="G155" s="250">
        <v>234</v>
      </c>
      <c r="H155" s="204" t="s">
        <v>374</v>
      </c>
      <c r="I155" s="204" t="str">
        <f>_xlfn.XLOOKUP(H155,Dropdown!B:B,Dropdown!C:C)</f>
        <v>תחזוקת דירה ותקשורת</v>
      </c>
      <c r="J155" s="204" t="s">
        <v>168</v>
      </c>
    </row>
    <row r="156" spans="6:14">
      <c r="F156" s="226" t="s">
        <v>557</v>
      </c>
      <c r="G156" s="250">
        <v>44</v>
      </c>
      <c r="H156" s="204" t="s">
        <v>91</v>
      </c>
      <c r="I156" s="204" t="str">
        <f>_xlfn.XLOOKUP(H156,Dropdown!B:B,Dropdown!C:C)</f>
        <v>מזון וקניות</v>
      </c>
      <c r="J156" s="204" t="s">
        <v>168</v>
      </c>
      <c r="N156" s="275"/>
    </row>
    <row r="157" spans="6:14">
      <c r="F157" s="226" t="s">
        <v>557</v>
      </c>
      <c r="G157" s="250">
        <v>27</v>
      </c>
      <c r="H157" s="204" t="s">
        <v>139</v>
      </c>
      <c r="I157" s="204" t="str">
        <f>_xlfn.XLOOKUP(H157,Dropdown!B:B,Dropdown!C:C)</f>
        <v>תרבות ופנאי</v>
      </c>
      <c r="J157" s="204" t="s">
        <v>168</v>
      </c>
      <c r="N157" s="275"/>
    </row>
    <row r="158" spans="6:14">
      <c r="F158" s="226" t="s">
        <v>557</v>
      </c>
      <c r="G158" s="250">
        <v>243.7</v>
      </c>
      <c r="H158" s="204" t="s">
        <v>99</v>
      </c>
      <c r="I158" s="204" t="str">
        <f>_xlfn.XLOOKUP(H158,Dropdown!B:B,Dropdown!C:C)</f>
        <v>רכב ונסיעות</v>
      </c>
      <c r="J158" s="204" t="s">
        <v>168</v>
      </c>
      <c r="N158" s="275"/>
    </row>
    <row r="159" spans="6:14">
      <c r="F159" s="226" t="s">
        <v>559</v>
      </c>
      <c r="G159" s="250">
        <v>-51.17</v>
      </c>
      <c r="H159" s="204" t="s">
        <v>96</v>
      </c>
      <c r="I159" s="204" t="str">
        <f>_xlfn.XLOOKUP(H159,Dropdown!B:B,Dropdown!C:C)</f>
        <v>מזון וקניות</v>
      </c>
      <c r="J159" s="204" t="s">
        <v>169</v>
      </c>
      <c r="N159" s="275"/>
    </row>
    <row r="160" spans="6:14">
      <c r="F160" s="226" t="s">
        <v>559</v>
      </c>
      <c r="G160" s="250">
        <v>374.52</v>
      </c>
      <c r="H160" s="204" t="s">
        <v>96</v>
      </c>
      <c r="I160" s="204" t="str">
        <f>_xlfn.XLOOKUP(H160,Dropdown!B:B,Dropdown!C:C)</f>
        <v>מזון וקניות</v>
      </c>
      <c r="J160" s="204" t="s">
        <v>169</v>
      </c>
      <c r="N160" s="275"/>
    </row>
    <row r="161" spans="6:14">
      <c r="F161" s="226" t="s">
        <v>562</v>
      </c>
      <c r="G161" s="250">
        <v>81.41</v>
      </c>
      <c r="H161" s="204" t="s">
        <v>138</v>
      </c>
      <c r="I161" s="204" t="str">
        <f>_xlfn.XLOOKUP(H161,Dropdown!B:B,Dropdown!C:C)</f>
        <v>רכב ונסיעות</v>
      </c>
      <c r="J161" s="204" t="s">
        <v>400</v>
      </c>
      <c r="N161" s="275"/>
    </row>
    <row r="162" spans="6:14">
      <c r="F162" s="226" t="s">
        <v>558</v>
      </c>
      <c r="G162" s="250">
        <v>72</v>
      </c>
      <c r="H162" s="204" t="s">
        <v>103</v>
      </c>
      <c r="I162" s="204" t="str">
        <f>_xlfn.XLOOKUP(H162,Dropdown!B:B,Dropdown!C:C)</f>
        <v>רכב ונסיעות</v>
      </c>
      <c r="J162" s="204" t="s">
        <v>166</v>
      </c>
      <c r="N162" s="275"/>
    </row>
    <row r="163" spans="6:14">
      <c r="F163" s="226" t="s">
        <v>558</v>
      </c>
      <c r="G163" s="250">
        <v>86.04</v>
      </c>
      <c r="H163" s="204" t="s">
        <v>96</v>
      </c>
      <c r="I163" s="204" t="str">
        <f>_xlfn.XLOOKUP(H163,Dropdown!B:B,Dropdown!C:C)</f>
        <v>מזון וקניות</v>
      </c>
      <c r="J163" s="204" t="s">
        <v>169</v>
      </c>
      <c r="N163" s="275"/>
    </row>
    <row r="164" spans="6:14">
      <c r="F164" s="226" t="s">
        <v>558</v>
      </c>
      <c r="G164" s="250">
        <v>72</v>
      </c>
      <c r="H164" s="204" t="s">
        <v>139</v>
      </c>
      <c r="I164" s="204" t="str">
        <f>_xlfn.XLOOKUP(H164,Dropdown!B:B,Dropdown!C:C)</f>
        <v>תרבות ופנאי</v>
      </c>
      <c r="J164" s="204" t="s">
        <v>168</v>
      </c>
      <c r="N164" s="275"/>
    </row>
    <row r="165" spans="6:14">
      <c r="F165" s="226" t="s">
        <v>558</v>
      </c>
      <c r="G165" s="250">
        <v>37</v>
      </c>
      <c r="H165" s="204" t="s">
        <v>139</v>
      </c>
      <c r="I165" s="204" t="str">
        <f>_xlfn.XLOOKUP(H165,Dropdown!B:B,Dropdown!C:C)</f>
        <v>תרבות ופנאי</v>
      </c>
      <c r="J165" s="204" t="s">
        <v>168</v>
      </c>
      <c r="N165" s="275"/>
    </row>
    <row r="166" spans="6:14">
      <c r="F166" s="226" t="s">
        <v>560</v>
      </c>
      <c r="G166" s="250">
        <v>569.95000000000005</v>
      </c>
      <c r="H166" s="204" t="s">
        <v>96</v>
      </c>
      <c r="I166" s="204" t="str">
        <f>_xlfn.XLOOKUP(H166,Dropdown!B:B,Dropdown!C:C)</f>
        <v>מזון וקניות</v>
      </c>
      <c r="J166" s="204" t="s">
        <v>169</v>
      </c>
      <c r="N166" s="275"/>
    </row>
    <row r="167" spans="6:14">
      <c r="F167" s="226" t="s">
        <v>560</v>
      </c>
      <c r="G167" s="250">
        <v>31</v>
      </c>
      <c r="H167" s="204" t="s">
        <v>139</v>
      </c>
      <c r="I167" s="204" t="str">
        <f>_xlfn.XLOOKUP(H167,Dropdown!B:B,Dropdown!C:C)</f>
        <v>תרבות ופנאי</v>
      </c>
      <c r="J167" s="204" t="s">
        <v>168</v>
      </c>
      <c r="N167" s="275"/>
    </row>
    <row r="168" spans="6:14">
      <c r="F168" s="226" t="s">
        <v>560</v>
      </c>
      <c r="G168" s="250">
        <v>39</v>
      </c>
      <c r="H168" s="204" t="s">
        <v>139</v>
      </c>
      <c r="I168" s="204" t="str">
        <f>_xlfn.XLOOKUP(H168,Dropdown!B:B,Dropdown!C:C)</f>
        <v>תרבות ופנאי</v>
      </c>
      <c r="J168" s="204" t="s">
        <v>168</v>
      </c>
      <c r="N168" s="275"/>
    </row>
    <row r="169" spans="6:14">
      <c r="F169" s="226" t="s">
        <v>560</v>
      </c>
      <c r="G169" s="250">
        <v>184.02</v>
      </c>
      <c r="H169" s="204" t="s">
        <v>91</v>
      </c>
      <c r="I169" s="204" t="str">
        <f>_xlfn.XLOOKUP(H169,Dropdown!B:B,Dropdown!C:C)</f>
        <v>מזון וקניות</v>
      </c>
      <c r="J169" s="204" t="s">
        <v>168</v>
      </c>
      <c r="N169" s="275"/>
    </row>
    <row r="170" spans="6:14">
      <c r="F170" s="226" t="s">
        <v>560</v>
      </c>
      <c r="G170" s="250">
        <v>150</v>
      </c>
      <c r="H170" s="204" t="s">
        <v>96</v>
      </c>
      <c r="I170" s="204" t="str">
        <f>_xlfn.XLOOKUP(H170,Dropdown!B:B,Dropdown!C:C)</f>
        <v>מזון וקניות</v>
      </c>
      <c r="J170" s="204" t="s">
        <v>168</v>
      </c>
      <c r="N170" s="275"/>
    </row>
    <row r="171" spans="6:14">
      <c r="F171" s="226" t="s">
        <v>563</v>
      </c>
      <c r="G171" s="250">
        <v>25.36</v>
      </c>
      <c r="H171" s="204" t="s">
        <v>281</v>
      </c>
      <c r="I171" s="204" t="str">
        <f>_xlfn.XLOOKUP(H171,Dropdown!B:B,Dropdown!C:C)</f>
        <v>רכב ונסיעות</v>
      </c>
      <c r="J171" s="204" t="s">
        <v>400</v>
      </c>
      <c r="N171" s="275"/>
    </row>
    <row r="172" spans="6:14">
      <c r="F172" s="226" t="s">
        <v>565</v>
      </c>
      <c r="G172" s="250">
        <v>7.5</v>
      </c>
      <c r="H172" s="204" t="s">
        <v>91</v>
      </c>
      <c r="I172" s="204" t="str">
        <f>_xlfn.XLOOKUP(H172,Dropdown!B:B,Dropdown!C:C)</f>
        <v>מזון וקניות</v>
      </c>
      <c r="J172" s="204" t="s">
        <v>168</v>
      </c>
      <c r="N172" s="275"/>
    </row>
    <row r="173" spans="6:14">
      <c r="F173" s="226" t="s">
        <v>565</v>
      </c>
      <c r="G173" s="250">
        <v>228.61</v>
      </c>
      <c r="H173" s="204" t="s">
        <v>99</v>
      </c>
      <c r="I173" s="204" t="str">
        <f>_xlfn.XLOOKUP(H173,Dropdown!B:B,Dropdown!C:C)</f>
        <v>רכב ונסיעות</v>
      </c>
      <c r="J173" s="204" t="s">
        <v>168</v>
      </c>
      <c r="N173" s="275"/>
    </row>
    <row r="174" spans="6:14">
      <c r="F174" s="226" t="s">
        <v>565</v>
      </c>
      <c r="G174" s="250">
        <v>40</v>
      </c>
      <c r="H174" s="204" t="s">
        <v>139</v>
      </c>
      <c r="I174" s="204" t="str">
        <f>_xlfn.XLOOKUP(H174,Dropdown!B:B,Dropdown!C:C)</f>
        <v>תרבות ופנאי</v>
      </c>
      <c r="J174" s="204" t="s">
        <v>168</v>
      </c>
      <c r="N174" s="275"/>
    </row>
    <row r="175" spans="6:14">
      <c r="F175" s="226" t="s">
        <v>564</v>
      </c>
      <c r="G175" s="250">
        <v>85.99</v>
      </c>
      <c r="H175" s="204" t="s">
        <v>138</v>
      </c>
      <c r="I175" s="204" t="str">
        <f>_xlfn.XLOOKUP(H175,Dropdown!B:B,Dropdown!C:C)</f>
        <v>רכב ונסיעות</v>
      </c>
      <c r="J175" s="204" t="s">
        <v>400</v>
      </c>
      <c r="N175" s="275"/>
    </row>
    <row r="176" spans="6:14">
      <c r="F176" s="226" t="s">
        <v>564</v>
      </c>
      <c r="G176" s="250">
        <v>7.49</v>
      </c>
      <c r="H176" s="204" t="s">
        <v>138</v>
      </c>
      <c r="I176" s="204" t="str">
        <f>_xlfn.XLOOKUP(H176,Dropdown!B:B,Dropdown!C:C)</f>
        <v>רכב ונסיעות</v>
      </c>
      <c r="J176" s="204" t="s">
        <v>400</v>
      </c>
      <c r="N176" s="275"/>
    </row>
    <row r="177" spans="6:14">
      <c r="F177" s="226" t="s">
        <v>564</v>
      </c>
      <c r="G177" s="250">
        <v>68.430000000000007</v>
      </c>
      <c r="H177" s="204" t="s">
        <v>139</v>
      </c>
      <c r="I177" s="204" t="str">
        <f>_xlfn.XLOOKUP(H177,Dropdown!B:B,Dropdown!C:C)</f>
        <v>תרבות ופנאי</v>
      </c>
      <c r="J177" s="204" t="s">
        <v>168</v>
      </c>
      <c r="N177" s="275"/>
    </row>
    <row r="178" spans="6:14">
      <c r="F178" s="226" t="s">
        <v>564</v>
      </c>
      <c r="G178" s="250">
        <v>16</v>
      </c>
      <c r="H178" s="204" t="s">
        <v>139</v>
      </c>
      <c r="I178" s="204" t="str">
        <f>_xlfn.XLOOKUP(H178,Dropdown!B:B,Dropdown!C:C)</f>
        <v>תרבות ופנאי</v>
      </c>
      <c r="J178" s="204" t="s">
        <v>168</v>
      </c>
      <c r="N178" s="275"/>
    </row>
    <row r="179" spans="6:14">
      <c r="F179" s="226" t="s">
        <v>564</v>
      </c>
      <c r="G179" s="250">
        <v>100</v>
      </c>
      <c r="H179" s="204" t="s">
        <v>95</v>
      </c>
      <c r="I179" s="204" t="str">
        <f>_xlfn.XLOOKUP(H179,Dropdown!B:B,Dropdown!C:C)</f>
        <v>מזון וקניות</v>
      </c>
      <c r="J179" s="204" t="s">
        <v>168</v>
      </c>
      <c r="N179" s="275"/>
    </row>
    <row r="180" spans="6:14">
      <c r="F180" s="226" t="s">
        <v>564</v>
      </c>
      <c r="G180" s="250">
        <v>26.1</v>
      </c>
      <c r="H180" s="204" t="s">
        <v>91</v>
      </c>
      <c r="I180" s="204" t="str">
        <f>_xlfn.XLOOKUP(H180,Dropdown!B:B,Dropdown!C:C)</f>
        <v>מזון וקניות</v>
      </c>
      <c r="J180" s="204" t="s">
        <v>168</v>
      </c>
      <c r="N180" s="275"/>
    </row>
    <row r="181" spans="6:14">
      <c r="F181" s="226" t="s">
        <v>564</v>
      </c>
      <c r="G181" s="204">
        <v>20</v>
      </c>
      <c r="H181" s="204" t="s">
        <v>103</v>
      </c>
      <c r="I181" s="204" t="str">
        <f>_xlfn.XLOOKUP(H181,Dropdown!B:B,Dropdown!C:C)</f>
        <v>רכב ונסיעות</v>
      </c>
      <c r="J181" s="204" t="s">
        <v>166</v>
      </c>
      <c r="N181" s="275"/>
    </row>
    <row r="182" spans="6:14">
      <c r="F182" s="226" t="s">
        <v>564</v>
      </c>
      <c r="G182" s="250">
        <v>70</v>
      </c>
      <c r="H182" s="204" t="s">
        <v>123</v>
      </c>
      <c r="I182" s="204" t="str">
        <f>_xlfn.XLOOKUP(H182,Dropdown!B:B,Dropdown!C:C)</f>
        <v>תרבות ופנאי</v>
      </c>
      <c r="J182" s="204" t="s">
        <v>166</v>
      </c>
      <c r="N182" s="275"/>
    </row>
    <row r="183" spans="6:14">
      <c r="F183" s="226" t="s">
        <v>561</v>
      </c>
      <c r="G183" s="250">
        <v>10.5</v>
      </c>
      <c r="H183" s="204" t="s">
        <v>103</v>
      </c>
      <c r="I183" s="204" t="str">
        <f>_xlfn.XLOOKUP(H183,Dropdown!B:B,Dropdown!C:C)</f>
        <v>רכב ונסיעות</v>
      </c>
      <c r="J183" s="204" t="s">
        <v>166</v>
      </c>
      <c r="N183" s="275"/>
    </row>
    <row r="184" spans="6:14">
      <c r="F184" s="226" t="s">
        <v>561</v>
      </c>
      <c r="G184" s="250">
        <v>564.02</v>
      </c>
      <c r="H184" s="204" t="s">
        <v>96</v>
      </c>
      <c r="I184" s="204" t="str">
        <f>_xlfn.XLOOKUP(H184,Dropdown!B:B,Dropdown!C:C)</f>
        <v>מזון וקניות</v>
      </c>
      <c r="J184" s="204" t="s">
        <v>169</v>
      </c>
      <c r="N184" s="275"/>
    </row>
    <row r="185" spans="6:14">
      <c r="F185" s="226" t="s">
        <v>561</v>
      </c>
      <c r="G185" s="250">
        <v>44</v>
      </c>
      <c r="H185" s="204" t="s">
        <v>108</v>
      </c>
      <c r="I185" s="204" t="str">
        <f>_xlfn.XLOOKUP(H185,Dropdown!B:B,Dropdown!C:C)</f>
        <v>ילדים וחינוך</v>
      </c>
      <c r="J185" s="204" t="s">
        <v>166</v>
      </c>
      <c r="N185" s="275"/>
    </row>
    <row r="186" spans="6:14">
      <c r="F186" s="226" t="s">
        <v>561</v>
      </c>
      <c r="G186" s="250">
        <v>269.06</v>
      </c>
      <c r="H186" s="204" t="s">
        <v>91</v>
      </c>
      <c r="I186" s="204" t="str">
        <f>_xlfn.XLOOKUP(H186,Dropdown!B:B,Dropdown!C:C)</f>
        <v>מזון וקניות</v>
      </c>
      <c r="J186" s="204" t="s">
        <v>166</v>
      </c>
      <c r="N186" s="275"/>
    </row>
    <row r="187" spans="6:14">
      <c r="F187" s="226" t="s">
        <v>561</v>
      </c>
      <c r="G187" s="250">
        <v>775.18</v>
      </c>
      <c r="H187" s="204" t="s">
        <v>91</v>
      </c>
      <c r="I187" s="204" t="str">
        <f>_xlfn.XLOOKUP(H187,Dropdown!B:B,Dropdown!C:C)</f>
        <v>מזון וקניות</v>
      </c>
      <c r="J187" s="204" t="s">
        <v>168</v>
      </c>
      <c r="N187" s="275"/>
    </row>
    <row r="188" spans="6:14">
      <c r="F188" s="226" t="s">
        <v>561</v>
      </c>
      <c r="G188" s="250">
        <v>527.6</v>
      </c>
      <c r="H188" s="204" t="s">
        <v>87</v>
      </c>
      <c r="I188" s="204" t="str">
        <f>_xlfn.XLOOKUP(H188,Dropdown!B:B,Dropdown!C:C)</f>
        <v>תחזוקת דירה ותקשורת</v>
      </c>
      <c r="J188" s="204" t="s">
        <v>168</v>
      </c>
      <c r="N188" s="275"/>
    </row>
    <row r="189" spans="6:14">
      <c r="F189" s="226" t="s">
        <v>566</v>
      </c>
      <c r="G189" s="250">
        <v>150</v>
      </c>
      <c r="H189" s="204" t="s">
        <v>109</v>
      </c>
      <c r="I189" s="204" t="str">
        <f>_xlfn.XLOOKUP(H189,Dropdown!B:B,Dropdown!C:C)</f>
        <v>ילדים וחינוך</v>
      </c>
      <c r="J189" s="204" t="s">
        <v>166</v>
      </c>
      <c r="N189" s="275"/>
    </row>
    <row r="190" spans="6:14">
      <c r="F190" s="226" t="s">
        <v>566</v>
      </c>
      <c r="G190" s="250">
        <v>10</v>
      </c>
      <c r="H190" s="204" t="s">
        <v>91</v>
      </c>
      <c r="I190" s="204" t="str">
        <f>_xlfn.XLOOKUP(H190,Dropdown!B:B,Dropdown!C:C)</f>
        <v>מזון וקניות</v>
      </c>
      <c r="J190" s="204" t="s">
        <v>166</v>
      </c>
      <c r="N190" s="275"/>
    </row>
    <row r="191" spans="6:14">
      <c r="F191" s="226" t="s">
        <v>566</v>
      </c>
      <c r="G191" s="250">
        <v>20</v>
      </c>
      <c r="H191" s="204" t="s">
        <v>103</v>
      </c>
      <c r="I191" s="204" t="str">
        <f>_xlfn.XLOOKUP(H191,Dropdown!B:B,Dropdown!C:C)</f>
        <v>רכב ונסיעות</v>
      </c>
      <c r="J191" s="204" t="s">
        <v>166</v>
      </c>
      <c r="N191" s="275"/>
    </row>
    <row r="192" spans="6:14">
      <c r="F192" s="226" t="s">
        <v>566</v>
      </c>
      <c r="G192" s="250">
        <v>22</v>
      </c>
      <c r="H192" s="204" t="s">
        <v>140</v>
      </c>
      <c r="I192" s="204" t="str">
        <f>_xlfn.XLOOKUP(H192,Dropdown!B:B,Dropdown!C:C)</f>
        <v>תרבות ופנאי</v>
      </c>
      <c r="J192" s="204" t="s">
        <v>166</v>
      </c>
      <c r="N192" s="275"/>
    </row>
    <row r="193" spans="6:14">
      <c r="F193" s="226" t="s">
        <v>566</v>
      </c>
      <c r="G193" s="250">
        <v>41</v>
      </c>
      <c r="H193" s="204" t="s">
        <v>140</v>
      </c>
      <c r="I193" s="204" t="str">
        <f>_xlfn.XLOOKUP(H193,Dropdown!B:B,Dropdown!C:C)</f>
        <v>תרבות ופנאי</v>
      </c>
      <c r="J193" s="204" t="s">
        <v>166</v>
      </c>
      <c r="N193" s="275"/>
    </row>
    <row r="194" spans="6:14">
      <c r="F194" s="226" t="s">
        <v>566</v>
      </c>
      <c r="G194" s="250">
        <v>11.5</v>
      </c>
      <c r="H194" s="204" t="s">
        <v>103</v>
      </c>
      <c r="I194" s="204" t="str">
        <f>_xlfn.XLOOKUP(H194,Dropdown!B:B,Dropdown!C:C)</f>
        <v>רכב ונסיעות</v>
      </c>
      <c r="J194" s="204" t="s">
        <v>166</v>
      </c>
      <c r="N194" s="275"/>
    </row>
    <row r="195" spans="6:14">
      <c r="F195" s="226" t="s">
        <v>566</v>
      </c>
      <c r="G195" s="250">
        <v>34.9</v>
      </c>
      <c r="H195" s="204" t="s">
        <v>19</v>
      </c>
      <c r="I195" s="204" t="str">
        <f>_xlfn.XLOOKUP(H195,Dropdown!B:B,Dropdown!C:C)</f>
        <v>ביטוחים ופיננסים</v>
      </c>
      <c r="J195" s="204" t="s">
        <v>400</v>
      </c>
      <c r="N195" s="275"/>
    </row>
    <row r="196" spans="6:14">
      <c r="F196" s="226" t="s">
        <v>567</v>
      </c>
      <c r="G196" s="250">
        <v>359.3</v>
      </c>
      <c r="H196" s="204" t="s">
        <v>91</v>
      </c>
      <c r="I196" s="204" t="str">
        <f>_xlfn.XLOOKUP(H196,Dropdown!B:B,Dropdown!C:C)</f>
        <v>מזון וקניות</v>
      </c>
      <c r="J196" s="204" t="s">
        <v>166</v>
      </c>
      <c r="N196" s="275"/>
    </row>
    <row r="197" spans="6:14">
      <c r="F197" s="226" t="s">
        <v>567</v>
      </c>
      <c r="G197" s="250">
        <v>168.92</v>
      </c>
      <c r="H197" s="204" t="s">
        <v>99</v>
      </c>
      <c r="I197" s="204" t="str">
        <f>_xlfn.XLOOKUP(H197,Dropdown!B:B,Dropdown!C:C)</f>
        <v>רכב ונסיעות</v>
      </c>
      <c r="J197" s="204" t="s">
        <v>168</v>
      </c>
      <c r="N197" s="275"/>
    </row>
    <row r="198" spans="6:14">
      <c r="F198" s="226" t="s">
        <v>567</v>
      </c>
      <c r="G198" s="250">
        <v>19</v>
      </c>
      <c r="H198" s="204" t="s">
        <v>91</v>
      </c>
      <c r="I198" s="204" t="str">
        <f>_xlfn.XLOOKUP(H198,Dropdown!B:B,Dropdown!C:C)</f>
        <v>מזון וקניות</v>
      </c>
      <c r="J198" s="204" t="s">
        <v>168</v>
      </c>
      <c r="N198" s="275"/>
    </row>
    <row r="199" spans="6:14">
      <c r="F199" s="226" t="s">
        <v>567</v>
      </c>
      <c r="G199" s="250">
        <v>328.95</v>
      </c>
      <c r="H199" s="204" t="s">
        <v>91</v>
      </c>
      <c r="I199" s="204" t="str">
        <f>_xlfn.XLOOKUP(H199,Dropdown!B:B,Dropdown!C:C)</f>
        <v>מזון וקניות</v>
      </c>
      <c r="J199" s="204" t="s">
        <v>168</v>
      </c>
      <c r="N199" s="275"/>
    </row>
    <row r="200" spans="6:14">
      <c r="F200" s="226" t="s">
        <v>567</v>
      </c>
      <c r="G200" s="250">
        <v>34</v>
      </c>
      <c r="H200" s="204" t="s">
        <v>139</v>
      </c>
      <c r="I200" s="204" t="str">
        <f>_xlfn.XLOOKUP(H200,Dropdown!B:B,Dropdown!C:C)</f>
        <v>תרבות ופנאי</v>
      </c>
      <c r="J200" s="204" t="s">
        <v>168</v>
      </c>
      <c r="N200" s="275"/>
    </row>
    <row r="201" spans="6:14">
      <c r="F201" s="226" t="s">
        <v>579</v>
      </c>
      <c r="G201" s="204">
        <v>46.25</v>
      </c>
      <c r="H201" s="204" t="s">
        <v>103</v>
      </c>
      <c r="I201" s="204" t="str">
        <f>_xlfn.XLOOKUP(H201,Dropdown!B:B,Dropdown!C:C)</f>
        <v>רכב ונסיעות</v>
      </c>
      <c r="J201" s="204" t="s">
        <v>166</v>
      </c>
      <c r="N201" s="275"/>
    </row>
    <row r="202" spans="6:14">
      <c r="F202" s="226" t="s">
        <v>568</v>
      </c>
      <c r="G202" s="250">
        <v>700</v>
      </c>
      <c r="H202" s="204" t="s">
        <v>374</v>
      </c>
      <c r="I202" s="204" t="str">
        <f>_xlfn.XLOOKUP(H202,Dropdown!B:B,Dropdown!C:C)</f>
        <v>תחזוקת דירה ותקשורת</v>
      </c>
      <c r="J202" s="204" t="s">
        <v>166</v>
      </c>
    </row>
    <row r="203" spans="6:14">
      <c r="F203" s="226" t="s">
        <v>568</v>
      </c>
      <c r="G203" s="250">
        <v>27</v>
      </c>
      <c r="H203" s="204" t="s">
        <v>139</v>
      </c>
      <c r="I203" s="204" t="str">
        <f>_xlfn.XLOOKUP(H203,Dropdown!B:B,Dropdown!C:C)</f>
        <v>תרבות ופנאי</v>
      </c>
      <c r="J203" s="204" t="s">
        <v>168</v>
      </c>
      <c r="N203" s="275"/>
    </row>
    <row r="204" spans="6:14">
      <c r="F204" s="226" t="s">
        <v>568</v>
      </c>
      <c r="G204" s="250">
        <v>36</v>
      </c>
      <c r="H204" s="204" t="s">
        <v>139</v>
      </c>
      <c r="I204" s="204" t="str">
        <f>_xlfn.XLOOKUP(H204,Dropdown!B:B,Dropdown!C:C)</f>
        <v>תרבות ופנאי</v>
      </c>
      <c r="J204" s="204" t="s">
        <v>168</v>
      </c>
      <c r="N204" s="275"/>
    </row>
    <row r="205" spans="6:14">
      <c r="F205" s="226" t="s">
        <v>568</v>
      </c>
      <c r="G205" s="250">
        <v>39</v>
      </c>
      <c r="H205" s="204" t="s">
        <v>139</v>
      </c>
      <c r="I205" s="204" t="str">
        <f>_xlfn.XLOOKUP(H205,Dropdown!B:B,Dropdown!C:C)</f>
        <v>תרבות ופנאי</v>
      </c>
      <c r="J205" s="204" t="s">
        <v>168</v>
      </c>
      <c r="N205" s="275"/>
    </row>
    <row r="206" spans="6:14">
      <c r="F206" s="226" t="s">
        <v>568</v>
      </c>
      <c r="G206" s="250">
        <v>53</v>
      </c>
      <c r="H206" s="204" t="s">
        <v>139</v>
      </c>
      <c r="I206" s="204" t="str">
        <f>_xlfn.XLOOKUP(H206,Dropdown!B:B,Dropdown!C:C)</f>
        <v>תרבות ופנאי</v>
      </c>
      <c r="J206" s="204" t="s">
        <v>168</v>
      </c>
      <c r="N206" s="275"/>
    </row>
    <row r="207" spans="6:14">
      <c r="F207" s="226" t="s">
        <v>568</v>
      </c>
      <c r="G207" s="250">
        <v>120.9</v>
      </c>
      <c r="H207" s="204" t="s">
        <v>91</v>
      </c>
      <c r="I207" s="204" t="str">
        <f>_xlfn.XLOOKUP(H207,Dropdown!B:B,Dropdown!C:C)</f>
        <v>מזון וקניות</v>
      </c>
      <c r="J207" s="204" t="s">
        <v>168</v>
      </c>
      <c r="N207" s="275"/>
    </row>
    <row r="208" spans="6:14">
      <c r="F208" s="226" t="s">
        <v>568</v>
      </c>
      <c r="G208" s="250">
        <v>2360</v>
      </c>
      <c r="H208" s="204" t="s">
        <v>374</v>
      </c>
      <c r="I208" s="204" t="str">
        <f>_xlfn.XLOOKUP(H208,Dropdown!B:B,Dropdown!C:C)</f>
        <v>תחזוקת דירה ותקשורת</v>
      </c>
      <c r="J208" s="204" t="s">
        <v>20</v>
      </c>
    </row>
    <row r="209" spans="6:14">
      <c r="F209" s="226" t="s">
        <v>574</v>
      </c>
      <c r="G209" s="250">
        <v>470.3</v>
      </c>
      <c r="H209" s="204" t="s">
        <v>96</v>
      </c>
      <c r="I209" s="204" t="str">
        <f>_xlfn.XLOOKUP(H209,Dropdown!B:B,Dropdown!C:C)</f>
        <v>מזון וקניות</v>
      </c>
      <c r="J209" s="204" t="s">
        <v>168</v>
      </c>
      <c r="N209" s="275"/>
    </row>
    <row r="210" spans="6:14">
      <c r="F210" s="226" t="s">
        <v>574</v>
      </c>
      <c r="G210" s="250">
        <v>38</v>
      </c>
      <c r="H210" s="204" t="s">
        <v>139</v>
      </c>
      <c r="I210" s="204" t="str">
        <f>_xlfn.XLOOKUP(H210,Dropdown!B:B,Dropdown!C:C)</f>
        <v>תרבות ופנאי</v>
      </c>
      <c r="J210" s="204" t="s">
        <v>168</v>
      </c>
      <c r="N210" s="275"/>
    </row>
    <row r="211" spans="6:14">
      <c r="F211" s="226" t="s">
        <v>574</v>
      </c>
      <c r="G211" s="250">
        <v>170.27</v>
      </c>
      <c r="H211" s="204" t="s">
        <v>96</v>
      </c>
      <c r="I211" s="204" t="str">
        <f>_xlfn.XLOOKUP(H211,Dropdown!B:B,Dropdown!C:C)</f>
        <v>מזון וקניות</v>
      </c>
      <c r="J211" s="204" t="s">
        <v>169</v>
      </c>
      <c r="N211" s="275"/>
    </row>
    <row r="212" spans="6:14">
      <c r="F212" s="226" t="s">
        <v>574</v>
      </c>
      <c r="G212" s="250">
        <v>94.7</v>
      </c>
      <c r="H212" s="204" t="s">
        <v>96</v>
      </c>
      <c r="I212" s="204" t="str">
        <f>_xlfn.XLOOKUP(H212,Dropdown!B:B,Dropdown!C:C)</f>
        <v>מזון וקניות</v>
      </c>
      <c r="J212" s="204" t="s">
        <v>166</v>
      </c>
      <c r="N212" s="275"/>
    </row>
    <row r="213" spans="6:14">
      <c r="F213" s="226" t="s">
        <v>574</v>
      </c>
      <c r="G213" s="250">
        <v>34</v>
      </c>
      <c r="H213" s="204" t="s">
        <v>91</v>
      </c>
      <c r="I213" s="204" t="str">
        <f>_xlfn.XLOOKUP(H213,Dropdown!B:B,Dropdown!C:C)</f>
        <v>מזון וקניות</v>
      </c>
      <c r="J213" s="204" t="s">
        <v>166</v>
      </c>
      <c r="N213" s="275"/>
    </row>
    <row r="214" spans="6:14">
      <c r="F214" s="226" t="s">
        <v>574</v>
      </c>
      <c r="G214" s="250">
        <v>104.8</v>
      </c>
      <c r="H214" s="204" t="s">
        <v>123</v>
      </c>
      <c r="I214" s="204" t="str">
        <f>_xlfn.XLOOKUP(H214,Dropdown!B:B,Dropdown!C:C)</f>
        <v>תרבות ופנאי</v>
      </c>
      <c r="J214" s="204" t="s">
        <v>166</v>
      </c>
      <c r="N214" s="275"/>
    </row>
    <row r="215" spans="6:14">
      <c r="F215" s="226" t="s">
        <v>574</v>
      </c>
      <c r="G215" s="250">
        <v>651.99</v>
      </c>
      <c r="H215" s="204" t="s">
        <v>91</v>
      </c>
      <c r="I215" s="204" t="str">
        <f>_xlfn.XLOOKUP(H215,Dropdown!B:B,Dropdown!C:C)</f>
        <v>מזון וקניות</v>
      </c>
      <c r="J215" s="204" t="s">
        <v>166</v>
      </c>
      <c r="N215" s="275"/>
    </row>
    <row r="216" spans="6:14">
      <c r="F216" s="226" t="s">
        <v>574</v>
      </c>
      <c r="G216" s="250">
        <v>24874</v>
      </c>
      <c r="H216" s="204" t="s">
        <v>374</v>
      </c>
      <c r="I216" s="204" t="str">
        <f>_xlfn.XLOOKUP(H216,Dropdown!B:B,Dropdown!C:C)</f>
        <v>תחזוקת דירה ותקשורת</v>
      </c>
      <c r="J216" s="204" t="s">
        <v>20</v>
      </c>
    </row>
    <row r="217" spans="6:14">
      <c r="F217" s="226" t="s">
        <v>575</v>
      </c>
      <c r="G217" s="250">
        <v>29</v>
      </c>
      <c r="H217" s="204" t="s">
        <v>96</v>
      </c>
      <c r="I217" s="204" t="str">
        <f>_xlfn.XLOOKUP(H217,Dropdown!B:B,Dropdown!C:C)</f>
        <v>מזון וקניות</v>
      </c>
      <c r="J217" s="204" t="s">
        <v>168</v>
      </c>
      <c r="N217" s="275"/>
    </row>
    <row r="218" spans="6:14">
      <c r="F218" s="226" t="s">
        <v>575</v>
      </c>
      <c r="G218" s="250">
        <v>173.9</v>
      </c>
      <c r="H218" s="204" t="s">
        <v>96</v>
      </c>
      <c r="I218" s="204" t="str">
        <f>_xlfn.XLOOKUP(H218,Dropdown!B:B,Dropdown!C:C)</f>
        <v>מזון וקניות</v>
      </c>
      <c r="J218" s="204" t="s">
        <v>168</v>
      </c>
      <c r="N218" s="275"/>
    </row>
    <row r="219" spans="6:14">
      <c r="F219" s="226" t="s">
        <v>575</v>
      </c>
      <c r="G219" s="250">
        <v>27.2</v>
      </c>
      <c r="H219" s="204" t="s">
        <v>91</v>
      </c>
      <c r="I219" s="204" t="str">
        <f>_xlfn.XLOOKUP(H219,Dropdown!B:B,Dropdown!C:C)</f>
        <v>מזון וקניות</v>
      </c>
      <c r="J219" s="204" t="s">
        <v>168</v>
      </c>
      <c r="N219" s="275"/>
    </row>
    <row r="220" spans="6:14">
      <c r="F220" s="226" t="s">
        <v>575</v>
      </c>
      <c r="G220" s="250">
        <v>8.8000000000000007</v>
      </c>
      <c r="H220" s="204" t="s">
        <v>91</v>
      </c>
      <c r="I220" s="204" t="str">
        <f>_xlfn.XLOOKUP(H220,Dropdown!B:B,Dropdown!C:C)</f>
        <v>מזון וקניות</v>
      </c>
      <c r="J220" s="204" t="s">
        <v>168</v>
      </c>
      <c r="N220" s="275"/>
    </row>
    <row r="221" spans="6:14">
      <c r="F221" s="226" t="s">
        <v>575</v>
      </c>
      <c r="G221" s="250">
        <v>150</v>
      </c>
      <c r="H221" s="204" t="s">
        <v>109</v>
      </c>
      <c r="I221" s="204" t="str">
        <f>_xlfn.XLOOKUP(H221,Dropdown!B:B,Dropdown!C:C)</f>
        <v>ילדים וחינוך</v>
      </c>
      <c r="J221" s="204" t="s">
        <v>166</v>
      </c>
      <c r="N221" s="275"/>
    </row>
    <row r="222" spans="6:14">
      <c r="F222" s="226" t="s">
        <v>575</v>
      </c>
      <c r="G222" s="250">
        <v>20</v>
      </c>
      <c r="H222" s="204" t="s">
        <v>103</v>
      </c>
      <c r="I222" s="204" t="str">
        <f>_xlfn.XLOOKUP(H222,Dropdown!B:B,Dropdown!C:C)</f>
        <v>רכב ונסיעות</v>
      </c>
      <c r="J222" s="204" t="s">
        <v>166</v>
      </c>
      <c r="N222" s="275"/>
    </row>
    <row r="223" spans="6:14">
      <c r="F223" s="226" t="s">
        <v>576</v>
      </c>
      <c r="G223" s="250">
        <v>224.71</v>
      </c>
      <c r="H223" s="204" t="s">
        <v>91</v>
      </c>
      <c r="I223" s="204" t="str">
        <f>_xlfn.XLOOKUP(H223,Dropdown!B:B,Dropdown!C:C)</f>
        <v>מזון וקניות</v>
      </c>
      <c r="J223" s="204" t="s">
        <v>166</v>
      </c>
      <c r="N223" s="275"/>
    </row>
    <row r="224" spans="6:14">
      <c r="F224" s="226" t="s">
        <v>576</v>
      </c>
      <c r="G224" s="250">
        <v>81.319999999999993</v>
      </c>
      <c r="H224" s="204" t="s">
        <v>91</v>
      </c>
      <c r="I224" s="204" t="str">
        <f>_xlfn.XLOOKUP(H224,Dropdown!B:B,Dropdown!C:C)</f>
        <v>מזון וקניות</v>
      </c>
      <c r="J224" s="204" t="s">
        <v>166</v>
      </c>
      <c r="N224" s="275"/>
    </row>
    <row r="225" spans="6:14">
      <c r="F225" s="226" t="s">
        <v>545</v>
      </c>
      <c r="G225" s="250">
        <v>17700</v>
      </c>
      <c r="H225" s="204" t="s">
        <v>374</v>
      </c>
      <c r="I225" s="204" t="str">
        <f>_xlfn.XLOOKUP(H225,Dropdown!B:B,Dropdown!C:C)</f>
        <v>תחזוקת דירה ותקשורת</v>
      </c>
      <c r="J225" s="204" t="s">
        <v>20</v>
      </c>
    </row>
    <row r="226" spans="6:14">
      <c r="G226" s="250"/>
      <c r="N226" s="275"/>
    </row>
    <row r="227" spans="6:14">
      <c r="G227" s="250"/>
      <c r="N227" s="275"/>
    </row>
    <row r="228" spans="6:14">
      <c r="G228" s="250"/>
      <c r="N228" s="275"/>
    </row>
    <row r="229" spans="6:14">
      <c r="G229" s="250"/>
      <c r="N229" s="275"/>
    </row>
    <row r="230" spans="6:14">
      <c r="G230" s="250"/>
      <c r="N230" s="275"/>
    </row>
    <row r="231" spans="6:14">
      <c r="G231" s="250"/>
      <c r="N231" s="275"/>
    </row>
    <row r="232" spans="6:14">
      <c r="G232" s="250"/>
      <c r="N232" s="275"/>
    </row>
    <row r="233" spans="6:14">
      <c r="G233" s="250"/>
      <c r="N233" s="275"/>
    </row>
    <row r="234" spans="6:14">
      <c r="G234" s="250"/>
      <c r="N234" s="275"/>
    </row>
    <row r="235" spans="6:14">
      <c r="G235" s="250"/>
      <c r="N235" s="275"/>
    </row>
    <row r="236" spans="6:14">
      <c r="G236" s="250"/>
      <c r="N236" s="275"/>
    </row>
    <row r="237" spans="6:14">
      <c r="G237" s="250"/>
      <c r="N237" s="275"/>
    </row>
    <row r="238" spans="6:14">
      <c r="G238" s="250"/>
      <c r="N238" s="275"/>
    </row>
    <row r="239" spans="6:14">
      <c r="G239" s="250"/>
      <c r="N239" s="275"/>
    </row>
    <row r="240" spans="6:14">
      <c r="G240" s="250"/>
      <c r="N240" s="275"/>
    </row>
    <row r="241" spans="7:14">
      <c r="G241" s="250"/>
      <c r="N241" s="275"/>
    </row>
    <row r="242" spans="7:14">
      <c r="G242" s="250"/>
      <c r="N242" s="275"/>
    </row>
    <row r="243" spans="7:14">
      <c r="G243" s="250"/>
      <c r="N243" s="275"/>
    </row>
    <row r="244" spans="7:14">
      <c r="G244" s="250"/>
      <c r="N244" s="275"/>
    </row>
    <row r="245" spans="7:14">
      <c r="G245" s="250"/>
      <c r="N245" s="275"/>
    </row>
    <row r="246" spans="7:14">
      <c r="G246" s="250"/>
      <c r="N246" s="275"/>
    </row>
    <row r="247" spans="7:14">
      <c r="G247" s="250"/>
      <c r="N247" s="275"/>
    </row>
    <row r="248" spans="7:14">
      <c r="G248" s="250"/>
      <c r="N248" s="275"/>
    </row>
    <row r="249" spans="7:14">
      <c r="G249" s="250"/>
      <c r="N249" s="275"/>
    </row>
    <row r="250" spans="7:14">
      <c r="G250" s="250"/>
      <c r="N250" s="275"/>
    </row>
    <row r="251" spans="7:14">
      <c r="G251" s="250"/>
      <c r="N251" s="275"/>
    </row>
    <row r="252" spans="7:14">
      <c r="G252" s="250"/>
      <c r="N252" s="275"/>
    </row>
    <row r="253" spans="7:14">
      <c r="G253" s="250"/>
      <c r="N253" s="275"/>
    </row>
    <row r="254" spans="7:14">
      <c r="G254" s="250"/>
      <c r="N254" s="275"/>
    </row>
    <row r="255" spans="7:14">
      <c r="G255" s="250"/>
      <c r="N255" s="275"/>
    </row>
    <row r="256" spans="7:14">
      <c r="G256" s="250"/>
      <c r="N256" s="275"/>
    </row>
    <row r="257" spans="7:14">
      <c r="G257" s="250"/>
      <c r="N257" s="275"/>
    </row>
    <row r="258" spans="7:14">
      <c r="N258" s="275"/>
    </row>
    <row r="259" spans="7:14">
      <c r="N259" s="275"/>
    </row>
    <row r="260" spans="7:14">
      <c r="N260" s="275"/>
    </row>
    <row r="261" spans="7:14">
      <c r="N261" s="275"/>
    </row>
    <row r="262" spans="7:14">
      <c r="N262" s="275"/>
    </row>
    <row r="263" spans="7:14">
      <c r="N263" s="275"/>
    </row>
    <row r="264" spans="7:14">
      <c r="N264" s="275"/>
    </row>
    <row r="265" spans="7:14">
      <c r="N265" s="275"/>
    </row>
    <row r="266" spans="7:14">
      <c r="N266" s="275"/>
    </row>
    <row r="267" spans="7:14">
      <c r="N267" s="275"/>
    </row>
    <row r="268" spans="7:14">
      <c r="N268" s="275"/>
    </row>
    <row r="269" spans="7:14">
      <c r="N269" s="275"/>
    </row>
    <row r="270" spans="7:14">
      <c r="N270" s="275"/>
    </row>
    <row r="271" spans="7:14">
      <c r="N271" s="275"/>
    </row>
    <row r="272" spans="7:14">
      <c r="N272" s="275"/>
    </row>
    <row r="273" spans="14:14">
      <c r="N273" s="275"/>
    </row>
    <row r="274" spans="14:14">
      <c r="N274" s="275"/>
    </row>
    <row r="275" spans="14:14">
      <c r="N275" s="275"/>
    </row>
    <row r="276" spans="14:14">
      <c r="N276" s="275"/>
    </row>
    <row r="277" spans="14:14">
      <c r="N277" s="275"/>
    </row>
    <row r="278" spans="14:14">
      <c r="N278" s="275"/>
    </row>
    <row r="279" spans="14:14">
      <c r="N279" s="275"/>
    </row>
    <row r="280" spans="14:14">
      <c r="N280" s="275"/>
    </row>
    <row r="281" spans="14:14">
      <c r="N281" s="275"/>
    </row>
    <row r="282" spans="14:14">
      <c r="N282" s="275"/>
    </row>
    <row r="283" spans="14:14">
      <c r="N283" s="275"/>
    </row>
    <row r="284" spans="14:14">
      <c r="N284" s="275"/>
    </row>
    <row r="285" spans="14:14">
      <c r="N285" s="275"/>
    </row>
    <row r="286" spans="14:14">
      <c r="N286" s="275"/>
    </row>
    <row r="287" spans="14:14">
      <c r="N287" s="275"/>
    </row>
    <row r="288" spans="14:14">
      <c r="N288" s="275"/>
    </row>
    <row r="289" spans="14:14">
      <c r="N289" s="275"/>
    </row>
    <row r="290" spans="14:14">
      <c r="N290" s="275"/>
    </row>
    <row r="291" spans="14:14">
      <c r="N291" s="275"/>
    </row>
    <row r="292" spans="14:14">
      <c r="N292" s="275"/>
    </row>
    <row r="293" spans="14:14">
      <c r="N293" s="275"/>
    </row>
    <row r="294" spans="14:14">
      <c r="N294" s="275"/>
    </row>
    <row r="295" spans="14:14">
      <c r="N295" s="275"/>
    </row>
    <row r="296" spans="14:14">
      <c r="N296" s="275"/>
    </row>
    <row r="297" spans="14:14">
      <c r="N297" s="275"/>
    </row>
    <row r="298" spans="14:14">
      <c r="N298" s="275"/>
    </row>
    <row r="299" spans="14:14">
      <c r="N299" s="275"/>
    </row>
    <row r="300" spans="14:14">
      <c r="N300" s="275"/>
    </row>
    <row r="301" spans="14:14">
      <c r="N301" s="275"/>
    </row>
    <row r="302" spans="14:14">
      <c r="N302" s="275"/>
    </row>
    <row r="303" spans="14:14">
      <c r="N303" s="275"/>
    </row>
    <row r="304" spans="14:14">
      <c r="N304" s="275"/>
    </row>
    <row r="305" spans="14:14">
      <c r="N305" s="275"/>
    </row>
    <row r="306" spans="14:14">
      <c r="N306" s="275"/>
    </row>
    <row r="307" spans="14:14">
      <c r="N307" s="275"/>
    </row>
    <row r="308" spans="14:14">
      <c r="N308" s="275"/>
    </row>
    <row r="309" spans="14:14">
      <c r="N309" s="275"/>
    </row>
    <row r="310" spans="14:14">
      <c r="N310" s="275"/>
    </row>
    <row r="311" spans="14:14">
      <c r="N311" s="275"/>
    </row>
    <row r="312" spans="14:14">
      <c r="N312" s="275"/>
    </row>
    <row r="313" spans="14:14">
      <c r="N313" s="275"/>
    </row>
    <row r="314" spans="14:14">
      <c r="N314" s="275"/>
    </row>
    <row r="315" spans="14:14">
      <c r="N315" s="275"/>
    </row>
    <row r="316" spans="14:14">
      <c r="N316" s="275"/>
    </row>
    <row r="317" spans="14:14">
      <c r="N317" s="275"/>
    </row>
    <row r="318" spans="14:14">
      <c r="N318" s="275"/>
    </row>
    <row r="319" spans="14:14">
      <c r="N319" s="275"/>
    </row>
    <row r="320" spans="14:14">
      <c r="N320" s="275"/>
    </row>
    <row r="321" spans="14:14">
      <c r="N321" s="275"/>
    </row>
    <row r="322" spans="14:14">
      <c r="N322" s="275"/>
    </row>
    <row r="323" spans="14:14">
      <c r="N323" s="275"/>
    </row>
    <row r="324" spans="14:14">
      <c r="N324" s="275"/>
    </row>
    <row r="325" spans="14:14">
      <c r="N325" s="275"/>
    </row>
    <row r="326" spans="14:14">
      <c r="N326" s="275"/>
    </row>
    <row r="327" spans="14:14">
      <c r="N327" s="275"/>
    </row>
    <row r="328" spans="14:14">
      <c r="N328" s="275"/>
    </row>
    <row r="329" spans="14:14">
      <c r="N329" s="275"/>
    </row>
    <row r="330" spans="14:14">
      <c r="N330" s="275"/>
    </row>
    <row r="331" spans="14:14">
      <c r="N331" s="275"/>
    </row>
    <row r="332" spans="14:14">
      <c r="N332" s="275"/>
    </row>
    <row r="333" spans="14:14">
      <c r="N333" s="275"/>
    </row>
    <row r="334" spans="14:14">
      <c r="N334" s="275"/>
    </row>
    <row r="335" spans="14:14">
      <c r="N335" s="275"/>
    </row>
    <row r="336" spans="14:14">
      <c r="N336" s="275"/>
    </row>
    <row r="337" spans="14:14">
      <c r="N337" s="275"/>
    </row>
    <row r="338" spans="14:14">
      <c r="N338" s="275"/>
    </row>
    <row r="339" spans="14:14">
      <c r="N339" s="275"/>
    </row>
    <row r="340" spans="14:14">
      <c r="N340" s="275"/>
    </row>
    <row r="341" spans="14:14">
      <c r="N341" s="275"/>
    </row>
    <row r="342" spans="14:14">
      <c r="N342" s="275"/>
    </row>
    <row r="343" spans="14:14">
      <c r="N343" s="275"/>
    </row>
    <row r="344" spans="14:14">
      <c r="N344" s="275"/>
    </row>
    <row r="345" spans="14:14">
      <c r="N345" s="275"/>
    </row>
    <row r="346" spans="14:14">
      <c r="N346" s="275"/>
    </row>
    <row r="347" spans="14:14">
      <c r="N347" s="275"/>
    </row>
    <row r="348" spans="14:14">
      <c r="N348" s="275"/>
    </row>
    <row r="349" spans="14:14">
      <c r="N349" s="275"/>
    </row>
    <row r="350" spans="14:14">
      <c r="N350" s="275"/>
    </row>
    <row r="351" spans="14:14">
      <c r="N351" s="275"/>
    </row>
    <row r="352" spans="14:14">
      <c r="N352" s="275"/>
    </row>
    <row r="353" spans="14:14">
      <c r="N353" s="275"/>
    </row>
    <row r="354" spans="14:14">
      <c r="N354" s="275"/>
    </row>
    <row r="355" spans="14:14">
      <c r="N355" s="275"/>
    </row>
    <row r="356" spans="14:14">
      <c r="N356" s="275"/>
    </row>
    <row r="357" spans="14:14">
      <c r="N357" s="275"/>
    </row>
    <row r="358" spans="14:14">
      <c r="N358" s="275"/>
    </row>
    <row r="359" spans="14:14">
      <c r="N359" s="275"/>
    </row>
    <row r="360" spans="14:14">
      <c r="N360" s="275"/>
    </row>
    <row r="361" spans="14:14">
      <c r="N361" s="275"/>
    </row>
    <row r="362" spans="14:14">
      <c r="N362" s="275"/>
    </row>
    <row r="363" spans="14:14">
      <c r="N363" s="275"/>
    </row>
    <row r="364" spans="14:14">
      <c r="N364" s="275"/>
    </row>
    <row r="365" spans="14:14">
      <c r="N365" s="275"/>
    </row>
    <row r="366" spans="14:14">
      <c r="N366" s="275"/>
    </row>
    <row r="367" spans="14:14">
      <c r="N367" s="275"/>
    </row>
    <row r="368" spans="14:14">
      <c r="N368" s="275"/>
    </row>
    <row r="369" spans="14:14">
      <c r="N369" s="275"/>
    </row>
    <row r="370" spans="14:14">
      <c r="N370" s="275"/>
    </row>
    <row r="371" spans="14:14">
      <c r="N371" s="275"/>
    </row>
    <row r="372" spans="14:14">
      <c r="N372" s="275"/>
    </row>
    <row r="373" spans="14:14">
      <c r="N373" s="275"/>
    </row>
    <row r="374" spans="14:14">
      <c r="N374" s="275"/>
    </row>
    <row r="375" spans="14:14">
      <c r="N375" s="275"/>
    </row>
    <row r="376" spans="14:14">
      <c r="N376" s="275"/>
    </row>
    <row r="377" spans="14:14">
      <c r="N377" s="275"/>
    </row>
    <row r="378" spans="14:14">
      <c r="N378" s="275"/>
    </row>
    <row r="379" spans="14:14">
      <c r="N379" s="275"/>
    </row>
    <row r="380" spans="14:14">
      <c r="N380" s="275"/>
    </row>
    <row r="381" spans="14:14">
      <c r="N381" s="275"/>
    </row>
    <row r="382" spans="14:14">
      <c r="N382" s="275"/>
    </row>
    <row r="383" spans="14:14">
      <c r="N383" s="275"/>
    </row>
    <row r="384" spans="14:14">
      <c r="N384" s="275"/>
    </row>
    <row r="385" spans="14:14">
      <c r="N385" s="275"/>
    </row>
    <row r="386" spans="14:14">
      <c r="N386" s="275"/>
    </row>
    <row r="387" spans="14:14">
      <c r="N387" s="275"/>
    </row>
    <row r="388" spans="14:14">
      <c r="N388" s="275"/>
    </row>
    <row r="389" spans="14:14">
      <c r="N389" s="275"/>
    </row>
    <row r="390" spans="14:14">
      <c r="N390" s="275"/>
    </row>
    <row r="391" spans="14:14">
      <c r="N391" s="275"/>
    </row>
    <row r="392" spans="14:14">
      <c r="N392" s="275"/>
    </row>
    <row r="393" spans="14:14">
      <c r="N393" s="275"/>
    </row>
    <row r="394" spans="14:14">
      <c r="N394" s="275"/>
    </row>
    <row r="395" spans="14:14">
      <c r="N395" s="275"/>
    </row>
    <row r="396" spans="14:14">
      <c r="N396" s="275"/>
    </row>
    <row r="397" spans="14:14">
      <c r="N397" s="275"/>
    </row>
    <row r="398" spans="14:14">
      <c r="N398" s="275"/>
    </row>
    <row r="399" spans="14:14">
      <c r="N399" s="275"/>
    </row>
    <row r="400" spans="14:14">
      <c r="N400" s="275"/>
    </row>
    <row r="401" spans="14:14">
      <c r="N401" s="275"/>
    </row>
    <row r="402" spans="14:14">
      <c r="N402" s="275"/>
    </row>
    <row r="403" spans="14:14">
      <c r="N403" s="275"/>
    </row>
    <row r="404" spans="14:14">
      <c r="N404" s="275"/>
    </row>
  </sheetData>
  <sheetProtection selectLockedCells="1" selectUnlockedCells="1"/>
  <autoFilter ref="F1:L404" xr:uid="{00000000-0009-0000-0000-000005000000}"/>
  <sortState xmlns:xlrd2="http://schemas.microsoft.com/office/spreadsheetml/2017/richdata2" ref="F68:N224">
    <sortCondition ref="F68:F224"/>
  </sortState>
  <mergeCells count="8">
    <mergeCell ref="A2:A6"/>
    <mergeCell ref="A35:A38"/>
    <mergeCell ref="A9:A10"/>
    <mergeCell ref="A11:A13"/>
    <mergeCell ref="A31:A32"/>
    <mergeCell ref="A7:A8"/>
    <mergeCell ref="A20:A23"/>
    <mergeCell ref="A28:A29"/>
  </mergeCells>
  <phoneticPr fontId="14" type="noConversion"/>
  <conditionalFormatting sqref="C2">
    <cfRule type="duplicateValues" dxfId="116" priority="1" stopIfTrue="1"/>
  </conditionalFormatting>
  <conditionalFormatting sqref="Q6:AV13">
    <cfRule type="cellIs" dxfId="115" priority="2" operator="greaterThan">
      <formula>0</formula>
    </cfRule>
  </conditionalFormatting>
  <conditionalFormatting sqref="Q19:AV37">
    <cfRule type="cellIs" dxfId="114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4:J66 J3:J52 J68:J225" xr:uid="{00F4E413-23E2-4CD8-8BC5-8D8273B72449}">
      <formula1>סוג_תשלום</formula1>
    </dataValidation>
    <dataValidation type="list" errorStyle="warning" allowBlank="1" showInputMessage="1" showErrorMessage="1" errorTitle="חסרה קטגוריה" sqref="H68:H171 H54:H66 H3:H52 H187:H221" xr:uid="{660C885B-CA9E-46F5-B5E3-0A1B76F735EB}">
      <formula1>סוג_הוצאה</formula1>
    </dataValidation>
  </dataValidations>
  <pageMargins left="0.75" right="0.75" top="1" bottom="1" header="0.51180555555555551" footer="0.51180555555555551"/>
  <pageSetup firstPageNumber="0" orientation="landscape" horizontalDpi="300" verticalDpi="300" r:id="rId1"/>
  <headerFooter alignWithMargins="0"/>
  <ignoredErrors>
    <ignoredError sqref="F68:F224" numberStoredAsText="1"/>
    <ignoredError sqref="I56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6BFFCB-CA6D-4BB7-8F8F-65C27AFEB517}">
          <x14:formula1>
            <xm:f>Dropdown!$D$2:$D$9</xm:f>
          </x14:formula1>
          <xm:sqref>P18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W264"/>
  <sheetViews>
    <sheetView rightToLeft="1" topLeftCell="D1" zoomScale="85" zoomScaleNormal="85" workbookViewId="0">
      <pane ySplit="1" topLeftCell="A2" activePane="bottomLeft" state="frozen"/>
      <selection activeCell="I24" sqref="I24"/>
      <selection pane="bottomLeft" activeCell="R44" sqref="R44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5703125" style="204" customWidth="1"/>
    <col min="4" max="4" width="10.85546875" style="204" bestFit="1" customWidth="1"/>
    <col min="5" max="5" width="10.7109375" style="204" customWidth="1"/>
    <col min="6" max="6" width="8.7109375" style="226" customWidth="1"/>
    <col min="7" max="7" width="10.2851562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04"/>
    <col min="16" max="16" width="19.7109375" style="204" bestFit="1" customWidth="1"/>
    <col min="17" max="17" width="10.5703125" style="204" bestFit="1" customWidth="1"/>
    <col min="18" max="18" width="11.5703125" style="204" bestFit="1" customWidth="1"/>
    <col min="19" max="21" width="4.28515625" style="204" bestFit="1" customWidth="1"/>
    <col min="22" max="22" width="5.140625" style="204" bestFit="1" customWidth="1"/>
    <col min="23" max="23" width="4.28515625" style="204" bestFit="1" customWidth="1"/>
    <col min="24" max="24" width="5.42578125" style="204" bestFit="1" customWidth="1"/>
    <col min="25" max="25" width="4.140625" style="204" bestFit="1" customWidth="1"/>
    <col min="26" max="26" width="3.7109375" style="204" bestFit="1" customWidth="1"/>
    <col min="27" max="27" width="5.42578125" style="204" bestFit="1" customWidth="1"/>
    <col min="28" max="28" width="4.28515625" style="204" bestFit="1" customWidth="1"/>
    <col min="29" max="29" width="5.140625" style="204" bestFit="1" customWidth="1"/>
    <col min="30" max="31" width="4.28515625" style="204" bestFit="1" customWidth="1"/>
    <col min="32" max="32" width="5.42578125" style="204" bestFit="1" customWidth="1"/>
    <col min="33" max="33" width="4.28515625" style="204" bestFit="1" customWidth="1"/>
    <col min="34" max="34" width="3.28515625" style="204" bestFit="1" customWidth="1"/>
    <col min="35" max="35" width="4.28515625" style="204" bestFit="1" customWidth="1"/>
    <col min="36" max="36" width="4.85546875" style="204" bestFit="1" customWidth="1"/>
    <col min="37" max="37" width="3.28515625" style="204" bestFit="1" customWidth="1"/>
    <col min="38" max="39" width="4.28515625" style="204" bestFit="1" customWidth="1"/>
    <col min="40" max="40" width="4.140625" style="204" bestFit="1" customWidth="1"/>
    <col min="41" max="45" width="4.28515625" style="204" bestFit="1" customWidth="1"/>
    <col min="46" max="48" width="3.285156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>
        <v>2</v>
      </c>
      <c r="B1" s="214" t="s">
        <v>205</v>
      </c>
      <c r="C1" s="215" t="s">
        <v>1</v>
      </c>
      <c r="D1" s="216" t="s">
        <v>351</v>
      </c>
      <c r="E1" s="222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21411.51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1646.6100000000001</v>
      </c>
      <c r="D3" s="224"/>
      <c r="G3" s="204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9784.33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34871.200000000004</v>
      </c>
      <c r="G4" s="204">
        <v>369.5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04">
        <v>690.2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04">
        <v>1795.18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20107.229999999996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417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590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5650</v>
      </c>
      <c r="AG6" s="297">
        <f t="shared" si="2"/>
        <v>0</v>
      </c>
      <c r="AH6" s="297">
        <f t="shared" si="2"/>
        <v>194036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220800.22999999998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04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1950.36</v>
      </c>
      <c r="R7" s="297">
        <f t="shared" si="1"/>
        <v>482.9</v>
      </c>
      <c r="S7" s="297">
        <f t="shared" si="1"/>
        <v>638.70000000000005</v>
      </c>
      <c r="T7" s="297">
        <f t="shared" si="1"/>
        <v>166.55</v>
      </c>
      <c r="U7" s="297">
        <f t="shared" si="1"/>
        <v>477.6</v>
      </c>
      <c r="V7" s="297">
        <f t="shared" si="1"/>
        <v>1201.7799999999997</v>
      </c>
      <c r="W7" s="297">
        <f t="shared" si="1"/>
        <v>184</v>
      </c>
      <c r="X7" s="297">
        <f t="shared" si="1"/>
        <v>0</v>
      </c>
      <c r="Y7" s="297">
        <f t="shared" si="1"/>
        <v>683.81</v>
      </c>
      <c r="Z7" s="297">
        <f t="shared" si="1"/>
        <v>168.9</v>
      </c>
      <c r="AA7" s="297">
        <f t="shared" si="1"/>
        <v>430.9</v>
      </c>
      <c r="AB7" s="297">
        <f t="shared" si="2"/>
        <v>67.099999999999994</v>
      </c>
      <c r="AC7" s="297">
        <f t="shared" si="2"/>
        <v>1066.1399999999999</v>
      </c>
      <c r="AD7" s="297">
        <f t="shared" si="2"/>
        <v>0</v>
      </c>
      <c r="AE7" s="297">
        <f t="shared" si="2"/>
        <v>9</v>
      </c>
      <c r="AF7" s="297">
        <f t="shared" si="2"/>
        <v>325.66999999999996</v>
      </c>
      <c r="AG7" s="297">
        <f t="shared" si="2"/>
        <v>806.5</v>
      </c>
      <c r="AH7" s="297">
        <f t="shared" si="2"/>
        <v>0</v>
      </c>
      <c r="AI7" s="297">
        <f t="shared" si="2"/>
        <v>870.25</v>
      </c>
      <c r="AJ7" s="297">
        <f t="shared" si="2"/>
        <v>644.48000000000013</v>
      </c>
      <c r="AK7" s="297">
        <f t="shared" si="2"/>
        <v>173.56</v>
      </c>
      <c r="AL7" s="297">
        <f t="shared" si="3"/>
        <v>179.49</v>
      </c>
      <c r="AM7" s="297">
        <f t="shared" si="3"/>
        <v>0</v>
      </c>
      <c r="AN7" s="297">
        <f t="shared" si="3"/>
        <v>285.58</v>
      </c>
      <c r="AO7" s="297">
        <f t="shared" si="3"/>
        <v>29.8</v>
      </c>
      <c r="AP7" s="297">
        <f t="shared" si="3"/>
        <v>554.02</v>
      </c>
      <c r="AQ7" s="297">
        <f t="shared" si="3"/>
        <v>257.14999999999998</v>
      </c>
      <c r="AR7" s="297">
        <f t="shared" si="3"/>
        <v>824.6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12478.839999999997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3388.38</v>
      </c>
      <c r="D8" s="198"/>
      <c r="G8" s="204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0</v>
      </c>
      <c r="R8" s="297">
        <f t="shared" si="1"/>
        <v>234.05</v>
      </c>
      <c r="S8" s="297">
        <f t="shared" si="1"/>
        <v>0</v>
      </c>
      <c r="T8" s="297">
        <f t="shared" si="1"/>
        <v>0</v>
      </c>
      <c r="U8" s="297">
        <f t="shared" si="1"/>
        <v>35.6</v>
      </c>
      <c r="V8" s="297">
        <f t="shared" si="1"/>
        <v>22.8</v>
      </c>
      <c r="W8" s="297">
        <f t="shared" si="1"/>
        <v>0</v>
      </c>
      <c r="X8" s="297">
        <f t="shared" si="1"/>
        <v>0</v>
      </c>
      <c r="Y8" s="297">
        <f t="shared" si="1"/>
        <v>231.56</v>
      </c>
      <c r="Z8" s="297">
        <f t="shared" si="1"/>
        <v>176.93</v>
      </c>
      <c r="AA8" s="297">
        <f t="shared" si="1"/>
        <v>0</v>
      </c>
      <c r="AB8" s="297">
        <f t="shared" si="2"/>
        <v>0</v>
      </c>
      <c r="AC8" s="297">
        <f t="shared" si="2"/>
        <v>55</v>
      </c>
      <c r="AD8" s="297">
        <f t="shared" si="2"/>
        <v>0</v>
      </c>
      <c r="AE8" s="297">
        <f t="shared" si="2"/>
        <v>254.58</v>
      </c>
      <c r="AF8" s="297">
        <f t="shared" si="2"/>
        <v>0</v>
      </c>
      <c r="AG8" s="297">
        <f t="shared" si="2"/>
        <v>49.09</v>
      </c>
      <c r="AH8" s="297">
        <f t="shared" si="2"/>
        <v>0</v>
      </c>
      <c r="AI8" s="297">
        <f t="shared" si="2"/>
        <v>334.11</v>
      </c>
      <c r="AJ8" s="297">
        <f t="shared" si="2"/>
        <v>20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150</v>
      </c>
      <c r="AO8" s="297">
        <f t="shared" si="3"/>
        <v>48</v>
      </c>
      <c r="AP8" s="297">
        <f t="shared" si="3"/>
        <v>273.59000000000003</v>
      </c>
      <c r="AQ8" s="297">
        <f t="shared" si="3"/>
        <v>87.38</v>
      </c>
      <c r="AR8" s="297">
        <f t="shared" si="3"/>
        <v>30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2002.6900000000005</v>
      </c>
    </row>
    <row r="9" spans="1:49">
      <c r="A9" s="461" t="s">
        <v>59</v>
      </c>
      <c r="B9" s="196" t="s">
        <v>356</v>
      </c>
      <c r="C9" s="196">
        <v>2593.1799999999998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5530.6100000000006</v>
      </c>
      <c r="G9" s="204">
        <v>111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4085.7200000000003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247.70000000000002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150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4483.42</v>
      </c>
    </row>
    <row r="10" spans="1:49">
      <c r="A10" s="460"/>
      <c r="B10" s="196" t="s">
        <v>8</v>
      </c>
      <c r="C10" s="208">
        <f>-420-100</f>
        <v>-520</v>
      </c>
      <c r="D10" s="197"/>
      <c r="G10" s="204">
        <v>387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2607.25</v>
      </c>
      <c r="R10" s="297">
        <f t="shared" si="1"/>
        <v>140</v>
      </c>
      <c r="S10" s="297">
        <f t="shared" si="1"/>
        <v>275.47000000000003</v>
      </c>
      <c r="T10" s="297">
        <f t="shared" si="1"/>
        <v>0</v>
      </c>
      <c r="U10" s="297">
        <f t="shared" si="1"/>
        <v>76.8</v>
      </c>
      <c r="V10" s="297">
        <f t="shared" si="1"/>
        <v>94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1192.73</v>
      </c>
      <c r="AA10" s="297">
        <f t="shared" si="1"/>
        <v>164.18</v>
      </c>
      <c r="AB10" s="297">
        <f t="shared" si="2"/>
        <v>0</v>
      </c>
      <c r="AC10" s="297">
        <f t="shared" si="2"/>
        <v>613.6</v>
      </c>
      <c r="AD10" s="297">
        <f t="shared" si="2"/>
        <v>361</v>
      </c>
      <c r="AE10" s="297">
        <f t="shared" si="2"/>
        <v>0</v>
      </c>
      <c r="AF10" s="297">
        <f t="shared" si="2"/>
        <v>53</v>
      </c>
      <c r="AG10" s="297">
        <f t="shared" si="2"/>
        <v>475.65</v>
      </c>
      <c r="AH10" s="297">
        <f t="shared" si="2"/>
        <v>0</v>
      </c>
      <c r="AI10" s="297">
        <f t="shared" si="2"/>
        <v>551</v>
      </c>
      <c r="AJ10" s="297">
        <f t="shared" si="2"/>
        <v>0</v>
      </c>
      <c r="AK10" s="297">
        <f t="shared" si="2"/>
        <v>1996.65</v>
      </c>
      <c r="AL10" s="297">
        <f t="shared" si="3"/>
        <v>385.15999999999997</v>
      </c>
      <c r="AM10" s="297">
        <f t="shared" si="3"/>
        <v>1410.31</v>
      </c>
      <c r="AN10" s="297">
        <f t="shared" si="3"/>
        <v>92</v>
      </c>
      <c r="AO10" s="297">
        <f t="shared" si="3"/>
        <v>0</v>
      </c>
      <c r="AP10" s="297">
        <f t="shared" si="3"/>
        <v>112</v>
      </c>
      <c r="AQ10" s="297">
        <f t="shared" si="3"/>
        <v>200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10800.8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04">
        <v>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1398.12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60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135</v>
      </c>
      <c r="AH11" s="297">
        <f t="shared" si="2"/>
        <v>0</v>
      </c>
      <c r="AI11" s="297">
        <f t="shared" si="2"/>
        <v>185.24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71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99.9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1949.26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9000</v>
      </c>
      <c r="G12" s="204">
        <v>1119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3081.44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34.9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3116.34</v>
      </c>
    </row>
    <row r="13" spans="1:49">
      <c r="A13" s="460"/>
      <c r="B13" s="196" t="s">
        <v>20</v>
      </c>
      <c r="C13" s="208">
        <f>-332466+101960+92076+20000</f>
        <v>-118430</v>
      </c>
      <c r="D13" s="197"/>
      <c r="G13" s="204">
        <v>305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27236.57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27236.57</v>
      </c>
    </row>
    <row r="14" spans="1:49">
      <c r="A14" s="229" t="s">
        <v>21</v>
      </c>
      <c r="B14" s="196" t="s">
        <v>22</v>
      </c>
      <c r="C14" s="196"/>
      <c r="D14" s="198"/>
      <c r="G14" s="204">
        <v>100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04">
        <v>2023.42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04">
        <v>1364.96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04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347">
        <f ca="1">SUM(C2:C17)</f>
        <v>-79625.990000000005</v>
      </c>
      <c r="D18" s="259">
        <f ca="1">SUM(D2:D17)</f>
        <v>49411.810000000005</v>
      </c>
      <c r="E18" s="232"/>
      <c r="G18" s="204">
        <v>1166.05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32"/>
      <c r="G19" s="204">
        <v>99.82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0</v>
      </c>
      <c r="R19" s="297">
        <f t="shared" ref="R19:AA28" si="6">SUMIFS($G:$G,$H:$H,$P19,$F:$F,TEXT(R$5,"00") &amp; "." &amp; TEXT($A$1,"00"))</f>
        <v>298.89999999999998</v>
      </c>
      <c r="S19" s="297">
        <f t="shared" si="6"/>
        <v>638.70000000000005</v>
      </c>
      <c r="T19" s="297">
        <f t="shared" si="6"/>
        <v>166.55</v>
      </c>
      <c r="U19" s="297">
        <f t="shared" si="6"/>
        <v>477.6</v>
      </c>
      <c r="V19" s="297">
        <f t="shared" si="6"/>
        <v>931.87999999999988</v>
      </c>
      <c r="W19" s="297">
        <f t="shared" si="6"/>
        <v>116</v>
      </c>
      <c r="X19" s="297">
        <f t="shared" si="6"/>
        <v>0</v>
      </c>
      <c r="Y19" s="297">
        <f t="shared" si="6"/>
        <v>106.5</v>
      </c>
      <c r="Z19" s="297">
        <f t="shared" si="6"/>
        <v>0</v>
      </c>
      <c r="AA19" s="297">
        <f t="shared" si="6"/>
        <v>385.9</v>
      </c>
      <c r="AB19" s="297">
        <f t="shared" ref="AB19:AK28" si="7">SUMIFS($G:$G,$H:$H,$P19,$F:$F,TEXT(AB$5,"00") &amp; "." &amp; TEXT($A$1,"00"))</f>
        <v>67.099999999999994</v>
      </c>
      <c r="AC19" s="297">
        <f t="shared" si="7"/>
        <v>1066.1399999999999</v>
      </c>
      <c r="AD19" s="297">
        <f t="shared" si="7"/>
        <v>0</v>
      </c>
      <c r="AE19" s="297">
        <f t="shared" si="7"/>
        <v>9</v>
      </c>
      <c r="AF19" s="297">
        <f t="shared" si="7"/>
        <v>292.67</v>
      </c>
      <c r="AG19" s="297">
        <f t="shared" si="7"/>
        <v>636.70000000000005</v>
      </c>
      <c r="AH19" s="297">
        <f t="shared" si="7"/>
        <v>0</v>
      </c>
      <c r="AI19" s="297">
        <f t="shared" si="7"/>
        <v>639.35</v>
      </c>
      <c r="AJ19" s="297">
        <f t="shared" si="7"/>
        <v>178.67000000000002</v>
      </c>
      <c r="AK19" s="297">
        <f t="shared" si="7"/>
        <v>63</v>
      </c>
      <c r="AL19" s="297">
        <f t="shared" ref="AL19:AV28" si="8">SUMIFS($G:$G,$H:$H,$P19,$F:$F,TEXT(AL$5,"00") &amp; "." &amp; TEXT($A$1,"00"))</f>
        <v>179.49</v>
      </c>
      <c r="AM19" s="297">
        <f t="shared" si="8"/>
        <v>0</v>
      </c>
      <c r="AN19" s="297">
        <f t="shared" si="8"/>
        <v>189.88</v>
      </c>
      <c r="AO19" s="297">
        <f t="shared" si="8"/>
        <v>29.8</v>
      </c>
      <c r="AP19" s="297">
        <f t="shared" si="8"/>
        <v>554.02</v>
      </c>
      <c r="AQ19" s="297">
        <f t="shared" si="8"/>
        <v>257.14999999999998</v>
      </c>
      <c r="AR19" s="297">
        <f t="shared" si="8"/>
        <v>431.4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7716.4</v>
      </c>
    </row>
    <row r="20" spans="1:49">
      <c r="A20" s="462" t="s">
        <v>25</v>
      </c>
      <c r="B20" s="206" t="s">
        <v>337</v>
      </c>
      <c r="C20" s="346">
        <v>16588.759999999998</v>
      </c>
      <c r="D20" s="207">
        <f>SUMIFS(עסק!AA:AA,עסק!Z:Z,$A$1,עסק!AC:AC,"צ'ק")</f>
        <v>0</v>
      </c>
      <c r="E20" s="232"/>
      <c r="G20" s="204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9000</v>
      </c>
      <c r="D21" s="198">
        <f>SUMIFS(עסק!E:E,עסק!D:D,$A$1,עסק!G:G,"העברה")+SUMIFS(עסק!E:E,עסק!D:D,$A$1,עסק!G:G,"צ'ק")</f>
        <v>39317</v>
      </c>
      <c r="G21" s="204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169</v>
      </c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276</v>
      </c>
      <c r="D22" s="198"/>
      <c r="G22" s="204">
        <v>138.30000000000001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794</v>
      </c>
      <c r="D23" s="202"/>
      <c r="G23" s="204">
        <v>80.319999999999993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377.31</v>
      </c>
      <c r="Z23" s="297">
        <f t="shared" si="6"/>
        <v>19.899999999999999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465.81000000000006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863.02</v>
      </c>
    </row>
    <row r="24" spans="1:49">
      <c r="A24" s="261" t="s">
        <v>24</v>
      </c>
      <c r="B24" s="262"/>
      <c r="C24" s="255">
        <f ca="1">SUM(C20:C23)</f>
        <v>26658.76</v>
      </c>
      <c r="D24" s="254">
        <f>SUM(D20:D23)</f>
        <v>39317</v>
      </c>
      <c r="G24" s="204">
        <v>29.96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269.89999999999998</v>
      </c>
      <c r="W24" s="297">
        <f t="shared" si="6"/>
        <v>68</v>
      </c>
      <c r="X24" s="297">
        <f t="shared" si="6"/>
        <v>0</v>
      </c>
      <c r="Y24" s="297">
        <f t="shared" si="6"/>
        <v>200</v>
      </c>
      <c r="Z24" s="297">
        <f t="shared" si="6"/>
        <v>149</v>
      </c>
      <c r="AA24" s="297">
        <f t="shared" si="6"/>
        <v>45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33</v>
      </c>
      <c r="AG24" s="297">
        <f t="shared" si="7"/>
        <v>169.8</v>
      </c>
      <c r="AH24" s="297">
        <f t="shared" si="7"/>
        <v>0</v>
      </c>
      <c r="AI24" s="297">
        <f t="shared" si="7"/>
        <v>230.9</v>
      </c>
      <c r="AJ24" s="297">
        <f t="shared" si="7"/>
        <v>0</v>
      </c>
      <c r="AK24" s="297">
        <f t="shared" si="7"/>
        <v>110.56</v>
      </c>
      <c r="AL24" s="297">
        <f t="shared" si="8"/>
        <v>0</v>
      </c>
      <c r="AM24" s="297">
        <f t="shared" si="8"/>
        <v>0</v>
      </c>
      <c r="AN24" s="297">
        <f t="shared" si="8"/>
        <v>95.7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393.2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1765.0600000000002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04">
        <v>10.42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26658.76</v>
      </c>
      <c r="D26" s="257">
        <f>SUM(D24:D25)</f>
        <v>39317</v>
      </c>
      <c r="G26" s="204">
        <v>53.91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04">
        <v>258.99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מכשירים</v>
      </c>
      <c r="Q27" s="297">
        <f t="shared" si="5"/>
        <v>1138.8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1138.8</v>
      </c>
    </row>
    <row r="28" spans="1:49">
      <c r="A28" s="467" t="s">
        <v>28</v>
      </c>
      <c r="B28" s="239" t="s">
        <v>29</v>
      </c>
      <c r="C28" s="239">
        <f ca="1">'1'!C29</f>
        <v>70551.579999999958</v>
      </c>
      <c r="D28" s="240">
        <f ca="1">'1'!D29</f>
        <v>10131.390000000007</v>
      </c>
      <c r="G28" s="204">
        <v>274.58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הוצאות לעסק</v>
      </c>
      <c r="Q28" s="297">
        <f t="shared" si="5"/>
        <v>637.20000000000005</v>
      </c>
      <c r="R28" s="297">
        <f t="shared" si="6"/>
        <v>184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821.2</v>
      </c>
    </row>
    <row r="29" spans="1:49">
      <c r="A29" s="468"/>
      <c r="B29" s="204" t="s">
        <v>30</v>
      </c>
      <c r="C29" s="241">
        <f ca="1">C28+C24-C18</f>
        <v>176836.32999999996</v>
      </c>
      <c r="D29" s="242">
        <f ca="1">D28+D24-D18</f>
        <v>36.580000000001746</v>
      </c>
      <c r="G29" s="204">
        <v>191.94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מנויים</v>
      </c>
      <c r="Q29" s="297">
        <f t="shared" si="5"/>
        <v>174.36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174.36</v>
      </c>
    </row>
    <row r="30" spans="1:49">
      <c r="A30" s="243" t="s">
        <v>31</v>
      </c>
      <c r="B30" s="204" t="s">
        <v>32</v>
      </c>
      <c r="C30" s="204">
        <f ca="1">SUM(Data!$B$2+C29)</f>
        <v>211836.32999999996</v>
      </c>
      <c r="D30" s="244">
        <f ca="1">SUM(Data!$B$3+D29)</f>
        <v>10036.580000000002</v>
      </c>
      <c r="G30" s="204">
        <v>272.8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106784.75</v>
      </c>
      <c r="D31" s="244">
        <f ca="1">SUM(D29+D16-D28)</f>
        <v>-10094.810000000005</v>
      </c>
      <c r="G31" s="204">
        <v>277.23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106284.75</v>
      </c>
      <c r="D32" s="246">
        <f ca="1">D24-D18</f>
        <v>-10094.810000000005</v>
      </c>
      <c r="G32" s="204">
        <v>97.77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04">
        <v>63.25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22"/>
      <c r="G34" s="204">
        <v>128.05000000000001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456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'1'!D35-C35</f>
        <v>58550</v>
      </c>
      <c r="E35" s="222"/>
      <c r="G35" s="204">
        <f ca="1">SUMIF(פקדונות!B:G,$A$1,פקדונות!F:F)</f>
        <v>500</v>
      </c>
      <c r="H35" s="204" t="s">
        <v>176</v>
      </c>
      <c r="I35" s="204" t="str">
        <f>_xlfn.XLOOKUP(H35,Dropdown!B:B,Dropdown!C:C)</f>
        <v>ביטוחים ופיננסים</v>
      </c>
      <c r="J35" s="204" t="s">
        <v>179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22"/>
      <c r="G36" s="204">
        <v>0</v>
      </c>
      <c r="H36" s="204" t="s">
        <v>83</v>
      </c>
      <c r="I36" s="204" t="str">
        <f>_xlfn.XLOOKUP(H36,Dropdown!B:B,Dropdown!C:C)</f>
        <v>תחזוקת דירה ותקשורת</v>
      </c>
      <c r="J36" s="204" t="s">
        <v>179</v>
      </c>
      <c r="L36" s="228"/>
      <c r="M36" s="228"/>
      <c r="N36" s="228"/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22"/>
      <c r="G37" s="204">
        <f>15000-6000</f>
        <v>9000</v>
      </c>
      <c r="H37" s="204" t="s">
        <v>335</v>
      </c>
      <c r="I37" s="204" t="str">
        <f>_xlfn.XLOOKUP(H37,Dropdown!B:B,Dropdown!C:C)</f>
        <v>עסק</v>
      </c>
      <c r="J37" s="204" t="s">
        <v>352</v>
      </c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22"/>
      <c r="G38" s="204">
        <v>3217.61</v>
      </c>
      <c r="H38" s="204" t="s">
        <v>328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22"/>
      <c r="G39" s="204">
        <v>0</v>
      </c>
      <c r="H39" s="204" t="s">
        <v>326</v>
      </c>
      <c r="I39" s="204" t="str">
        <f>_xlfn.XLOOKUP(H39,Dropdown!B:B,Dropdown!C:C)</f>
        <v>עסק</v>
      </c>
      <c r="J39" s="204" t="s">
        <v>400</v>
      </c>
    </row>
    <row r="40" spans="1:49" ht="13.5" thickBot="1">
      <c r="D40" s="136"/>
      <c r="G40" s="204">
        <v>5011</v>
      </c>
      <c r="H40" s="204" t="s">
        <v>327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04">
        <v>5414</v>
      </c>
      <c r="H41" s="204" t="s">
        <v>329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25941.88</v>
      </c>
      <c r="G42" s="204">
        <v>600</v>
      </c>
      <c r="H42" s="204" t="s">
        <v>330</v>
      </c>
      <c r="I42" s="204" t="str">
        <f>_xlfn.XLOOKUP(H42,Dropdown!B:B,Dropdown!C:C)</f>
        <v>עסק</v>
      </c>
      <c r="J42" s="204" t="s">
        <v>352</v>
      </c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20101.07</v>
      </c>
      <c r="C43" s="269" t="s">
        <v>451</v>
      </c>
      <c r="D43" s="205">
        <f ca="1">50000-C4</f>
        <v>40215.67</v>
      </c>
      <c r="G43" s="204">
        <v>1713</v>
      </c>
      <c r="H43" s="204" t="s">
        <v>236</v>
      </c>
      <c r="I43" s="204" t="str">
        <f>_xlfn.XLOOKUP(H43,Dropdown!B:B,Dropdown!C:C)</f>
        <v>עסק</v>
      </c>
      <c r="J43" s="204" t="s">
        <v>352</v>
      </c>
      <c r="P43" s="204" t="s">
        <v>639</v>
      </c>
      <c r="Q43" s="352">
        <f ca="1">'1'!Q46</f>
        <v>-32531.029999999992</v>
      </c>
      <c r="R43" s="352">
        <f ca="1">'1'!R46</f>
        <v>98117.609999999986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15128.799999999996</v>
      </c>
      <c r="G44" s="204">
        <v>43.9</v>
      </c>
      <c r="H44" s="204" t="s">
        <v>406</v>
      </c>
      <c r="I44" s="204" t="str">
        <f>_xlfn.XLOOKUP(H44,Dropdown!B:B,Dropdown!C:C)</f>
        <v>מזון וקניות</v>
      </c>
      <c r="J44" s="204" t="s">
        <v>168</v>
      </c>
      <c r="M44" s="275" t="s">
        <v>446</v>
      </c>
      <c r="P44" s="204" t="s">
        <v>25</v>
      </c>
      <c r="Q44" s="352">
        <f ca="1">C24</f>
        <v>26658.76</v>
      </c>
      <c r="R44" s="352">
        <f>332466-20000</f>
        <v>312466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04">
        <v>63.46</v>
      </c>
      <c r="H45" s="204" t="s">
        <v>406</v>
      </c>
      <c r="I45" s="204" t="str">
        <f>_xlfn.XLOOKUP(H45,Dropdown!B:B,Dropdown!C:C)</f>
        <v>מזון וקניות</v>
      </c>
      <c r="J45" s="204" t="s">
        <v>399</v>
      </c>
      <c r="M45" s="275" t="s">
        <v>441</v>
      </c>
      <c r="P45" s="204" t="s">
        <v>49</v>
      </c>
      <c r="Q45" s="352">
        <f ca="1">C18-R45+R44+SUMIFS((INDIRECT("'"&amp;$A$1&amp;"'!"&amp;"G:G")), (INDIRECT("'"&amp;$A$1&amp;"'!"&amp;"H:H")), R42, (INDIRECT("'"&amp;$A$1&amp;"'!"&amp;"J:J")), "ל-פ 1")+SUMIFS((INDIRECT("'"&amp;$B$1&amp;"'!"&amp;"G:G")),(INDIRECT("'"&amp;$B$1&amp;"'!"&amp;"H:H")), R42,(INDIRECT("'"&amp;$B$1&amp;"'!"&amp;"J:J")), "ל-פ 2")</f>
        <v>32138.010000000009</v>
      </c>
      <c r="R45" s="352">
        <f ca="1">SUMIFS(G:G,H:H,R42,J:J,"העברה")+SUMIFS((INDIRECT("'"&amp;$A$1&amp;"'!"&amp;"G:G")), (INDIRECT("'"&amp;$A$1&amp;"'!"&amp;"H:H")), R42, (INDIRECT("'"&amp;$A$1&amp;"'!"&amp;"J:J")), "*1*")+SUMIFS((INDIRECT("'"&amp;$B$1&amp;"'!"&amp;"G:G")),(INDIRECT("'"&amp;$B$1&amp;"'!"&amp;"H:H")), R42,(INDIRECT("'"&amp;$B$1&amp;"'!"&amp;"J:J")), "*2*")</f>
        <v>205062</v>
      </c>
    </row>
    <row r="46" spans="1:49" ht="13.5" thickBot="1">
      <c r="B46" s="268"/>
      <c r="C46" s="272"/>
      <c r="D46" s="257">
        <f ca="1">SUM(D42:D45)</f>
        <v>81286.350000000006</v>
      </c>
      <c r="G46" s="204">
        <v>67</v>
      </c>
      <c r="H46" s="204" t="s">
        <v>406</v>
      </c>
      <c r="I46" s="204" t="str">
        <f>_xlfn.XLOOKUP(H46,Dropdown!B:B,Dropdown!C:C)</f>
        <v>מזון וקניות</v>
      </c>
      <c r="J46" s="204" t="s">
        <v>166</v>
      </c>
      <c r="M46" t="s">
        <v>577</v>
      </c>
      <c r="P46" s="204" t="s">
        <v>273</v>
      </c>
      <c r="Q46" s="352">
        <f ca="1">Q43+Q44-Q45</f>
        <v>-38010.28</v>
      </c>
      <c r="R46" s="352">
        <f ca="1">R43+R44-R45</f>
        <v>205521.61</v>
      </c>
    </row>
    <row r="47" spans="1:49">
      <c r="D47" s="136"/>
      <c r="G47" s="204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04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04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04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04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_xlfn.XLOOKUP(H53,Dropdown!B:B,Dropdown!C:C)</f>
        <v>תחזוקת דירה ותקשורת</v>
      </c>
      <c r="J53" s="204" t="s">
        <v>399</v>
      </c>
      <c r="K53" s="227">
        <v>2</v>
      </c>
      <c r="L53" s="253" t="s">
        <v>553</v>
      </c>
      <c r="M53" s="275" t="s">
        <v>569</v>
      </c>
      <c r="N53" s="350"/>
    </row>
    <row r="54" spans="1:14">
      <c r="G54" s="204">
        <v>1106.25</v>
      </c>
      <c r="H54" s="204" t="s">
        <v>124</v>
      </c>
      <c r="I54" s="204" t="str">
        <f>_xlfn.XLOOKUP(H54,Dropdown!B:B,Dropdown!C:C)</f>
        <v>תרבות ופנאי</v>
      </c>
      <c r="J54" s="204" t="s">
        <v>165</v>
      </c>
      <c r="K54" s="227">
        <v>3</v>
      </c>
      <c r="L54" s="253" t="s">
        <v>588</v>
      </c>
      <c r="M54" s="275" t="s">
        <v>589</v>
      </c>
    </row>
    <row r="55" spans="1:14">
      <c r="G55" s="204">
        <v>2000</v>
      </c>
      <c r="H55" s="204" t="s">
        <v>374</v>
      </c>
      <c r="I55" s="204" t="str">
        <f>_xlfn.XLOOKUP(H55,[2]Dropdown!B:B,[2]Dropdown!C:C)</f>
        <v>תחזוקת דירה ותקשורת</v>
      </c>
      <c r="J55" s="204" t="s">
        <v>168</v>
      </c>
      <c r="K55" s="227">
        <v>11</v>
      </c>
      <c r="L55" s="253" t="s">
        <v>610</v>
      </c>
      <c r="M55" s="275" t="s">
        <v>609</v>
      </c>
      <c r="N55" s="350"/>
    </row>
    <row r="56" spans="1:14">
      <c r="G56" s="204">
        <v>720</v>
      </c>
      <c r="H56" s="204" t="s">
        <v>134</v>
      </c>
      <c r="I56" s="204" t="str">
        <f>_xlfn.XLOOKUP(H56,[2]Dropdown!B:B,[2]Dropdown!C:C)</f>
        <v>ביטוחים ופיננסים</v>
      </c>
      <c r="J56" s="204" t="s">
        <v>400</v>
      </c>
      <c r="K56" s="227">
        <v>0</v>
      </c>
      <c r="L56" s="253" t="s">
        <v>489</v>
      </c>
      <c r="M56" s="275" t="s">
        <v>490</v>
      </c>
    </row>
    <row r="57" spans="1:14">
      <c r="G57" s="204">
        <v>1501</v>
      </c>
      <c r="H57" s="204" t="s">
        <v>118</v>
      </c>
      <c r="I57" s="204" t="str">
        <f>_xlfn.XLOOKUP(H57,[2]Dropdown!B:B,[2]Dropdown!C:C)</f>
        <v>תרבות ופנאי</v>
      </c>
      <c r="J57" s="204" t="s">
        <v>400</v>
      </c>
      <c r="K57" s="227">
        <v>4</v>
      </c>
      <c r="L57" s="253" t="s">
        <v>612</v>
      </c>
      <c r="M57" s="275" t="s">
        <v>613</v>
      </c>
    </row>
    <row r="58" spans="1:14">
      <c r="G58" s="204">
        <v>587.72</v>
      </c>
      <c r="H58" s="204" t="s">
        <v>111</v>
      </c>
      <c r="I58" s="204" t="str">
        <f>_xlfn.XLOOKUP(H58,Dropdown!B:B,Dropdown!C:C)</f>
        <v>ילדים וחינוך</v>
      </c>
      <c r="J58" s="204" t="s">
        <v>165</v>
      </c>
      <c r="K58" s="227">
        <v>5</v>
      </c>
      <c r="M58" s="275" t="s">
        <v>412</v>
      </c>
    </row>
    <row r="59" spans="1:14">
      <c r="G59" s="204">
        <v>1138.8</v>
      </c>
      <c r="H59" s="204" t="s">
        <v>279</v>
      </c>
      <c r="I59" s="204" t="str">
        <f>_xlfn.XLOOKUP(H59,Dropdown!B:B,Dropdown!C:C)</f>
        <v>מזון וקניות</v>
      </c>
      <c r="J59" s="204" t="s">
        <v>166</v>
      </c>
      <c r="K59" s="227">
        <v>1</v>
      </c>
      <c r="L59" s="253" t="s">
        <v>442</v>
      </c>
      <c r="M59" s="275" t="s">
        <v>443</v>
      </c>
    </row>
    <row r="60" spans="1:14">
      <c r="G60" s="204">
        <v>2280.96</v>
      </c>
      <c r="H60" s="204" t="s">
        <v>329</v>
      </c>
      <c r="I60" s="204" t="str">
        <f>_xlfn.XLOOKUP(H60,Dropdown!B:B,Dropdown!C:C)</f>
        <v>עסק</v>
      </c>
      <c r="J60" s="204" t="s">
        <v>400</v>
      </c>
      <c r="K60" s="227">
        <v>1</v>
      </c>
      <c r="L60" s="253" t="s">
        <v>508</v>
      </c>
    </row>
    <row r="61" spans="1:14">
      <c r="G61" s="204">
        <v>637.20000000000005</v>
      </c>
      <c r="H61" s="204" t="s">
        <v>275</v>
      </c>
      <c r="I61" s="204" t="str">
        <f>_xlfn.XLOOKUP(H61,Dropdown!B:B,Dropdown!C:C)</f>
        <v>מזון וקניות</v>
      </c>
      <c r="J61" s="204" t="s">
        <v>400</v>
      </c>
      <c r="M61" s="275" t="s">
        <v>611</v>
      </c>
    </row>
    <row r="62" spans="1:14">
      <c r="G62" s="204">
        <v>3164</v>
      </c>
      <c r="H62" s="204" t="s">
        <v>374</v>
      </c>
      <c r="I62" s="204" t="str">
        <f>_xlfn.XLOOKUP(H62,[2]Dropdown!B:B,[2]Dropdown!C:C)</f>
        <v>תחזוקת דירה ותקשורת</v>
      </c>
      <c r="J62" s="204" t="s">
        <v>166</v>
      </c>
      <c r="K62" s="227">
        <v>0</v>
      </c>
      <c r="L62" s="253" t="s">
        <v>519</v>
      </c>
      <c r="M62" s="275" t="s">
        <v>520</v>
      </c>
      <c r="N62" s="350"/>
    </row>
    <row r="63" spans="1:14">
      <c r="G63" s="204">
        <v>1602</v>
      </c>
      <c r="H63" s="204" t="s">
        <v>374</v>
      </c>
      <c r="I63" s="204" t="str">
        <f>_xlfn.XLOOKUP(H63,[2]Dropdown!B:B,[2]Dropdown!C:C)</f>
        <v>תחזוקת דירה ותקשורת</v>
      </c>
      <c r="J63" s="204" t="s">
        <v>166</v>
      </c>
      <c r="K63" s="227">
        <v>0</v>
      </c>
      <c r="L63" s="253" t="s">
        <v>519</v>
      </c>
      <c r="M63" s="275" t="s">
        <v>521</v>
      </c>
      <c r="N63" s="350"/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04">
        <v>2360</v>
      </c>
      <c r="H64" s="204" t="s">
        <v>374</v>
      </c>
      <c r="I64" s="204" t="str">
        <f>_xlfn.XLOOKUP(H64,[2]Dropdown!B:B,[2]Dropdown!C:C)</f>
        <v>תחזוקת דירה ותקשורת</v>
      </c>
      <c r="J64" s="204" t="s">
        <v>400</v>
      </c>
      <c r="K64" s="227">
        <v>0</v>
      </c>
      <c r="L64" s="253" t="s">
        <v>415</v>
      </c>
      <c r="M64" s="275" t="s">
        <v>435</v>
      </c>
      <c r="N64" s="350"/>
    </row>
    <row r="65" spans="1:14">
      <c r="A65" s="204" t="s">
        <v>426</v>
      </c>
      <c r="B65" s="204">
        <f>SUMIF(I:I,A65,G:G)-SUMIF(H:H,"הוצאות על הבנייה",G:G)</f>
        <v>220800.22999999998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207978.22999999998</v>
      </c>
      <c r="G65" s="204">
        <v>1012.34</v>
      </c>
      <c r="H65" s="204" t="s">
        <v>134</v>
      </c>
      <c r="I65" s="204" t="str">
        <f>_xlfn.XLOOKUP(H65,[2]Dropdown!B:B,[2]Dropdown!C:C)</f>
        <v>ביטוחים ופיננסים</v>
      </c>
      <c r="J65" s="204" t="s">
        <v>400</v>
      </c>
      <c r="K65" s="227">
        <v>0</v>
      </c>
      <c r="L65" s="253" t="s">
        <v>522</v>
      </c>
      <c r="M65" s="275" t="s">
        <v>570</v>
      </c>
    </row>
    <row r="66" spans="1:14" ht="13.5" thickBot="1">
      <c r="A66" s="227" t="s">
        <v>425</v>
      </c>
      <c r="B66" s="251">
        <f t="shared" ref="B66:B71" si="13">SUMIF(I:I,A66,G:G)</f>
        <v>12478.839999999998</v>
      </c>
      <c r="C66" s="204">
        <f>'ממוצע ורצוי'!$N$38</f>
        <v>9000</v>
      </c>
      <c r="D66" s="204">
        <f t="shared" ref="D66:D71" si="14">IF(C66-B66&lt;0,0,C66-B66)</f>
        <v>0</v>
      </c>
      <c r="E66" s="204">
        <f t="shared" ref="E66:E71" si="15">IF(C66-B66&lt;0,(C66-B66)*-1,0)</f>
        <v>3478.8399999999983</v>
      </c>
      <c r="G66" s="204">
        <v>628</v>
      </c>
      <c r="H66" s="204" t="s">
        <v>107</v>
      </c>
      <c r="I66" s="204" t="str">
        <f>_xlfn.XLOOKUP(H66,[2]Dropdown!B:B,[2]Dropdown!C:C)</f>
        <v>ילדים וחינוך</v>
      </c>
      <c r="J66" s="204" t="s">
        <v>166</v>
      </c>
      <c r="K66" s="227">
        <v>0</v>
      </c>
      <c r="L66" s="253" t="s">
        <v>522</v>
      </c>
    </row>
    <row r="67" spans="1:14">
      <c r="A67" s="227" t="s">
        <v>424</v>
      </c>
      <c r="B67" s="136">
        <f t="shared" si="13"/>
        <v>2002.69</v>
      </c>
      <c r="C67" s="204">
        <f>'ממוצע ורצוי'!$N$54</f>
        <v>3240</v>
      </c>
      <c r="D67" s="204">
        <f t="shared" si="14"/>
        <v>1237.31</v>
      </c>
      <c r="E67" s="204">
        <f t="shared" si="15"/>
        <v>0</v>
      </c>
      <c r="F67" s="219" t="s">
        <v>287</v>
      </c>
      <c r="G67" s="225"/>
      <c r="H67" s="225"/>
      <c r="I67" s="225"/>
      <c r="J67" s="225"/>
      <c r="K67" s="225"/>
      <c r="L67" s="225"/>
      <c r="M67" s="274"/>
      <c r="N67" s="274"/>
    </row>
    <row r="68" spans="1:14">
      <c r="A68" s="227" t="s">
        <v>423</v>
      </c>
      <c r="B68" s="136">
        <f t="shared" si="13"/>
        <v>4483.42</v>
      </c>
      <c r="C68" s="204">
        <f>'ממוצע ורצוי'!$N$71</f>
        <v>4900</v>
      </c>
      <c r="D68" s="204">
        <f t="shared" si="14"/>
        <v>416.57999999999993</v>
      </c>
      <c r="E68" s="204">
        <f t="shared" si="15"/>
        <v>0</v>
      </c>
      <c r="F68" s="226" t="s">
        <v>572</v>
      </c>
      <c r="G68" s="204">
        <v>234.05</v>
      </c>
      <c r="H68" s="204" t="s">
        <v>99</v>
      </c>
      <c r="I68" s="204" t="str">
        <f>_xlfn.XLOOKUP(H68,Dropdown!B:B,Dropdown!C:C)</f>
        <v>רכב ונסיעות</v>
      </c>
      <c r="J68" s="204" t="s">
        <v>399</v>
      </c>
    </row>
    <row r="69" spans="1:14">
      <c r="A69" s="252" t="s">
        <v>422</v>
      </c>
      <c r="B69" s="136">
        <f t="shared" si="13"/>
        <v>10800.800000000001</v>
      </c>
      <c r="C69" s="204">
        <f>'ממוצע ורצוי'!$N$88</f>
        <v>2600</v>
      </c>
      <c r="D69" s="204">
        <f t="shared" si="14"/>
        <v>0</v>
      </c>
      <c r="E69" s="204">
        <f t="shared" si="15"/>
        <v>8200.8000000000011</v>
      </c>
      <c r="F69" s="226" t="s">
        <v>572</v>
      </c>
      <c r="G69" s="204">
        <v>20</v>
      </c>
      <c r="H69" s="204" t="s">
        <v>139</v>
      </c>
      <c r="I69" s="204" t="str">
        <f>_xlfn.XLOOKUP(H69,Dropdown!B:B,Dropdown!C:C)</f>
        <v>תרבות ופנאי</v>
      </c>
      <c r="J69" s="204" t="s">
        <v>167</v>
      </c>
    </row>
    <row r="70" spans="1:14">
      <c r="A70" s="227" t="s">
        <v>421</v>
      </c>
      <c r="B70" s="136">
        <f t="shared" si="13"/>
        <v>1949.26</v>
      </c>
      <c r="C70" s="204">
        <f>'ממוצע ורצוי'!$N$98</f>
        <v>980</v>
      </c>
      <c r="D70" s="204">
        <f t="shared" si="14"/>
        <v>0</v>
      </c>
      <c r="E70" s="204">
        <f t="shared" si="15"/>
        <v>969.26</v>
      </c>
      <c r="F70" s="226" t="s">
        <v>572</v>
      </c>
      <c r="G70" s="204">
        <v>39.9</v>
      </c>
      <c r="H70" s="204" t="s">
        <v>91</v>
      </c>
      <c r="I70" s="204" t="str">
        <f>_xlfn.XLOOKUP(H70,Dropdown!B:B,Dropdown!C:C)</f>
        <v>מזון וקניות</v>
      </c>
      <c r="J70" s="204" t="s">
        <v>167</v>
      </c>
    </row>
    <row r="71" spans="1:14">
      <c r="A71" s="227" t="s">
        <v>420</v>
      </c>
      <c r="B71" s="136">
        <f t="shared" ca="1" si="13"/>
        <v>3116.34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1786.3400000000001</v>
      </c>
      <c r="F71" s="226" t="s">
        <v>572</v>
      </c>
      <c r="G71" s="204">
        <v>38</v>
      </c>
      <c r="H71" s="204" t="s">
        <v>139</v>
      </c>
      <c r="I71" s="204" t="str">
        <f>_xlfn.XLOOKUP(H71,Dropdown!B:B,Dropdown!C:C)</f>
        <v>תרבות ופנאי</v>
      </c>
      <c r="J71" s="204" t="s">
        <v>167</v>
      </c>
    </row>
    <row r="72" spans="1:14">
      <c r="A72" s="227"/>
      <c r="B72" s="136"/>
      <c r="F72" s="226" t="s">
        <v>572</v>
      </c>
      <c r="G72" s="204">
        <v>92</v>
      </c>
      <c r="H72" s="204" t="s">
        <v>275</v>
      </c>
      <c r="I72" s="204" t="str">
        <f>_xlfn.XLOOKUP(H72,Dropdown!B:B,Dropdown!C:C)</f>
        <v>מזון וקניות</v>
      </c>
      <c r="J72" s="204" t="s">
        <v>165</v>
      </c>
    </row>
    <row r="73" spans="1:14">
      <c r="A73" s="227"/>
      <c r="B73" s="136"/>
      <c r="F73" s="226" t="s">
        <v>572</v>
      </c>
      <c r="G73" s="204">
        <v>92</v>
      </c>
      <c r="H73" s="204" t="s">
        <v>275</v>
      </c>
      <c r="I73" s="204" t="str">
        <f>_xlfn.XLOOKUP(H73,Dropdown!B:B,Dropdown!C:C)</f>
        <v>מזון וקניות</v>
      </c>
      <c r="J73" s="204" t="s">
        <v>165</v>
      </c>
    </row>
    <row r="74" spans="1:14">
      <c r="F74" s="226" t="s">
        <v>572</v>
      </c>
      <c r="G74" s="204">
        <v>22</v>
      </c>
      <c r="H74" s="204" t="s">
        <v>140</v>
      </c>
      <c r="I74" s="204" t="str">
        <f>_xlfn.XLOOKUP(H74,Dropdown!B:B,Dropdown!C:C)</f>
        <v>תרבות ופנאי</v>
      </c>
      <c r="J74" s="204" t="s">
        <v>165</v>
      </c>
    </row>
    <row r="75" spans="1:14">
      <c r="F75" s="226" t="s">
        <v>572</v>
      </c>
      <c r="G75" s="204">
        <v>48.6</v>
      </c>
      <c r="H75" s="204" t="s">
        <v>91</v>
      </c>
      <c r="I75" s="204" t="str">
        <f>_xlfn.XLOOKUP(H75,Dropdown!B:B,Dropdown!C:C)</f>
        <v>מזון וקניות</v>
      </c>
      <c r="J75" s="204" t="s">
        <v>165</v>
      </c>
    </row>
    <row r="76" spans="1:14">
      <c r="F76" s="226" t="s">
        <v>572</v>
      </c>
      <c r="G76" s="204">
        <v>6</v>
      </c>
      <c r="H76" s="204" t="s">
        <v>91</v>
      </c>
      <c r="I76" s="204" t="str">
        <f>_xlfn.XLOOKUP(H76,Dropdown!B:B,Dropdown!C:C)</f>
        <v>מזון וקניות</v>
      </c>
      <c r="J76" s="204" t="s">
        <v>165</v>
      </c>
    </row>
    <row r="77" spans="1:14">
      <c r="F77" s="226" t="s">
        <v>572</v>
      </c>
      <c r="G77" s="204">
        <v>60</v>
      </c>
      <c r="H77" s="204" t="s">
        <v>121</v>
      </c>
      <c r="I77" s="204" t="str">
        <f>_xlfn.XLOOKUP(H77,Dropdown!B:B,Dropdown!C:C)</f>
        <v>תרבות ופנאי</v>
      </c>
      <c r="J77" s="204" t="s">
        <v>165</v>
      </c>
    </row>
    <row r="78" spans="1:14">
      <c r="F78" s="226" t="s">
        <v>572</v>
      </c>
      <c r="G78" s="204">
        <v>204.4</v>
      </c>
      <c r="H78" s="204" t="s">
        <v>91</v>
      </c>
      <c r="I78" s="204" t="str">
        <f>_xlfn.XLOOKUP(H78,Dropdown!B:B,Dropdown!C:C)</f>
        <v>מזון וקניות</v>
      </c>
      <c r="J78" s="204" t="s">
        <v>165</v>
      </c>
    </row>
    <row r="79" spans="1:14">
      <c r="F79" s="226" t="s">
        <v>573</v>
      </c>
      <c r="G79" s="204">
        <v>223.97</v>
      </c>
      <c r="H79" s="204" t="s">
        <v>118</v>
      </c>
      <c r="I79" s="204" t="str">
        <f>_xlfn.XLOOKUP(H79,Dropdown!B:B,Dropdown!C:C)</f>
        <v>תרבות ופנאי</v>
      </c>
      <c r="J79" s="204" t="s">
        <v>399</v>
      </c>
    </row>
    <row r="80" spans="1:14">
      <c r="F80" s="226" t="s">
        <v>573</v>
      </c>
      <c r="G80" s="204">
        <v>48.5</v>
      </c>
      <c r="H80" s="204" t="s">
        <v>91</v>
      </c>
      <c r="I80" s="204" t="str">
        <f>_xlfn.XLOOKUP(H80,Dropdown!B:B,Dropdown!C:C)</f>
        <v>מזון וקניות</v>
      </c>
      <c r="J80" s="204" t="s">
        <v>167</v>
      </c>
    </row>
    <row r="81" spans="6:10">
      <c r="F81" s="226" t="s">
        <v>573</v>
      </c>
      <c r="G81" s="204">
        <v>24.5</v>
      </c>
      <c r="H81" s="204" t="s">
        <v>276</v>
      </c>
      <c r="I81" s="204" t="str">
        <f>_xlfn.XLOOKUP(H81,Dropdown!B:B,Dropdown!C:C)</f>
        <v>תרבות ופנאי</v>
      </c>
      <c r="J81" s="204" t="s">
        <v>165</v>
      </c>
    </row>
    <row r="82" spans="6:10">
      <c r="F82" s="226" t="s">
        <v>573</v>
      </c>
      <c r="G82" s="204">
        <v>555.20000000000005</v>
      </c>
      <c r="H82" s="204" t="s">
        <v>91</v>
      </c>
      <c r="I82" s="204" t="str">
        <f>_xlfn.XLOOKUP(H82,Dropdown!B:B,Dropdown!C:C)</f>
        <v>מזון וקניות</v>
      </c>
      <c r="J82" s="204" t="s">
        <v>165</v>
      </c>
    </row>
    <row r="83" spans="6:10">
      <c r="F83" s="226" t="s">
        <v>573</v>
      </c>
      <c r="G83" s="204">
        <v>27</v>
      </c>
      <c r="H83" s="204" t="s">
        <v>139</v>
      </c>
      <c r="I83" s="204" t="str">
        <f>_xlfn.XLOOKUP(H83,Dropdown!B:B,Dropdown!C:C)</f>
        <v>תרבות ופנאי</v>
      </c>
      <c r="J83" s="204" t="s">
        <v>167</v>
      </c>
    </row>
    <row r="84" spans="6:10">
      <c r="F84" s="226" t="s">
        <v>573</v>
      </c>
      <c r="G84" s="204">
        <v>35</v>
      </c>
      <c r="H84" s="204" t="s">
        <v>91</v>
      </c>
      <c r="I84" s="204" t="str">
        <f>_xlfn.XLOOKUP(H84,Dropdown!B:B,Dropdown!C:C)</f>
        <v>מזון וקניות</v>
      </c>
      <c r="J84" s="204" t="s">
        <v>167</v>
      </c>
    </row>
    <row r="85" spans="6:10">
      <c r="F85" s="226" t="s">
        <v>583</v>
      </c>
      <c r="G85" s="204">
        <v>166.55</v>
      </c>
      <c r="H85" s="204" t="s">
        <v>91</v>
      </c>
      <c r="I85" s="204" t="str">
        <f>_xlfn.XLOOKUP(H85,Dropdown!B:B,Dropdown!C:C)</f>
        <v>מזון וקניות</v>
      </c>
      <c r="J85" s="204" t="s">
        <v>165</v>
      </c>
    </row>
    <row r="86" spans="6:10">
      <c r="F86" s="226" t="s">
        <v>584</v>
      </c>
      <c r="G86" s="204">
        <v>12</v>
      </c>
      <c r="H86" s="204" t="s">
        <v>91</v>
      </c>
      <c r="I86" s="204" t="str">
        <f>_xlfn.XLOOKUP(H86,Dropdown!B:B,Dropdown!C:C)</f>
        <v>מזון וקניות</v>
      </c>
      <c r="J86" s="204" t="s">
        <v>165</v>
      </c>
    </row>
    <row r="87" spans="6:10">
      <c r="F87" s="226" t="s">
        <v>584</v>
      </c>
      <c r="G87" s="204">
        <v>67.7</v>
      </c>
      <c r="H87" s="204" t="s">
        <v>91</v>
      </c>
      <c r="I87" s="204" t="str">
        <f>_xlfn.XLOOKUP(H87,Dropdown!B:B,Dropdown!C:C)</f>
        <v>מזון וקניות</v>
      </c>
      <c r="J87" s="204" t="s">
        <v>165</v>
      </c>
    </row>
    <row r="88" spans="6:10">
      <c r="F88" s="226" t="s">
        <v>584</v>
      </c>
      <c r="G88" s="204">
        <v>15.9</v>
      </c>
      <c r="H88" s="204" t="s">
        <v>91</v>
      </c>
      <c r="I88" s="204" t="str">
        <f>_xlfn.XLOOKUP(H88,Dropdown!B:B,Dropdown!C:C)</f>
        <v>מזון וקניות</v>
      </c>
      <c r="J88" s="204" t="s">
        <v>165</v>
      </c>
    </row>
    <row r="89" spans="6:10">
      <c r="F89" s="226" t="s">
        <v>584</v>
      </c>
      <c r="G89" s="204">
        <v>382</v>
      </c>
      <c r="H89" s="204" t="s">
        <v>91</v>
      </c>
      <c r="I89" s="204" t="str">
        <f>_xlfn.XLOOKUP(H89,Dropdown!B:B,Dropdown!C:C)</f>
        <v>מזון וקניות</v>
      </c>
      <c r="J89" s="204" t="s">
        <v>165</v>
      </c>
    </row>
    <row r="90" spans="6:10">
      <c r="F90" s="226" t="s">
        <v>584</v>
      </c>
      <c r="G90" s="250">
        <v>76.8</v>
      </c>
      <c r="H90" s="204" t="s">
        <v>139</v>
      </c>
      <c r="I90" s="204" t="str">
        <f>_xlfn.XLOOKUP(H90,Dropdown!B:B,Dropdown!C:C)</f>
        <v>תרבות ופנאי</v>
      </c>
      <c r="J90" s="204" t="s">
        <v>167</v>
      </c>
    </row>
    <row r="91" spans="6:10">
      <c r="F91" s="226" t="s">
        <v>584</v>
      </c>
      <c r="G91" s="250">
        <v>35.6</v>
      </c>
      <c r="H91" s="204" t="s">
        <v>103</v>
      </c>
      <c r="I91" s="204" t="str">
        <f>_xlfn.XLOOKUP(H91,Dropdown!B:B,Dropdown!C:C)</f>
        <v>רכב ונסיעות</v>
      </c>
      <c r="J91" s="204" t="s">
        <v>167</v>
      </c>
    </row>
    <row r="92" spans="6:10">
      <c r="F92" s="226" t="s">
        <v>585</v>
      </c>
      <c r="G92" s="204">
        <v>65.8</v>
      </c>
      <c r="H92" s="204" t="s">
        <v>91</v>
      </c>
      <c r="I92" s="204" t="str">
        <f>_xlfn.XLOOKUP(H92,Dropdown!B:B,Dropdown!C:C)</f>
        <v>מזון וקניות</v>
      </c>
      <c r="J92" s="204" t="s">
        <v>165</v>
      </c>
    </row>
    <row r="93" spans="6:10">
      <c r="F93" s="226" t="s">
        <v>585</v>
      </c>
      <c r="G93" s="204">
        <v>20</v>
      </c>
      <c r="H93" s="204" t="s">
        <v>103</v>
      </c>
      <c r="I93" s="204" t="str">
        <f>_xlfn.XLOOKUP(H93,Dropdown!B:B,Dropdown!C:C)</f>
        <v>רכב ונסיעות</v>
      </c>
      <c r="J93" s="204" t="s">
        <v>165</v>
      </c>
    </row>
    <row r="94" spans="6:10">
      <c r="F94" s="226" t="s">
        <v>585</v>
      </c>
      <c r="G94" s="204">
        <v>60</v>
      </c>
      <c r="H94" s="204" t="s">
        <v>126</v>
      </c>
      <c r="I94" s="204" t="str">
        <f>_xlfn.XLOOKUP(H94,Dropdown!B:B,Dropdown!C:C)</f>
        <v>בריאות וטיפולים</v>
      </c>
      <c r="J94" s="204" t="s">
        <v>165</v>
      </c>
    </row>
    <row r="95" spans="6:10">
      <c r="F95" s="226" t="s">
        <v>585</v>
      </c>
      <c r="G95" s="204">
        <v>94</v>
      </c>
      <c r="H95" s="204" t="s">
        <v>276</v>
      </c>
      <c r="I95" s="204" t="str">
        <f>_xlfn.XLOOKUP(H95,Dropdown!B:B,Dropdown!C:C)</f>
        <v>תרבות ופנאי</v>
      </c>
      <c r="J95" s="204" t="s">
        <v>165</v>
      </c>
    </row>
    <row r="96" spans="6:10">
      <c r="F96" s="226" t="s">
        <v>585</v>
      </c>
      <c r="G96" s="250">
        <v>39.4</v>
      </c>
      <c r="H96" s="204" t="s">
        <v>91</v>
      </c>
      <c r="I96" s="204" t="str">
        <f>_xlfn.XLOOKUP(H96,Dropdown!B:B,Dropdown!C:C)</f>
        <v>מזון וקניות</v>
      </c>
      <c r="J96" s="204" t="s">
        <v>167</v>
      </c>
    </row>
    <row r="97" spans="6:14">
      <c r="F97" s="226" t="s">
        <v>585</v>
      </c>
      <c r="G97" s="250">
        <v>124.02</v>
      </c>
      <c r="H97" s="204" t="s">
        <v>91</v>
      </c>
      <c r="I97" s="204" t="str">
        <f>_xlfn.XLOOKUP(H97,Dropdown!B:B,Dropdown!C:C)</f>
        <v>מזון וקניות</v>
      </c>
      <c r="J97" s="204" t="s">
        <v>167</v>
      </c>
    </row>
    <row r="98" spans="6:14">
      <c r="F98" s="226" t="s">
        <v>585</v>
      </c>
      <c r="G98" s="250">
        <v>702.66</v>
      </c>
      <c r="H98" s="204" t="s">
        <v>91</v>
      </c>
      <c r="I98" s="204" t="str">
        <f>_xlfn.XLOOKUP(H98,Dropdown!B:B,Dropdown!C:C)</f>
        <v>מזון וקניות</v>
      </c>
      <c r="J98" s="204" t="s">
        <v>167</v>
      </c>
    </row>
    <row r="99" spans="6:14">
      <c r="F99" s="226" t="s">
        <v>585</v>
      </c>
      <c r="G99" s="250">
        <v>2.8</v>
      </c>
      <c r="H99" s="204" t="s">
        <v>103</v>
      </c>
      <c r="I99" s="204" t="str">
        <f>_xlfn.XLOOKUP(H99,Dropdown!B:B,Dropdown!C:C)</f>
        <v>רכב ונסיעות</v>
      </c>
      <c r="J99" s="204" t="s">
        <v>167</v>
      </c>
    </row>
    <row r="100" spans="6:14">
      <c r="F100" s="226" t="s">
        <v>585</v>
      </c>
      <c r="G100" s="250">
        <v>269.89999999999998</v>
      </c>
      <c r="H100" s="204" t="s">
        <v>96</v>
      </c>
      <c r="I100" s="204" t="str">
        <f>_xlfn.XLOOKUP(H100,Dropdown!B:B,Dropdown!C:C)</f>
        <v>מזון וקניות</v>
      </c>
      <c r="J100" s="204" t="s">
        <v>399</v>
      </c>
    </row>
    <row r="101" spans="6:14">
      <c r="F101" s="226" t="s">
        <v>586</v>
      </c>
      <c r="G101" s="204">
        <v>68</v>
      </c>
      <c r="H101" s="204" t="s">
        <v>96</v>
      </c>
      <c r="I101" s="204" t="str">
        <f>_xlfn.XLOOKUP(H101,Dropdown!B:B,Dropdown!C:C)</f>
        <v>מזון וקניות</v>
      </c>
      <c r="J101" s="204" t="s">
        <v>165</v>
      </c>
    </row>
    <row r="102" spans="6:14">
      <c r="F102" s="226" t="s">
        <v>586</v>
      </c>
      <c r="G102" s="204">
        <v>116</v>
      </c>
      <c r="H102" s="204" t="s">
        <v>91</v>
      </c>
      <c r="I102" s="204" t="str">
        <f>_xlfn.XLOOKUP(H102,Dropdown!B:B,Dropdown!C:C)</f>
        <v>מזון וקניות</v>
      </c>
      <c r="J102" s="204" t="s">
        <v>165</v>
      </c>
    </row>
    <row r="103" spans="6:14">
      <c r="F103" s="226" t="s">
        <v>586</v>
      </c>
      <c r="G103" s="250">
        <v>417</v>
      </c>
      <c r="H103" s="204" t="s">
        <v>374</v>
      </c>
      <c r="I103" s="204" t="str">
        <f>_xlfn.XLOOKUP(H103,Dropdown!B:B,Dropdown!C:C)</f>
        <v>תחזוקת דירה ותקשורת</v>
      </c>
      <c r="J103" s="204" t="s">
        <v>167</v>
      </c>
      <c r="N103" s="350"/>
    </row>
    <row r="104" spans="6:14">
      <c r="F104" s="226" t="s">
        <v>587</v>
      </c>
      <c r="G104" s="204">
        <v>106.5</v>
      </c>
      <c r="H104" s="204" t="s">
        <v>91</v>
      </c>
      <c r="I104" s="204" t="str">
        <f>_xlfn.XLOOKUP(H104,Dropdown!B:B,Dropdown!C:C)</f>
        <v>מזון וקניות</v>
      </c>
      <c r="J104" s="204" t="s">
        <v>165</v>
      </c>
    </row>
    <row r="105" spans="6:14">
      <c r="F105" s="226" t="s">
        <v>587</v>
      </c>
      <c r="G105" s="204">
        <v>377.31</v>
      </c>
      <c r="H105" s="204" t="s">
        <v>95</v>
      </c>
      <c r="I105" s="204" t="str">
        <f>_xlfn.XLOOKUP(H105,Dropdown!B:B,Dropdown!C:C)</f>
        <v>מזון וקניות</v>
      </c>
      <c r="J105" s="204" t="s">
        <v>165</v>
      </c>
    </row>
    <row r="106" spans="6:14">
      <c r="F106" s="226" t="s">
        <v>587</v>
      </c>
      <c r="G106" s="204">
        <v>224.8</v>
      </c>
      <c r="H106" s="204" t="s">
        <v>113</v>
      </c>
      <c r="I106" s="204" t="str">
        <f>_xlfn.XLOOKUP(H106,Dropdown!B:B,Dropdown!C:C)</f>
        <v>ילדים וחינוך</v>
      </c>
      <c r="J106" s="204" t="s">
        <v>165</v>
      </c>
    </row>
    <row r="107" spans="6:14">
      <c r="F107" s="226" t="s">
        <v>587</v>
      </c>
      <c r="G107" s="204">
        <v>10</v>
      </c>
      <c r="H107" s="204" t="s">
        <v>113</v>
      </c>
      <c r="I107" s="204" t="str">
        <f>_xlfn.XLOOKUP(H107,Dropdown!B:B,Dropdown!C:C)</f>
        <v>ילדים וחינוך</v>
      </c>
      <c r="J107" s="204" t="s">
        <v>165</v>
      </c>
    </row>
    <row r="108" spans="6:14">
      <c r="F108" s="226" t="s">
        <v>587</v>
      </c>
      <c r="G108" s="204">
        <v>12.9</v>
      </c>
      <c r="H108" s="204" t="s">
        <v>113</v>
      </c>
      <c r="I108" s="204" t="str">
        <f>_xlfn.XLOOKUP(H108,Dropdown!B:B,Dropdown!C:C)</f>
        <v>ילדים וחינוך</v>
      </c>
      <c r="J108" s="204" t="s">
        <v>165</v>
      </c>
    </row>
    <row r="109" spans="6:14">
      <c r="F109" s="226" t="s">
        <v>587</v>
      </c>
      <c r="G109" s="250">
        <v>200</v>
      </c>
      <c r="H109" s="204" t="s">
        <v>96</v>
      </c>
      <c r="I109" s="204" t="str">
        <f>_xlfn.XLOOKUP(H109,Dropdown!B:B,Dropdown!C:C)</f>
        <v>מזון וקניות</v>
      </c>
      <c r="J109" s="204" t="s">
        <v>399</v>
      </c>
    </row>
    <row r="110" spans="6:14">
      <c r="F110" s="226" t="s">
        <v>587</v>
      </c>
      <c r="G110" s="250">
        <v>231.56</v>
      </c>
      <c r="H110" s="204" t="s">
        <v>99</v>
      </c>
      <c r="I110" s="204" t="str">
        <f>_xlfn.XLOOKUP(H110,Dropdown!B:B,Dropdown!C:C)</f>
        <v>רכב ונסיעות</v>
      </c>
      <c r="J110" s="204" t="s">
        <v>399</v>
      </c>
    </row>
    <row r="111" spans="6:14">
      <c r="F111" s="226" t="s">
        <v>590</v>
      </c>
      <c r="G111" s="204">
        <v>149</v>
      </c>
      <c r="H111" s="204" t="s">
        <v>96</v>
      </c>
      <c r="I111" s="204" t="str">
        <f>_xlfn.XLOOKUP(H111,Dropdown!B:B,Dropdown!C:C)</f>
        <v>מזון וקניות</v>
      </c>
      <c r="J111" s="204" t="s">
        <v>166</v>
      </c>
    </row>
    <row r="112" spans="6:14">
      <c r="F112" s="226" t="s">
        <v>590</v>
      </c>
      <c r="G112" s="250">
        <v>19.899999999999999</v>
      </c>
      <c r="H112" s="204" t="s">
        <v>95</v>
      </c>
      <c r="I112" s="204" t="str">
        <f>_xlfn.XLOOKUP(H112,Dropdown!B:B,Dropdown!C:C)</f>
        <v>מזון וקניות</v>
      </c>
      <c r="J112" s="204" t="s">
        <v>168</v>
      </c>
    </row>
    <row r="113" spans="6:10">
      <c r="F113" s="226" t="s">
        <v>590</v>
      </c>
      <c r="G113" s="250">
        <v>176.93</v>
      </c>
      <c r="H113" s="204" t="s">
        <v>99</v>
      </c>
      <c r="I113" s="204" t="str">
        <f>_xlfn.XLOOKUP(H113,Dropdown!B:B,Dropdown!C:C)</f>
        <v>רכב ונסיעות</v>
      </c>
      <c r="J113" s="204" t="s">
        <v>168</v>
      </c>
    </row>
    <row r="114" spans="6:10">
      <c r="F114" s="226" t="s">
        <v>590</v>
      </c>
      <c r="G114" s="250">
        <v>44</v>
      </c>
      <c r="H114" s="204" t="s">
        <v>276</v>
      </c>
      <c r="I114" s="204" t="str">
        <f>_xlfn.XLOOKUP(H114,Dropdown!B:B,Dropdown!C:C)</f>
        <v>תרבות ופנאי</v>
      </c>
      <c r="J114" s="204" t="s">
        <v>168</v>
      </c>
    </row>
    <row r="115" spans="6:10">
      <c r="F115" s="226" t="s">
        <v>590</v>
      </c>
      <c r="G115" s="250">
        <v>37</v>
      </c>
      <c r="H115" s="204" t="s">
        <v>276</v>
      </c>
      <c r="I115" s="204" t="str">
        <f>_xlfn.XLOOKUP(H115,Dropdown!B:B,Dropdown!C:C)</f>
        <v>תרבות ופנאי</v>
      </c>
      <c r="J115" s="204" t="s">
        <v>168</v>
      </c>
    </row>
    <row r="116" spans="6:10">
      <c r="F116" s="226" t="s">
        <v>590</v>
      </c>
      <c r="G116" s="250">
        <v>1111.73</v>
      </c>
      <c r="H116" s="204" t="s">
        <v>118</v>
      </c>
      <c r="I116" s="204" t="str">
        <f>_xlfn.XLOOKUP(H116,Dropdown!B:B,Dropdown!C:C)</f>
        <v>תרבות ופנאי</v>
      </c>
      <c r="J116" s="204" t="s">
        <v>400</v>
      </c>
    </row>
    <row r="117" spans="6:10">
      <c r="F117" s="226" t="s">
        <v>591</v>
      </c>
      <c r="G117" s="204">
        <v>94.25</v>
      </c>
      <c r="H117" s="204" t="s">
        <v>276</v>
      </c>
      <c r="I117" s="204" t="str">
        <f>_xlfn.XLOOKUP(H117,Dropdown!B:B,Dropdown!C:C)</f>
        <v>תרבות ופנאי</v>
      </c>
      <c r="J117" s="204" t="s">
        <v>166</v>
      </c>
    </row>
    <row r="118" spans="6:10">
      <c r="F118" s="226" t="s">
        <v>591</v>
      </c>
      <c r="G118" s="204">
        <v>69.930000000000007</v>
      </c>
      <c r="H118" s="204" t="s">
        <v>276</v>
      </c>
      <c r="I118" s="204" t="str">
        <f>_xlfn.XLOOKUP(H118,Dropdown!B:B,Dropdown!C:C)</f>
        <v>תרבות ופנאי</v>
      </c>
      <c r="J118" s="204" t="s">
        <v>166</v>
      </c>
    </row>
    <row r="119" spans="6:10">
      <c r="F119" s="226" t="s">
        <v>591</v>
      </c>
      <c r="G119" s="204">
        <v>45</v>
      </c>
      <c r="H119" s="204" t="s">
        <v>96</v>
      </c>
      <c r="I119" s="204" t="str">
        <f>_xlfn.XLOOKUP(H119,Dropdown!B:B,Dropdown!C:C)</f>
        <v>מזון וקניות</v>
      </c>
      <c r="J119" s="204" t="s">
        <v>166</v>
      </c>
    </row>
    <row r="120" spans="6:10">
      <c r="F120" s="226" t="s">
        <v>591</v>
      </c>
      <c r="G120" s="250">
        <v>385.9</v>
      </c>
      <c r="H120" s="204" t="s">
        <v>91</v>
      </c>
      <c r="I120" s="204" t="str">
        <f>_xlfn.XLOOKUP(H120,Dropdown!B:B,Dropdown!C:C)</f>
        <v>מזון וקניות</v>
      </c>
      <c r="J120" s="204" t="s">
        <v>400</v>
      </c>
    </row>
    <row r="121" spans="6:10">
      <c r="F121" s="226" t="s">
        <v>592</v>
      </c>
      <c r="G121" s="204">
        <v>31.9</v>
      </c>
      <c r="H121" s="204" t="s">
        <v>91</v>
      </c>
      <c r="I121" s="204" t="str">
        <f>_xlfn.XLOOKUP(H121,Dropdown!B:B,Dropdown!C:C)</f>
        <v>מזון וקניות</v>
      </c>
      <c r="J121" s="204" t="s">
        <v>166</v>
      </c>
    </row>
    <row r="122" spans="6:10">
      <c r="F122" s="226" t="s">
        <v>592</v>
      </c>
      <c r="G122" s="204">
        <v>35.200000000000003</v>
      </c>
      <c r="H122" s="204" t="s">
        <v>91</v>
      </c>
      <c r="I122" s="204" t="str">
        <f>_xlfn.XLOOKUP(H122,Dropdown!B:B,Dropdown!C:C)</f>
        <v>מזון וקניות</v>
      </c>
      <c r="J122" s="204" t="s">
        <v>166</v>
      </c>
    </row>
    <row r="123" spans="6:10">
      <c r="F123" s="226" t="s">
        <v>592</v>
      </c>
      <c r="G123" s="250">
        <v>590</v>
      </c>
      <c r="H123" s="204" t="s">
        <v>87</v>
      </c>
      <c r="I123" s="204" t="str">
        <f>_xlfn.XLOOKUP(H123,Dropdown!B:B,Dropdown!C:C)</f>
        <v>תחזוקת דירה ותקשורת</v>
      </c>
      <c r="J123" s="204" t="s">
        <v>168</v>
      </c>
    </row>
    <row r="124" spans="6:10">
      <c r="F124" s="226" t="s">
        <v>593</v>
      </c>
      <c r="G124" s="204">
        <v>30</v>
      </c>
      <c r="H124" s="204" t="s">
        <v>103</v>
      </c>
      <c r="I124" s="204" t="str">
        <f>_xlfn.XLOOKUP(H124,Dropdown!B:B,Dropdown!C:C)</f>
        <v>רכב ונסיעות</v>
      </c>
      <c r="J124" s="204" t="s">
        <v>166</v>
      </c>
    </row>
    <row r="125" spans="6:10">
      <c r="F125" s="226" t="s">
        <v>593</v>
      </c>
      <c r="G125" s="204">
        <v>101</v>
      </c>
      <c r="H125" s="204" t="s">
        <v>276</v>
      </c>
      <c r="I125" s="204" t="str">
        <f>_xlfn.XLOOKUP(H125,Dropdown!B:B,Dropdown!C:C)</f>
        <v>תרבות ופנאי</v>
      </c>
      <c r="J125" s="204" t="s">
        <v>166</v>
      </c>
    </row>
    <row r="126" spans="6:10">
      <c r="F126" s="226" t="s">
        <v>593</v>
      </c>
      <c r="G126" s="250">
        <v>923.68</v>
      </c>
      <c r="H126" s="204" t="s">
        <v>91</v>
      </c>
      <c r="I126" s="204" t="str">
        <f>_xlfn.XLOOKUP(H126,Dropdown!B:B,Dropdown!C:C)</f>
        <v>מזון וקניות</v>
      </c>
      <c r="J126" s="204" t="s">
        <v>168</v>
      </c>
    </row>
    <row r="127" spans="6:10">
      <c r="F127" s="226" t="s">
        <v>593</v>
      </c>
      <c r="G127" s="250">
        <v>25</v>
      </c>
      <c r="H127" s="204" t="s">
        <v>103</v>
      </c>
      <c r="I127" s="204" t="str">
        <f>_xlfn.XLOOKUP(H127,Dropdown!B:B,Dropdown!C:C)</f>
        <v>רכב ונסיעות</v>
      </c>
      <c r="J127" s="204" t="s">
        <v>168</v>
      </c>
    </row>
    <row r="128" spans="6:10">
      <c r="F128" s="226" t="s">
        <v>593</v>
      </c>
      <c r="G128" s="250">
        <v>18.100000000000001</v>
      </c>
      <c r="H128" s="204" t="s">
        <v>91</v>
      </c>
      <c r="I128" s="204" t="str">
        <f>_xlfn.XLOOKUP(H128,Dropdown!B:B,Dropdown!C:C)</f>
        <v>מזון וקניות</v>
      </c>
      <c r="J128" s="204" t="s">
        <v>168</v>
      </c>
    </row>
    <row r="129" spans="6:14">
      <c r="F129" s="226" t="s">
        <v>593</v>
      </c>
      <c r="G129" s="250">
        <v>124.36</v>
      </c>
      <c r="H129" s="204" t="s">
        <v>91</v>
      </c>
      <c r="I129" s="204" t="str">
        <f>_xlfn.XLOOKUP(H129,Dropdown!B:B,Dropdown!C:C)</f>
        <v>מזון וקניות</v>
      </c>
      <c r="J129" s="204" t="s">
        <v>168</v>
      </c>
    </row>
    <row r="130" spans="6:14">
      <c r="F130" s="226" t="s">
        <v>593</v>
      </c>
      <c r="G130" s="250">
        <v>512.6</v>
      </c>
      <c r="H130" s="204" t="s">
        <v>276</v>
      </c>
      <c r="I130" s="204" t="str">
        <f>_xlfn.XLOOKUP(H130,Dropdown!B:B,Dropdown!C:C)</f>
        <v>תרבות ופנאי</v>
      </c>
      <c r="J130" s="204" t="s">
        <v>400</v>
      </c>
    </row>
    <row r="131" spans="6:14">
      <c r="F131" s="226" t="s">
        <v>594</v>
      </c>
      <c r="G131" s="250">
        <v>333</v>
      </c>
      <c r="H131" s="204" t="s">
        <v>121</v>
      </c>
      <c r="I131" s="204" t="str">
        <f>_xlfn.XLOOKUP(H131,Dropdown!B:B,Dropdown!C:C)</f>
        <v>תרבות ופנאי</v>
      </c>
      <c r="J131" s="204" t="s">
        <v>166</v>
      </c>
    </row>
    <row r="132" spans="6:14">
      <c r="F132" s="226" t="s">
        <v>594</v>
      </c>
      <c r="G132" s="250">
        <v>28</v>
      </c>
      <c r="H132" s="204" t="s">
        <v>139</v>
      </c>
      <c r="I132" s="204" t="str">
        <f>_xlfn.XLOOKUP(H132,Dropdown!B:B,Dropdown!C:C)</f>
        <v>תרבות ופנאי</v>
      </c>
      <c r="J132" s="204" t="s">
        <v>168</v>
      </c>
    </row>
    <row r="133" spans="6:14">
      <c r="F133" s="226" t="s">
        <v>614</v>
      </c>
      <c r="G133" s="250">
        <v>254.58</v>
      </c>
      <c r="H133" s="204" t="s">
        <v>99</v>
      </c>
      <c r="I133" s="204" t="str">
        <f>_xlfn.XLOOKUP(H133,Dropdown!B:B,Dropdown!C:C)</f>
        <v>רכב ונסיעות</v>
      </c>
      <c r="J133" s="204" t="s">
        <v>400</v>
      </c>
    </row>
    <row r="134" spans="6:14">
      <c r="F134" s="226" t="s">
        <v>614</v>
      </c>
      <c r="G134" s="250">
        <v>9</v>
      </c>
      <c r="H134" s="204" t="s">
        <v>91</v>
      </c>
      <c r="I134" s="204" t="str">
        <f>_xlfn.XLOOKUP(H134,Dropdown!B:B,Dropdown!C:C)</f>
        <v>מזון וקניות</v>
      </c>
      <c r="J134" s="204" t="s">
        <v>400</v>
      </c>
    </row>
    <row r="135" spans="6:14">
      <c r="F135" s="226" t="s">
        <v>595</v>
      </c>
      <c r="G135" s="250">
        <v>122.4</v>
      </c>
      <c r="H135" s="204" t="s">
        <v>91</v>
      </c>
      <c r="I135" s="204" t="str">
        <f>_xlfn.XLOOKUP(H135,Dropdown!B:B,Dropdown!C:C)</f>
        <v>מזון וקניות</v>
      </c>
      <c r="J135" s="204" t="s">
        <v>166</v>
      </c>
    </row>
    <row r="136" spans="6:14">
      <c r="F136" s="226" t="s">
        <v>595</v>
      </c>
      <c r="G136" s="250">
        <v>5650</v>
      </c>
      <c r="H136" s="204" t="s">
        <v>374</v>
      </c>
      <c r="I136" s="204" t="str">
        <f>_xlfn.XLOOKUP(H136,Dropdown!B:B,Dropdown!C:C)</f>
        <v>תחזוקת דירה ותקשורת</v>
      </c>
      <c r="J136" s="204" t="s">
        <v>166</v>
      </c>
      <c r="N136" s="350"/>
    </row>
    <row r="137" spans="6:14">
      <c r="F137" s="226" t="s">
        <v>595</v>
      </c>
      <c r="G137" s="250">
        <v>33</v>
      </c>
      <c r="H137" s="204" t="s">
        <v>96</v>
      </c>
      <c r="I137" s="204" t="str">
        <f>_xlfn.XLOOKUP(H137,Dropdown!B:B,Dropdown!C:C)</f>
        <v>מזון וקניות</v>
      </c>
      <c r="J137" s="204" t="s">
        <v>166</v>
      </c>
    </row>
    <row r="138" spans="6:14">
      <c r="F138" s="226" t="s">
        <v>595</v>
      </c>
      <c r="G138" s="250">
        <v>118</v>
      </c>
      <c r="H138" s="204" t="s">
        <v>91</v>
      </c>
      <c r="I138" s="204" t="str">
        <f>_xlfn.XLOOKUP(H138,Dropdown!B:B,Dropdown!C:C)</f>
        <v>מזון וקניות</v>
      </c>
      <c r="J138" s="204" t="s">
        <v>166</v>
      </c>
    </row>
    <row r="139" spans="6:14">
      <c r="F139" s="226" t="s">
        <v>595</v>
      </c>
      <c r="G139" s="250">
        <v>52.27</v>
      </c>
      <c r="H139" s="204" t="s">
        <v>91</v>
      </c>
      <c r="I139" s="204" t="str">
        <f>_xlfn.XLOOKUP(H139,Dropdown!B:B,Dropdown!C:C)</f>
        <v>מזון וקניות</v>
      </c>
      <c r="J139" s="204" t="s">
        <v>166</v>
      </c>
    </row>
    <row r="140" spans="6:14">
      <c r="F140" s="226" t="s">
        <v>595</v>
      </c>
      <c r="G140" s="250">
        <v>53</v>
      </c>
      <c r="H140" s="204" t="s">
        <v>140</v>
      </c>
      <c r="I140" s="204" t="str">
        <f>_xlfn.XLOOKUP(H140,Dropdown!B:B,Dropdown!C:C)</f>
        <v>תרבות ופנאי</v>
      </c>
      <c r="J140" s="204" t="s">
        <v>400</v>
      </c>
    </row>
    <row r="141" spans="6:14">
      <c r="F141" s="226" t="s">
        <v>596</v>
      </c>
      <c r="G141" s="250">
        <v>30</v>
      </c>
      <c r="H141" s="204" t="s">
        <v>91</v>
      </c>
      <c r="I141" s="204" t="str">
        <f>_xlfn.XLOOKUP(H141,Dropdown!B:B,Dropdown!C:C)</f>
        <v>מזון וקניות</v>
      </c>
      <c r="J141" s="204" t="s">
        <v>166</v>
      </c>
    </row>
    <row r="142" spans="6:14">
      <c r="F142" s="226" t="s">
        <v>596</v>
      </c>
      <c r="G142" s="250">
        <v>429.1</v>
      </c>
      <c r="H142" s="204" t="s">
        <v>91</v>
      </c>
      <c r="I142" s="204" t="str">
        <f>_xlfn.XLOOKUP(H142,Dropdown!B:B,Dropdown!C:C)</f>
        <v>מזון וקניות</v>
      </c>
      <c r="J142" s="204" t="s">
        <v>166</v>
      </c>
    </row>
    <row r="143" spans="6:14">
      <c r="F143" s="226" t="s">
        <v>596</v>
      </c>
      <c r="G143" s="250">
        <v>49.09</v>
      </c>
      <c r="H143" s="204" t="s">
        <v>103</v>
      </c>
      <c r="I143" s="204" t="str">
        <f>_xlfn.XLOOKUP(H143,Dropdown!B:B,Dropdown!C:C)</f>
        <v>רכב ונסיעות</v>
      </c>
      <c r="J143" s="204" t="s">
        <v>166</v>
      </c>
    </row>
    <row r="144" spans="6:14">
      <c r="F144" s="226" t="s">
        <v>596</v>
      </c>
      <c r="G144" s="250">
        <v>135</v>
      </c>
      <c r="H144" s="204" t="s">
        <v>317</v>
      </c>
      <c r="I144" s="204" t="str">
        <f>_xlfn.XLOOKUP(H144,Dropdown!B:B,Dropdown!C:C)</f>
        <v>בריאות וטיפולים</v>
      </c>
      <c r="J144" s="204" t="s">
        <v>166</v>
      </c>
    </row>
    <row r="145" spans="6:10">
      <c r="F145" s="226" t="s">
        <v>596</v>
      </c>
      <c r="G145" s="250">
        <v>78.75</v>
      </c>
      <c r="H145" s="204" t="s">
        <v>276</v>
      </c>
      <c r="I145" s="204" t="str">
        <f>_xlfn.XLOOKUP(H145,Dropdown!B:B,Dropdown!C:C)</f>
        <v>תרבות ופנאי</v>
      </c>
      <c r="J145" s="204" t="s">
        <v>166</v>
      </c>
    </row>
    <row r="146" spans="6:10">
      <c r="F146" s="226" t="s">
        <v>596</v>
      </c>
      <c r="G146" s="250">
        <v>156.9</v>
      </c>
      <c r="H146" s="204" t="s">
        <v>276</v>
      </c>
      <c r="I146" s="204" t="str">
        <f>_xlfn.XLOOKUP(H146,Dropdown!B:B,Dropdown!C:C)</f>
        <v>תרבות ופנאי</v>
      </c>
      <c r="J146" s="204" t="s">
        <v>166</v>
      </c>
    </row>
    <row r="147" spans="6:10">
      <c r="F147" s="226" t="s">
        <v>596</v>
      </c>
      <c r="G147" s="250">
        <v>400</v>
      </c>
      <c r="H147" s="204" t="s">
        <v>123</v>
      </c>
      <c r="I147" s="204" t="str">
        <f>_xlfn.XLOOKUP(H147,Dropdown!B:B,Dropdown!C:C)</f>
        <v>תרבות ופנאי</v>
      </c>
      <c r="J147" s="204" t="s">
        <v>166</v>
      </c>
    </row>
    <row r="148" spans="6:10">
      <c r="F148" s="226" t="s">
        <v>596</v>
      </c>
      <c r="G148" s="250">
        <v>-300</v>
      </c>
      <c r="H148" s="204" t="s">
        <v>123</v>
      </c>
      <c r="I148" s="204" t="str">
        <f>_xlfn.XLOOKUP(H148,Dropdown!B:B,Dropdown!C:C)</f>
        <v>תרבות ופנאי</v>
      </c>
      <c r="J148" s="204" t="s">
        <v>21</v>
      </c>
    </row>
    <row r="149" spans="6:10">
      <c r="F149" s="226" t="s">
        <v>596</v>
      </c>
      <c r="G149" s="250">
        <v>28</v>
      </c>
      <c r="H149" s="204" t="s">
        <v>276</v>
      </c>
      <c r="I149" s="204" t="str">
        <f>_xlfn.XLOOKUP(H149,Dropdown!B:B,Dropdown!C:C)</f>
        <v>תרבות ופנאי</v>
      </c>
      <c r="J149" s="204" t="s">
        <v>168</v>
      </c>
    </row>
    <row r="150" spans="6:10">
      <c r="F150" s="226" t="s">
        <v>596</v>
      </c>
      <c r="G150" s="250">
        <v>177.6</v>
      </c>
      <c r="H150" s="204" t="s">
        <v>91</v>
      </c>
      <c r="I150" s="204" t="str">
        <f>_xlfn.XLOOKUP(H150,Dropdown!B:B,Dropdown!C:C)</f>
        <v>מזון וקניות</v>
      </c>
      <c r="J150" s="204" t="s">
        <v>168</v>
      </c>
    </row>
    <row r="151" spans="6:10">
      <c r="F151" s="226" t="s">
        <v>596</v>
      </c>
      <c r="G151" s="250">
        <v>42</v>
      </c>
      <c r="H151" s="204" t="s">
        <v>96</v>
      </c>
      <c r="I151" s="204" t="str">
        <f>_xlfn.XLOOKUP(H151,Dropdown!B:B,Dropdown!C:C)</f>
        <v>מזון וקניות</v>
      </c>
      <c r="J151" s="204" t="s">
        <v>168</v>
      </c>
    </row>
    <row r="152" spans="6:10">
      <c r="F152" s="226" t="s">
        <v>596</v>
      </c>
      <c r="G152" s="250">
        <v>127.8</v>
      </c>
      <c r="H152" s="204" t="s">
        <v>96</v>
      </c>
      <c r="I152" s="204" t="str">
        <f>_xlfn.XLOOKUP(H152,Dropdown!B:B,Dropdown!C:C)</f>
        <v>מזון וקניות</v>
      </c>
      <c r="J152" s="204" t="s">
        <v>168</v>
      </c>
    </row>
    <row r="153" spans="6:10">
      <c r="F153" s="226" t="s">
        <v>596</v>
      </c>
      <c r="G153" s="250">
        <v>92</v>
      </c>
      <c r="H153" s="204" t="s">
        <v>139</v>
      </c>
      <c r="I153" s="204" t="str">
        <f>_xlfn.XLOOKUP(H153,Dropdown!B:B,Dropdown!C:C)</f>
        <v>תרבות ופנאי</v>
      </c>
      <c r="J153" s="204" t="s">
        <v>168</v>
      </c>
    </row>
    <row r="154" spans="6:10">
      <c r="F154" s="226" t="s">
        <v>596</v>
      </c>
      <c r="G154" s="250">
        <v>20</v>
      </c>
      <c r="H154" s="204" t="s">
        <v>139</v>
      </c>
      <c r="I154" s="204" t="str">
        <f>_xlfn.XLOOKUP(H154,Dropdown!B:B,Dropdown!C:C)</f>
        <v>תרבות ופנאי</v>
      </c>
      <c r="J154" s="204" t="s">
        <v>168</v>
      </c>
    </row>
    <row r="155" spans="6:10">
      <c r="F155" s="226" t="s">
        <v>597</v>
      </c>
      <c r="G155" s="250">
        <v>514.25</v>
      </c>
      <c r="H155" s="204" t="s">
        <v>91</v>
      </c>
      <c r="I155" s="204" t="str">
        <f>_xlfn.XLOOKUP(H155,Dropdown!B:B,Dropdown!C:C)</f>
        <v>מזון וקניות</v>
      </c>
      <c r="J155" s="204" t="s">
        <v>166</v>
      </c>
    </row>
    <row r="156" spans="6:10">
      <c r="F156" s="226" t="s">
        <v>597</v>
      </c>
      <c r="G156" s="250">
        <v>125.1</v>
      </c>
      <c r="H156" s="204" t="s">
        <v>91</v>
      </c>
      <c r="I156" s="204" t="str">
        <f>_xlfn.XLOOKUP(H156,Dropdown!B:B,Dropdown!C:C)</f>
        <v>מזון וקניות</v>
      </c>
      <c r="J156" s="204" t="s">
        <v>166</v>
      </c>
    </row>
    <row r="157" spans="6:10">
      <c r="F157" s="226" t="s">
        <v>597</v>
      </c>
      <c r="G157" s="250">
        <v>185.24</v>
      </c>
      <c r="H157" s="204" t="s">
        <v>429</v>
      </c>
      <c r="I157" s="204" t="str">
        <f>_xlfn.XLOOKUP(H157,Dropdown!B:B,Dropdown!C:C)</f>
        <v>בריאות וטיפולים</v>
      </c>
      <c r="J157" s="204" t="s">
        <v>166</v>
      </c>
    </row>
    <row r="158" spans="6:10">
      <c r="F158" s="226" t="s">
        <v>597</v>
      </c>
      <c r="G158" s="250">
        <v>100.9</v>
      </c>
      <c r="H158" s="204" t="s">
        <v>96</v>
      </c>
      <c r="I158" s="204" t="str">
        <f>_xlfn.XLOOKUP(H158,Dropdown!B:B,Dropdown!C:C)</f>
        <v>מזון וקניות</v>
      </c>
      <c r="J158" s="204" t="s">
        <v>169</v>
      </c>
    </row>
    <row r="159" spans="6:10">
      <c r="F159" s="226" t="s">
        <v>597</v>
      </c>
      <c r="G159" s="250">
        <v>42.1</v>
      </c>
      <c r="H159" s="204" t="s">
        <v>138</v>
      </c>
      <c r="I159" s="204" t="str">
        <f>_xlfn.XLOOKUP(H159,Dropdown!B:B,Dropdown!C:C)</f>
        <v>רכב ונסיעות</v>
      </c>
      <c r="J159" s="204" t="s">
        <v>168</v>
      </c>
    </row>
    <row r="160" spans="6:10">
      <c r="F160" s="226" t="s">
        <v>597</v>
      </c>
      <c r="G160" s="250">
        <v>51.7</v>
      </c>
      <c r="H160" s="204" t="s">
        <v>138</v>
      </c>
      <c r="I160" s="204" t="str">
        <f>_xlfn.XLOOKUP(H160,Dropdown!B:B,Dropdown!C:C)</f>
        <v>רכב ונסיעות</v>
      </c>
      <c r="J160" s="204" t="s">
        <v>168</v>
      </c>
    </row>
    <row r="161" spans="6:10">
      <c r="F161" s="226" t="s">
        <v>597</v>
      </c>
      <c r="G161" s="250">
        <v>240.31</v>
      </c>
      <c r="H161" s="204" t="s">
        <v>99</v>
      </c>
      <c r="I161" s="204" t="str">
        <f>_xlfn.XLOOKUP(H161,Dropdown!B:B,Dropdown!C:C)</f>
        <v>רכב ונסיעות</v>
      </c>
      <c r="J161" s="204" t="s">
        <v>168</v>
      </c>
    </row>
    <row r="162" spans="6:10">
      <c r="F162" s="226" t="s">
        <v>597</v>
      </c>
      <c r="G162" s="250">
        <v>232</v>
      </c>
      <c r="H162" s="204" t="s">
        <v>276</v>
      </c>
      <c r="I162" s="204" t="str">
        <f>_xlfn.XLOOKUP(H162,Dropdown!B:B,Dropdown!C:C)</f>
        <v>תרבות ופנאי</v>
      </c>
      <c r="J162" s="204" t="s">
        <v>168</v>
      </c>
    </row>
    <row r="163" spans="6:10">
      <c r="F163" s="226" t="s">
        <v>597</v>
      </c>
      <c r="G163" s="250">
        <v>130</v>
      </c>
      <c r="H163" s="204" t="s">
        <v>96</v>
      </c>
      <c r="I163" s="204" t="str">
        <f>_xlfn.XLOOKUP(H163,Dropdown!B:B,Dropdown!C:C)</f>
        <v>מזון וקניות</v>
      </c>
      <c r="J163" s="204" t="s">
        <v>400</v>
      </c>
    </row>
    <row r="164" spans="6:10">
      <c r="F164" s="226" t="s">
        <v>597</v>
      </c>
      <c r="G164" s="250">
        <v>319</v>
      </c>
      <c r="H164" s="204" t="s">
        <v>428</v>
      </c>
      <c r="I164" s="204" t="str">
        <f>_xlfn.XLOOKUP(H164,Dropdown!B:B,Dropdown!C:C)</f>
        <v>תרבות ופנאי</v>
      </c>
      <c r="J164" s="204" t="s">
        <v>400</v>
      </c>
    </row>
    <row r="165" spans="6:10">
      <c r="F165" s="226" t="s">
        <v>598</v>
      </c>
      <c r="G165" s="250">
        <v>150</v>
      </c>
      <c r="H165" s="204" t="s">
        <v>109</v>
      </c>
      <c r="I165" s="204" t="str">
        <f>_xlfn.XLOOKUP(H165,Dropdown!B:B,Dropdown!C:C)</f>
        <v>ילדים וחינוך</v>
      </c>
      <c r="J165" s="204" t="s">
        <v>166</v>
      </c>
    </row>
    <row r="166" spans="6:10">
      <c r="F166" s="226" t="s">
        <v>598</v>
      </c>
      <c r="G166" s="250">
        <v>20</v>
      </c>
      <c r="H166" s="204" t="s">
        <v>103</v>
      </c>
      <c r="I166" s="204" t="str">
        <f>_xlfn.XLOOKUP(H166,Dropdown!B:B,Dropdown!C:C)</f>
        <v>רכב ונסיעות</v>
      </c>
      <c r="J166" s="204" t="s">
        <v>166</v>
      </c>
    </row>
    <row r="167" spans="6:10">
      <c r="F167" s="226" t="s">
        <v>598</v>
      </c>
      <c r="G167" s="250">
        <v>59.9</v>
      </c>
      <c r="H167" s="204" t="s">
        <v>95</v>
      </c>
      <c r="I167" s="204" t="str">
        <f>_xlfn.XLOOKUP(H167,Dropdown!B:B,Dropdown!C:C)</f>
        <v>מזון וקניות</v>
      </c>
      <c r="J167" s="204" t="s">
        <v>168</v>
      </c>
    </row>
    <row r="168" spans="6:10">
      <c r="F168" s="226" t="s">
        <v>598</v>
      </c>
      <c r="G168" s="250">
        <v>100</v>
      </c>
      <c r="H168" s="204" t="s">
        <v>95</v>
      </c>
      <c r="I168" s="204" t="str">
        <f>_xlfn.XLOOKUP(H168,Dropdown!B:B,Dropdown!C:C)</f>
        <v>מזון וקניות</v>
      </c>
      <c r="J168" s="204" t="s">
        <v>168</v>
      </c>
    </row>
    <row r="169" spans="6:10">
      <c r="F169" s="226" t="s">
        <v>598</v>
      </c>
      <c r="G169" s="250">
        <v>305.91000000000003</v>
      </c>
      <c r="H169" s="204" t="s">
        <v>95</v>
      </c>
      <c r="I169" s="204" t="str">
        <f>_xlfn.XLOOKUP(H169,Dropdown!B:B,Dropdown!C:C)</f>
        <v>מזון וקניות</v>
      </c>
      <c r="J169" s="204" t="s">
        <v>168</v>
      </c>
    </row>
    <row r="170" spans="6:10">
      <c r="F170" s="226" t="s">
        <v>598</v>
      </c>
      <c r="G170" s="250">
        <v>101.2</v>
      </c>
      <c r="H170" s="204" t="s">
        <v>91</v>
      </c>
      <c r="I170" s="204" t="str">
        <f>_xlfn.XLOOKUP(H170,Dropdown!B:B,Dropdown!C:C)</f>
        <v>מזון וקניות</v>
      </c>
      <c r="J170" s="204" t="s">
        <v>168</v>
      </c>
    </row>
    <row r="171" spans="6:10">
      <c r="F171" s="226" t="s">
        <v>598</v>
      </c>
      <c r="G171" s="250">
        <v>77.47</v>
      </c>
      <c r="H171" s="204" t="s">
        <v>91</v>
      </c>
      <c r="I171" s="204" t="str">
        <f>_xlfn.XLOOKUP(H171,Dropdown!B:B,Dropdown!C:C)</f>
        <v>מזון וקניות</v>
      </c>
      <c r="J171" s="204" t="s">
        <v>168</v>
      </c>
    </row>
    <row r="172" spans="6:10">
      <c r="F172" s="226" t="s">
        <v>599</v>
      </c>
      <c r="G172" s="250">
        <v>39</v>
      </c>
      <c r="H172" s="204" t="s">
        <v>140</v>
      </c>
      <c r="I172" s="204" t="str">
        <f>_xlfn.XLOOKUP(H172,Dropdown!B:B,Dropdown!C:C)</f>
        <v>תרבות ופנאי</v>
      </c>
      <c r="J172" s="204" t="s">
        <v>166</v>
      </c>
    </row>
    <row r="173" spans="6:10">
      <c r="F173" s="226" t="s">
        <v>599</v>
      </c>
      <c r="G173" s="250">
        <v>22</v>
      </c>
      <c r="H173" s="204" t="s">
        <v>140</v>
      </c>
      <c r="I173" s="204" t="str">
        <f>_xlfn.XLOOKUP(H173,Dropdown!B:B,Dropdown!C:C)</f>
        <v>תרבות ופנאי</v>
      </c>
      <c r="J173" s="204" t="s">
        <v>166</v>
      </c>
    </row>
    <row r="174" spans="6:10">
      <c r="F174" s="226" t="s">
        <v>599</v>
      </c>
      <c r="G174" s="250">
        <v>94.66</v>
      </c>
      <c r="H174" s="204" t="s">
        <v>96</v>
      </c>
      <c r="I174" s="204" t="str">
        <f>_xlfn.XLOOKUP(H174,Dropdown!B:B,Dropdown!C:C)</f>
        <v>מזון וקניות</v>
      </c>
      <c r="J174" s="204" t="s">
        <v>166</v>
      </c>
    </row>
    <row r="175" spans="6:10">
      <c r="F175" s="226" t="s">
        <v>599</v>
      </c>
      <c r="G175" s="250">
        <v>66</v>
      </c>
      <c r="H175" s="204" t="s">
        <v>123</v>
      </c>
      <c r="I175" s="204" t="str">
        <f>_xlfn.XLOOKUP(H175,Dropdown!B:B,Dropdown!C:C)</f>
        <v>תרבות ופנאי</v>
      </c>
      <c r="J175" s="204" t="s">
        <v>166</v>
      </c>
    </row>
    <row r="176" spans="6:10">
      <c r="F176" s="226" t="s">
        <v>599</v>
      </c>
      <c r="G176" s="250">
        <v>87.52</v>
      </c>
      <c r="H176" s="204" t="s">
        <v>428</v>
      </c>
      <c r="I176" s="204" t="str">
        <f>_xlfn.XLOOKUP(H176,Dropdown!B:B,Dropdown!C:C)</f>
        <v>תרבות ופנאי</v>
      </c>
      <c r="J176" s="204" t="s">
        <v>169</v>
      </c>
    </row>
    <row r="177" spans="6:10">
      <c r="F177" s="226" t="s">
        <v>599</v>
      </c>
      <c r="G177" s="250">
        <v>7.4</v>
      </c>
      <c r="H177" s="204" t="s">
        <v>428</v>
      </c>
      <c r="I177" s="204" t="str">
        <f>_xlfn.XLOOKUP(H177,Dropdown!B:B,Dropdown!C:C)</f>
        <v>תרבות ופנאי</v>
      </c>
      <c r="J177" s="204" t="s">
        <v>169</v>
      </c>
    </row>
    <row r="178" spans="6:10">
      <c r="F178" s="226" t="s">
        <v>599</v>
      </c>
      <c r="G178" s="250">
        <v>401.89</v>
      </c>
      <c r="H178" s="204" t="s">
        <v>428</v>
      </c>
      <c r="I178" s="204" t="str">
        <f>_xlfn.XLOOKUP(H178,Dropdown!B:B,Dropdown!C:C)</f>
        <v>תרבות ופנאי</v>
      </c>
      <c r="J178" s="204" t="s">
        <v>169</v>
      </c>
    </row>
    <row r="179" spans="6:10">
      <c r="F179" s="226" t="s">
        <v>599</v>
      </c>
      <c r="G179" s="250">
        <v>63</v>
      </c>
      <c r="H179" s="204" t="s">
        <v>91</v>
      </c>
      <c r="I179" s="204" t="str">
        <f>_xlfn.XLOOKUP(H179,Dropdown!B:B,Dropdown!C:C)</f>
        <v>מזון וקניות</v>
      </c>
      <c r="J179" s="204" t="s">
        <v>168</v>
      </c>
    </row>
    <row r="180" spans="6:10">
      <c r="F180" s="226" t="s">
        <v>599</v>
      </c>
      <c r="G180" s="250">
        <v>15.9</v>
      </c>
      <c r="H180" s="204" t="s">
        <v>96</v>
      </c>
      <c r="I180" s="204" t="str">
        <f>_xlfn.XLOOKUP(H180,Dropdown!B:B,Dropdown!C:C)</f>
        <v>מזון וקניות</v>
      </c>
      <c r="J180" s="204" t="s">
        <v>168</v>
      </c>
    </row>
    <row r="181" spans="6:10">
      <c r="F181" s="226" t="s">
        <v>599</v>
      </c>
      <c r="G181" s="250">
        <v>61.2</v>
      </c>
      <c r="H181" s="204" t="s">
        <v>428</v>
      </c>
      <c r="I181" s="204" t="str">
        <f>_xlfn.XLOOKUP(H181,Dropdown!B:B,Dropdown!C:C)</f>
        <v>תרבות ופנאי</v>
      </c>
      <c r="J181" s="204" t="s">
        <v>400</v>
      </c>
    </row>
    <row r="182" spans="6:10">
      <c r="F182" s="226" t="s">
        <v>599</v>
      </c>
      <c r="G182" s="250">
        <v>1311.64</v>
      </c>
      <c r="H182" s="204" t="s">
        <v>428</v>
      </c>
      <c r="I182" s="204" t="str">
        <f>_xlfn.XLOOKUP(H182,Dropdown!B:B,Dropdown!C:C)</f>
        <v>תרבות ופנאי</v>
      </c>
      <c r="J182" s="204" t="s">
        <v>400</v>
      </c>
    </row>
    <row r="183" spans="6:10">
      <c r="F183" s="226" t="s">
        <v>600</v>
      </c>
      <c r="G183" s="250">
        <v>179.49</v>
      </c>
      <c r="H183" s="204" t="s">
        <v>91</v>
      </c>
      <c r="I183" s="204" t="str">
        <f>_xlfn.XLOOKUP(H183,Dropdown!B:B,Dropdown!C:C)</f>
        <v>מזון וקניות</v>
      </c>
      <c r="J183" s="204" t="s">
        <v>166</v>
      </c>
    </row>
    <row r="184" spans="6:10">
      <c r="F184" s="226" t="s">
        <v>600</v>
      </c>
      <c r="G184" s="250">
        <v>275.82</v>
      </c>
      <c r="H184" s="204" t="s">
        <v>428</v>
      </c>
      <c r="I184" s="204" t="str">
        <f>_xlfn.XLOOKUP(H184,Dropdown!B:B,Dropdown!C:C)</f>
        <v>תרבות ופנאי</v>
      </c>
      <c r="J184" s="204" t="s">
        <v>169</v>
      </c>
    </row>
    <row r="185" spans="6:10">
      <c r="F185" s="226" t="s">
        <v>600</v>
      </c>
      <c r="G185" s="250">
        <v>69.31</v>
      </c>
      <c r="H185" s="204" t="s">
        <v>428</v>
      </c>
      <c r="I185" s="204" t="str">
        <f>_xlfn.XLOOKUP(H185,Dropdown!B:B,Dropdown!C:C)</f>
        <v>תרבות ופנאי</v>
      </c>
      <c r="J185" s="204" t="s">
        <v>400</v>
      </c>
    </row>
    <row r="186" spans="6:10">
      <c r="F186" s="226" t="s">
        <v>600</v>
      </c>
      <c r="G186" s="250">
        <v>40.03</v>
      </c>
      <c r="H186" s="204" t="s">
        <v>428</v>
      </c>
      <c r="I186" s="204" t="str">
        <f>_xlfn.XLOOKUP(H186,Dropdown!B:B,Dropdown!C:C)</f>
        <v>תרבות ופנאי</v>
      </c>
      <c r="J186" s="204" t="s">
        <v>400</v>
      </c>
    </row>
    <row r="187" spans="6:10">
      <c r="F187" s="226" t="s">
        <v>606</v>
      </c>
      <c r="G187" s="250">
        <v>55.35</v>
      </c>
      <c r="H187" s="204" t="s">
        <v>428</v>
      </c>
      <c r="I187" s="204" t="str">
        <f>_xlfn.XLOOKUP(H187,Dropdown!B:B,Dropdown!C:C)</f>
        <v>תרבות ופנאי</v>
      </c>
      <c r="J187" s="204" t="s">
        <v>169</v>
      </c>
    </row>
    <row r="188" spans="6:10">
      <c r="F188" s="226" t="s">
        <v>606</v>
      </c>
      <c r="G188" s="250">
        <v>319.79000000000002</v>
      </c>
      <c r="H188" s="204" t="s">
        <v>428</v>
      </c>
      <c r="I188" s="204" t="str">
        <f>_xlfn.XLOOKUP(H188,Dropdown!B:B,Dropdown!C:C)</f>
        <v>תרבות ופנאי</v>
      </c>
      <c r="J188" s="204" t="s">
        <v>169</v>
      </c>
    </row>
    <row r="189" spans="6:10">
      <c r="F189" s="226" t="s">
        <v>606</v>
      </c>
      <c r="G189" s="250">
        <v>15.27</v>
      </c>
      <c r="H189" s="204" t="s">
        <v>428</v>
      </c>
      <c r="I189" s="204" t="str">
        <f>_xlfn.XLOOKUP(H189,Dropdown!B:B,Dropdown!C:C)</f>
        <v>תרבות ופנאי</v>
      </c>
      <c r="J189" s="204" t="s">
        <v>169</v>
      </c>
    </row>
    <row r="190" spans="6:10">
      <c r="F190" s="226" t="s">
        <v>606</v>
      </c>
      <c r="G190" s="250">
        <v>18.23</v>
      </c>
      <c r="H190" s="204" t="s">
        <v>428</v>
      </c>
      <c r="I190" s="204" t="str">
        <f>_xlfn.XLOOKUP(H190,Dropdown!B:B,Dropdown!C:C)</f>
        <v>תרבות ופנאי</v>
      </c>
      <c r="J190" s="204" t="s">
        <v>169</v>
      </c>
    </row>
    <row r="191" spans="6:10">
      <c r="F191" s="226" t="s">
        <v>606</v>
      </c>
      <c r="G191" s="250">
        <v>7.43</v>
      </c>
      <c r="H191" s="204" t="s">
        <v>428</v>
      </c>
      <c r="I191" s="204" t="str">
        <f>_xlfn.XLOOKUP(H191,Dropdown!B:B,Dropdown!C:C)</f>
        <v>תרבות ופנאי</v>
      </c>
      <c r="J191" s="204" t="s">
        <v>169</v>
      </c>
    </row>
    <row r="192" spans="6:10">
      <c r="F192" s="226" t="s">
        <v>606</v>
      </c>
      <c r="G192" s="250">
        <v>7.43</v>
      </c>
      <c r="H192" s="204" t="s">
        <v>428</v>
      </c>
      <c r="I192" s="204" t="str">
        <f>_xlfn.XLOOKUP(H192,Dropdown!B:B,Dropdown!C:C)</f>
        <v>תרבות ופנאי</v>
      </c>
      <c r="J192" s="204" t="s">
        <v>169</v>
      </c>
    </row>
    <row r="193" spans="6:10">
      <c r="F193" s="226" t="s">
        <v>606</v>
      </c>
      <c r="G193" s="250">
        <v>104.35</v>
      </c>
      <c r="H193" s="204" t="s">
        <v>428</v>
      </c>
      <c r="I193" s="204" t="str">
        <f>_xlfn.XLOOKUP(H193,Dropdown!B:B,Dropdown!C:C)</f>
        <v>תרבות ופנאי</v>
      </c>
      <c r="J193" s="204" t="s">
        <v>169</v>
      </c>
    </row>
    <row r="194" spans="6:10">
      <c r="F194" s="226" t="s">
        <v>606</v>
      </c>
      <c r="G194" s="250">
        <v>4.66</v>
      </c>
      <c r="H194" s="204" t="s">
        <v>428</v>
      </c>
      <c r="I194" s="204" t="str">
        <f>_xlfn.XLOOKUP(H194,Dropdown!B:B,Dropdown!C:C)</f>
        <v>תרבות ופנאי</v>
      </c>
      <c r="J194" s="204" t="s">
        <v>169</v>
      </c>
    </row>
    <row r="195" spans="6:10">
      <c r="F195" s="226" t="s">
        <v>606</v>
      </c>
      <c r="G195" s="250">
        <v>55.13</v>
      </c>
      <c r="H195" s="204" t="s">
        <v>428</v>
      </c>
      <c r="I195" s="204" t="str">
        <f>_xlfn.XLOOKUP(H195,Dropdown!B:B,Dropdown!C:C)</f>
        <v>תרבות ופנאי</v>
      </c>
      <c r="J195" s="204" t="s">
        <v>169</v>
      </c>
    </row>
    <row r="196" spans="6:10">
      <c r="F196" s="226" t="s">
        <v>606</v>
      </c>
      <c r="G196" s="250">
        <v>24.67</v>
      </c>
      <c r="H196" s="204" t="s">
        <v>428</v>
      </c>
      <c r="I196" s="204" t="str">
        <f>_xlfn.XLOOKUP(H196,Dropdown!B:B,Dropdown!C:C)</f>
        <v>תרבות ופנאי</v>
      </c>
      <c r="J196" s="204" t="s">
        <v>169</v>
      </c>
    </row>
    <row r="197" spans="6:10">
      <c r="F197" s="226" t="s">
        <v>606</v>
      </c>
      <c r="G197" s="250">
        <v>40.97</v>
      </c>
      <c r="H197" s="204" t="s">
        <v>428</v>
      </c>
      <c r="I197" s="204" t="str">
        <f>_xlfn.XLOOKUP(H197,Dropdown!B:B,Dropdown!C:C)</f>
        <v>תרבות ופנאי</v>
      </c>
      <c r="J197" s="204" t="s">
        <v>169</v>
      </c>
    </row>
    <row r="198" spans="6:10">
      <c r="F198" s="226" t="s">
        <v>606</v>
      </c>
      <c r="G198" s="250">
        <v>313.10000000000002</v>
      </c>
      <c r="H198" s="204" t="s">
        <v>428</v>
      </c>
      <c r="I198" s="204" t="str">
        <f>_xlfn.XLOOKUP(H198,Dropdown!B:B,Dropdown!C:C)</f>
        <v>תרבות ופנאי</v>
      </c>
      <c r="J198" s="204" t="s">
        <v>167</v>
      </c>
    </row>
    <row r="199" spans="6:10">
      <c r="F199" s="226" t="s">
        <v>606</v>
      </c>
      <c r="G199" s="250">
        <v>97.38</v>
      </c>
      <c r="H199" s="204" t="s">
        <v>428</v>
      </c>
      <c r="I199" s="204" t="str">
        <f>_xlfn.XLOOKUP(H199,Dropdown!B:B,Dropdown!C:C)</f>
        <v>תרבות ופנאי</v>
      </c>
      <c r="J199" s="204" t="s">
        <v>167</v>
      </c>
    </row>
    <row r="200" spans="6:10">
      <c r="F200" s="226" t="s">
        <v>606</v>
      </c>
      <c r="G200" s="250">
        <v>286.18</v>
      </c>
      <c r="H200" s="204" t="s">
        <v>428</v>
      </c>
      <c r="I200" s="204" t="str">
        <f>_xlfn.XLOOKUP(H200,Dropdown!B:B,Dropdown!C:C)</f>
        <v>תרבות ופנאי</v>
      </c>
      <c r="J200" s="204" t="s">
        <v>167</v>
      </c>
    </row>
    <row r="201" spans="6:10">
      <c r="F201" s="226" t="s">
        <v>606</v>
      </c>
      <c r="G201" s="250">
        <v>34.590000000000003</v>
      </c>
      <c r="H201" s="204" t="s">
        <v>428</v>
      </c>
      <c r="I201" s="204" t="str">
        <f>_xlfn.XLOOKUP(H201,Dropdown!B:B,Dropdown!C:C)</f>
        <v>תרבות ופנאי</v>
      </c>
      <c r="J201" s="204" t="s">
        <v>400</v>
      </c>
    </row>
    <row r="202" spans="6:10">
      <c r="F202" s="226" t="s">
        <v>606</v>
      </c>
      <c r="G202" s="250">
        <v>25.78</v>
      </c>
      <c r="H202" s="204" t="s">
        <v>428</v>
      </c>
      <c r="I202" s="204" t="str">
        <f>_xlfn.XLOOKUP(H202,Dropdown!B:B,Dropdown!C:C)</f>
        <v>תרבות ופנאי</v>
      </c>
      <c r="J202" s="204" t="s">
        <v>400</v>
      </c>
    </row>
    <row r="203" spans="6:10">
      <c r="F203" s="226" t="s">
        <v>601</v>
      </c>
      <c r="G203" s="250">
        <v>13.9</v>
      </c>
      <c r="H203" s="204" t="s">
        <v>91</v>
      </c>
      <c r="I203" s="204" t="str">
        <f>_xlfn.XLOOKUP(H203,Dropdown!B:B,Dropdown!C:C)</f>
        <v>מזון וקניות</v>
      </c>
      <c r="J203" s="204" t="s">
        <v>166</v>
      </c>
    </row>
    <row r="204" spans="6:10">
      <c r="F204" s="226" t="s">
        <v>601</v>
      </c>
      <c r="G204" s="250">
        <v>135.18</v>
      </c>
      <c r="H204" s="204" t="s">
        <v>91</v>
      </c>
      <c r="I204" s="204" t="str">
        <f>_xlfn.XLOOKUP(H204,Dropdown!B:B,Dropdown!C:C)</f>
        <v>מזון וקניות</v>
      </c>
      <c r="J204" s="204" t="s">
        <v>166</v>
      </c>
    </row>
    <row r="205" spans="6:10">
      <c r="F205" s="226" t="s">
        <v>601</v>
      </c>
      <c r="G205" s="250">
        <v>150</v>
      </c>
      <c r="H205" s="204" t="s">
        <v>103</v>
      </c>
      <c r="I205" s="204" t="str">
        <f>_xlfn.XLOOKUP(H205,Dropdown!B:B,Dropdown!C:C)</f>
        <v>רכב ונסיעות</v>
      </c>
      <c r="J205" s="204" t="s">
        <v>166</v>
      </c>
    </row>
    <row r="206" spans="6:10">
      <c r="F206" s="226" t="s">
        <v>601</v>
      </c>
      <c r="G206" s="250">
        <v>71</v>
      </c>
      <c r="H206" s="204" t="s">
        <v>126</v>
      </c>
      <c r="I206" s="204" t="str">
        <f>_xlfn.XLOOKUP(H206,Dropdown!B:B,Dropdown!C:C)</f>
        <v>בריאות וטיפולים</v>
      </c>
      <c r="J206" s="204" t="s">
        <v>166</v>
      </c>
    </row>
    <row r="207" spans="6:10">
      <c r="F207" s="226" t="s">
        <v>601</v>
      </c>
      <c r="G207" s="250">
        <v>59</v>
      </c>
      <c r="H207" s="204" t="s">
        <v>139</v>
      </c>
      <c r="I207" s="204" t="str">
        <f>_xlfn.XLOOKUP(H207,Dropdown!B:B,Dropdown!C:C)</f>
        <v>תרבות ופנאי</v>
      </c>
      <c r="J207" s="204" t="s">
        <v>168</v>
      </c>
    </row>
    <row r="208" spans="6:10">
      <c r="F208" s="226" t="s">
        <v>601</v>
      </c>
      <c r="G208" s="250">
        <v>33</v>
      </c>
      <c r="H208" s="204" t="s">
        <v>139</v>
      </c>
      <c r="I208" s="204" t="str">
        <f>_xlfn.XLOOKUP(H208,Dropdown!B:B,Dropdown!C:C)</f>
        <v>תרבות ופנאי</v>
      </c>
      <c r="J208" s="204" t="s">
        <v>168</v>
      </c>
    </row>
    <row r="209" spans="6:10">
      <c r="F209" s="226" t="s">
        <v>601</v>
      </c>
      <c r="G209" s="250">
        <v>40.799999999999997</v>
      </c>
      <c r="H209" s="204" t="s">
        <v>91</v>
      </c>
      <c r="I209" s="204" t="str">
        <f>_xlfn.XLOOKUP(H209,Dropdown!B:B,Dropdown!C:C)</f>
        <v>מזון וקניות</v>
      </c>
      <c r="J209" s="204" t="s">
        <v>168</v>
      </c>
    </row>
    <row r="210" spans="6:10">
      <c r="F210" s="226" t="s">
        <v>601</v>
      </c>
      <c r="G210" s="250">
        <v>49</v>
      </c>
      <c r="H210" s="204" t="s">
        <v>96</v>
      </c>
      <c r="I210" s="204" t="str">
        <f>_xlfn.XLOOKUP(H210,Dropdown!B:B,Dropdown!C:C)</f>
        <v>מזון וקניות</v>
      </c>
      <c r="J210" s="204" t="s">
        <v>168</v>
      </c>
    </row>
    <row r="211" spans="6:10">
      <c r="F211" s="226" t="s">
        <v>601</v>
      </c>
      <c r="G211" s="250">
        <v>46.7</v>
      </c>
      <c r="H211" s="204" t="s">
        <v>96</v>
      </c>
      <c r="I211" s="204" t="str">
        <f>_xlfn.XLOOKUP(H211,Dropdown!B:B,Dropdown!C:C)</f>
        <v>מזון וקניות</v>
      </c>
      <c r="J211" s="204" t="s">
        <v>168</v>
      </c>
    </row>
    <row r="212" spans="6:10">
      <c r="F212" s="226" t="s">
        <v>602</v>
      </c>
      <c r="G212" s="250">
        <v>48</v>
      </c>
      <c r="H212" s="204" t="s">
        <v>103</v>
      </c>
      <c r="I212" s="204" t="str">
        <f>_xlfn.XLOOKUP(H212,Dropdown!B:B,Dropdown!C:C)</f>
        <v>רכב ונסיעות</v>
      </c>
      <c r="J212" s="204" t="s">
        <v>166</v>
      </c>
    </row>
    <row r="213" spans="6:10">
      <c r="F213" s="226" t="s">
        <v>602</v>
      </c>
      <c r="G213" s="250">
        <v>29.8</v>
      </c>
      <c r="H213" s="204" t="s">
        <v>91</v>
      </c>
      <c r="I213" s="204" t="str">
        <f>_xlfn.XLOOKUP(H213,Dropdown!B:B,Dropdown!C:C)</f>
        <v>מזון וקניות</v>
      </c>
      <c r="J213" s="204" t="s">
        <v>166</v>
      </c>
    </row>
    <row r="214" spans="6:10">
      <c r="F214" s="226" t="s">
        <v>603</v>
      </c>
      <c r="G214" s="250">
        <v>47</v>
      </c>
      <c r="H214" s="204" t="s">
        <v>281</v>
      </c>
      <c r="I214" s="204" t="str">
        <f>_xlfn.XLOOKUP(H214,Dropdown!B:B,Dropdown!C:C)</f>
        <v>רכב ונסיעות</v>
      </c>
      <c r="J214" s="204" t="s">
        <v>166</v>
      </c>
    </row>
    <row r="215" spans="6:10">
      <c r="F215" s="226" t="s">
        <v>603</v>
      </c>
      <c r="G215" s="250">
        <v>17.899999999999999</v>
      </c>
      <c r="H215" s="204" t="s">
        <v>91</v>
      </c>
      <c r="I215" s="204" t="str">
        <f>_xlfn.XLOOKUP(H215,Dropdown!B:B,Dropdown!C:C)</f>
        <v>מזון וקניות</v>
      </c>
      <c r="J215" s="204" t="s">
        <v>166</v>
      </c>
    </row>
    <row r="216" spans="6:10">
      <c r="F216" s="226" t="s">
        <v>603</v>
      </c>
      <c r="G216" s="250">
        <v>496.22</v>
      </c>
      <c r="H216" s="204" t="s">
        <v>91</v>
      </c>
      <c r="I216" s="204" t="str">
        <f>_xlfn.XLOOKUP(H216,Dropdown!B:B,Dropdown!C:C)</f>
        <v>מזון וקניות</v>
      </c>
      <c r="J216" s="204" t="s">
        <v>168</v>
      </c>
    </row>
    <row r="217" spans="6:10">
      <c r="F217" s="226" t="s">
        <v>603</v>
      </c>
      <c r="G217" s="250">
        <v>179.59</v>
      </c>
      <c r="H217" s="204" t="s">
        <v>99</v>
      </c>
      <c r="I217" s="204" t="str">
        <f>_xlfn.XLOOKUP(H217,Dropdown!B:B,Dropdown!C:C)</f>
        <v>רכב ונסיעות</v>
      </c>
      <c r="J217" s="204" t="s">
        <v>168</v>
      </c>
    </row>
    <row r="218" spans="6:10">
      <c r="F218" s="226" t="s">
        <v>603</v>
      </c>
      <c r="G218" s="250">
        <v>39.9</v>
      </c>
      <c r="H218" s="204" t="s">
        <v>91</v>
      </c>
      <c r="I218" s="204" t="str">
        <f>_xlfn.XLOOKUP(H218,Dropdown!B:B,Dropdown!C:C)</f>
        <v>מזון וקניות</v>
      </c>
      <c r="J218" s="204" t="s">
        <v>168</v>
      </c>
    </row>
    <row r="219" spans="6:10">
      <c r="F219" s="226" t="s">
        <v>603</v>
      </c>
      <c r="G219" s="250">
        <v>112</v>
      </c>
      <c r="H219" s="204" t="s">
        <v>139</v>
      </c>
      <c r="I219" s="204" t="str">
        <f>_xlfn.XLOOKUP(H219,Dropdown!B:B,Dropdown!C:C)</f>
        <v>תרבות ופנאי</v>
      </c>
      <c r="J219" s="204" t="s">
        <v>168</v>
      </c>
    </row>
    <row r="220" spans="6:10">
      <c r="F220" s="226" t="s">
        <v>603</v>
      </c>
      <c r="G220" s="250">
        <v>34.9</v>
      </c>
      <c r="H220" s="204" t="s">
        <v>19</v>
      </c>
      <c r="I220" s="204" t="str">
        <f>_xlfn.XLOOKUP(H220,Dropdown!B:B,Dropdown!C:C)</f>
        <v>ביטוחים ופיננסים</v>
      </c>
      <c r="J220" s="204" t="s">
        <v>400</v>
      </c>
    </row>
    <row r="221" spans="6:10">
      <c r="F221" s="226" t="s">
        <v>603</v>
      </c>
      <c r="G221" s="250">
        <v>47</v>
      </c>
      <c r="H221" s="204" t="s">
        <v>103</v>
      </c>
      <c r="I221" s="204" t="str">
        <f>_xlfn.XLOOKUP(H221,Dropdown!B:B,Dropdown!C:C)</f>
        <v>רכב ונסיעות</v>
      </c>
      <c r="J221" s="204" t="s">
        <v>166</v>
      </c>
    </row>
    <row r="222" spans="6:10">
      <c r="F222" s="226" t="s">
        <v>604</v>
      </c>
      <c r="G222" s="250">
        <v>87.38</v>
      </c>
      <c r="H222" s="204" t="s">
        <v>103</v>
      </c>
      <c r="I222" s="204" t="str">
        <f>_xlfn.XLOOKUP(H222,Dropdown!B:B,Dropdown!C:C)</f>
        <v>רכב ונסיעות</v>
      </c>
      <c r="J222" s="204" t="s">
        <v>166</v>
      </c>
    </row>
    <row r="223" spans="6:10">
      <c r="F223" s="226" t="s">
        <v>604</v>
      </c>
      <c r="G223" s="250">
        <v>217.45</v>
      </c>
      <c r="H223" s="204" t="s">
        <v>91</v>
      </c>
      <c r="I223" s="204" t="str">
        <f>_xlfn.XLOOKUP(H223,Dropdown!B:B,Dropdown!C:C)</f>
        <v>מזון וקניות</v>
      </c>
      <c r="J223" s="204" t="s">
        <v>168</v>
      </c>
    </row>
    <row r="224" spans="6:10">
      <c r="F224" s="226" t="s">
        <v>604</v>
      </c>
      <c r="G224" s="250">
        <v>11.2</v>
      </c>
      <c r="H224" s="204" t="s">
        <v>91</v>
      </c>
      <c r="I224" s="204" t="str">
        <f>_xlfn.XLOOKUP(H224,Dropdown!B:B,Dropdown!C:C)</f>
        <v>מזון וקניות</v>
      </c>
      <c r="J224" s="204" t="s">
        <v>168</v>
      </c>
    </row>
    <row r="225" spans="6:14">
      <c r="F225" s="226" t="s">
        <v>604</v>
      </c>
      <c r="G225" s="250">
        <v>28.5</v>
      </c>
      <c r="H225" s="204" t="s">
        <v>91</v>
      </c>
      <c r="I225" s="204" t="str">
        <f>_xlfn.XLOOKUP(H225,Dropdown!B:B,Dropdown!C:C)</f>
        <v>מזון וקניות</v>
      </c>
      <c r="J225" s="204" t="s">
        <v>168</v>
      </c>
    </row>
    <row r="226" spans="6:14">
      <c r="F226" s="226" t="s">
        <v>604</v>
      </c>
      <c r="G226" s="250">
        <v>400</v>
      </c>
      <c r="H226" s="204" t="s">
        <v>123</v>
      </c>
      <c r="I226" s="204" t="str">
        <f>_xlfn.XLOOKUP(H226,Dropdown!B:B,Dropdown!C:C)</f>
        <v>תרבות ופנאי</v>
      </c>
      <c r="J226" s="204" t="s">
        <v>400</v>
      </c>
    </row>
    <row r="227" spans="6:14">
      <c r="F227" s="226" t="s">
        <v>604</v>
      </c>
      <c r="G227" s="250">
        <v>-200</v>
      </c>
      <c r="H227" s="204" t="s">
        <v>123</v>
      </c>
      <c r="I227" s="204" t="str">
        <f>_xlfn.XLOOKUP(H227,Dropdown!B:B,Dropdown!C:C)</f>
        <v>תרבות ופנאי</v>
      </c>
      <c r="J227" s="204" t="s">
        <v>21</v>
      </c>
    </row>
    <row r="228" spans="6:14">
      <c r="F228" s="226" t="s">
        <v>605</v>
      </c>
      <c r="G228" s="250">
        <v>30</v>
      </c>
      <c r="H228" s="204" t="s">
        <v>103</v>
      </c>
      <c r="I228" s="204" t="str">
        <f>_xlfn.XLOOKUP(H228,Dropdown!B:B,Dropdown!C:C)</f>
        <v>רכב ונסיעות</v>
      </c>
      <c r="J228" s="204" t="s">
        <v>166</v>
      </c>
    </row>
    <row r="229" spans="6:14">
      <c r="F229" s="226" t="s">
        <v>605</v>
      </c>
      <c r="G229" s="250">
        <v>393.2</v>
      </c>
      <c r="H229" s="204" t="s">
        <v>96</v>
      </c>
      <c r="I229" s="204" t="str">
        <f>_xlfn.XLOOKUP(H229,Dropdown!B:B,Dropdown!C:C)</f>
        <v>מזון וקניות</v>
      </c>
      <c r="J229" s="204" t="s">
        <v>166</v>
      </c>
    </row>
    <row r="230" spans="6:14">
      <c r="F230" s="226" t="s">
        <v>605</v>
      </c>
      <c r="G230" s="250">
        <v>224</v>
      </c>
      <c r="H230" s="204" t="s">
        <v>91</v>
      </c>
      <c r="I230" s="204" t="str">
        <f>_xlfn.XLOOKUP(H230,Dropdown!B:B,Dropdown!C:C)</f>
        <v>מזון וקניות</v>
      </c>
      <c r="J230" s="204" t="s">
        <v>166</v>
      </c>
    </row>
    <row r="231" spans="6:14">
      <c r="F231" s="226" t="s">
        <v>605</v>
      </c>
      <c r="G231" s="250">
        <v>99.9</v>
      </c>
      <c r="H231" s="204" t="s">
        <v>129</v>
      </c>
      <c r="I231" s="204" t="str">
        <f>_xlfn.XLOOKUP(H231,Dropdown!B:B,Dropdown!C:C)</f>
        <v>בריאות וטיפולים</v>
      </c>
      <c r="J231" s="204" t="s">
        <v>166</v>
      </c>
    </row>
    <row r="232" spans="6:14">
      <c r="F232" s="226" t="s">
        <v>605</v>
      </c>
      <c r="G232" s="250">
        <v>207.4</v>
      </c>
      <c r="H232" s="204" t="s">
        <v>91</v>
      </c>
      <c r="I232" s="204" t="str">
        <f>_xlfn.XLOOKUP(H232,Dropdown!B:B,Dropdown!C:C)</f>
        <v>מזון וקניות</v>
      </c>
      <c r="J232" s="204" t="s">
        <v>166</v>
      </c>
    </row>
    <row r="233" spans="6:14">
      <c r="F233" s="226" t="s">
        <v>640</v>
      </c>
      <c r="G233" s="250">
        <v>92076</v>
      </c>
      <c r="H233" s="204" t="s">
        <v>374</v>
      </c>
      <c r="I233" s="204" t="str">
        <f>_xlfn.XLOOKUP(H233,Dropdown!B:B,Dropdown!C:C)</f>
        <v>תחזוקת דירה ותקשורת</v>
      </c>
      <c r="J233" s="204" t="s">
        <v>20</v>
      </c>
      <c r="N233" s="350"/>
    </row>
    <row r="234" spans="6:14">
      <c r="F234" s="226" t="s">
        <v>640</v>
      </c>
      <c r="G234" s="250">
        <v>101960</v>
      </c>
      <c r="H234" s="204" t="s">
        <v>374</v>
      </c>
      <c r="I234" s="204" t="str">
        <f>_xlfn.XLOOKUP(H234,Dropdown!B:B,Dropdown!C:C)</f>
        <v>תחזוקת דירה ותקשורת</v>
      </c>
      <c r="J234" s="204" t="s">
        <v>20</v>
      </c>
      <c r="N234" s="350"/>
    </row>
    <row r="235" spans="6:14">
      <c r="G235" s="250"/>
      <c r="I235" s="204">
        <f>_xlfn.XLOOKUP(H235,Dropdown!B:B,Dropdown!C:C)</f>
        <v>0</v>
      </c>
    </row>
    <row r="236" spans="6:14">
      <c r="G236" s="250"/>
      <c r="I236" s="204">
        <f>_xlfn.XLOOKUP(H236,Dropdown!B:B,Dropdown!C:C)</f>
        <v>0</v>
      </c>
    </row>
    <row r="237" spans="6:14">
      <c r="G237" s="250"/>
      <c r="I237" s="204">
        <f>_xlfn.XLOOKUP(H237,Dropdown!B:B,Dropdown!C:C)</f>
        <v>0</v>
      </c>
    </row>
    <row r="238" spans="6:14">
      <c r="G238" s="250"/>
      <c r="I238" s="204">
        <f>_xlfn.XLOOKUP(H238,Dropdown!B:B,Dropdown!C:C)</f>
        <v>0</v>
      </c>
    </row>
    <row r="239" spans="6:14">
      <c r="G239" s="250"/>
      <c r="I239" s="204">
        <f>_xlfn.XLOOKUP(H239,Dropdown!B:B,Dropdown!C:C)</f>
        <v>0</v>
      </c>
    </row>
    <row r="240" spans="6:14">
      <c r="G240" s="250"/>
      <c r="I240" s="204">
        <f>_xlfn.XLOOKUP(H240,Dropdown!B:B,Dropdown!C:C)</f>
        <v>0</v>
      </c>
    </row>
    <row r="241" spans="7:9">
      <c r="G241" s="250"/>
      <c r="I241" s="204">
        <f>_xlfn.XLOOKUP(H241,Dropdown!B:B,Dropdown!C:C)</f>
        <v>0</v>
      </c>
    </row>
    <row r="242" spans="7:9">
      <c r="G242" s="250"/>
      <c r="I242" s="204">
        <f>_xlfn.XLOOKUP(H242,Dropdown!B:B,Dropdown!C:C)</f>
        <v>0</v>
      </c>
    </row>
    <row r="243" spans="7:9">
      <c r="G243" s="250"/>
      <c r="I243" s="204">
        <f>_xlfn.XLOOKUP(H243,Dropdown!B:B,Dropdown!C:C)</f>
        <v>0</v>
      </c>
    </row>
    <row r="244" spans="7:9">
      <c r="G244" s="250"/>
      <c r="I244" s="204">
        <f>_xlfn.XLOOKUP(H244,Dropdown!B:B,Dropdown!C:C)</f>
        <v>0</v>
      </c>
    </row>
    <row r="245" spans="7:9">
      <c r="G245" s="250"/>
      <c r="I245" s="204">
        <f>_xlfn.XLOOKUP(H245,Dropdown!B:B,Dropdown!C:C)</f>
        <v>0</v>
      </c>
    </row>
    <row r="246" spans="7:9">
      <c r="G246" s="250"/>
      <c r="I246" s="204">
        <f>_xlfn.XLOOKUP(H246,Dropdown!B:B,Dropdown!C:C)</f>
        <v>0</v>
      </c>
    </row>
    <row r="247" spans="7:9">
      <c r="G247" s="250"/>
      <c r="I247" s="204">
        <f>_xlfn.XLOOKUP(H247,Dropdown!B:B,Dropdown!C:C)</f>
        <v>0</v>
      </c>
    </row>
    <row r="248" spans="7:9">
      <c r="G248" s="250"/>
      <c r="I248" s="204">
        <f>_xlfn.XLOOKUP(H248,Dropdown!B:B,Dropdown!C:C)</f>
        <v>0</v>
      </c>
    </row>
    <row r="249" spans="7:9">
      <c r="G249" s="250"/>
      <c r="I249" s="204">
        <f>_xlfn.XLOOKUP(H249,Dropdown!B:B,Dropdown!C:C)</f>
        <v>0</v>
      </c>
    </row>
    <row r="250" spans="7:9">
      <c r="G250" s="250"/>
    </row>
    <row r="251" spans="7:9">
      <c r="G251" s="250"/>
    </row>
    <row r="252" spans="7:9">
      <c r="G252" s="250"/>
    </row>
    <row r="253" spans="7:9">
      <c r="G253" s="250"/>
    </row>
    <row r="254" spans="7:9">
      <c r="G254" s="250"/>
    </row>
    <row r="255" spans="7:9">
      <c r="G255" s="250"/>
    </row>
    <row r="256" spans="7:9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  <row r="262" spans="7:7">
      <c r="G262" s="250"/>
    </row>
    <row r="263" spans="7:7">
      <c r="G263" s="250"/>
    </row>
    <row r="264" spans="7:7">
      <c r="G264" s="250"/>
    </row>
  </sheetData>
  <sheetProtection selectLockedCells="1" selectUnlockedCells="1"/>
  <autoFilter ref="F1:N507" xr:uid="{00000000-0009-0000-0000-000006000000}"/>
  <sortState xmlns:xlrd2="http://schemas.microsoft.com/office/spreadsheetml/2017/richdata2" ref="F68:N232">
    <sortCondition ref="F68:F232"/>
  </sortState>
  <mergeCells count="8">
    <mergeCell ref="A2:A6"/>
    <mergeCell ref="A35:A38"/>
    <mergeCell ref="A9:A10"/>
    <mergeCell ref="A11:A13"/>
    <mergeCell ref="A20:A23"/>
    <mergeCell ref="A31:A32"/>
    <mergeCell ref="A7:A8"/>
    <mergeCell ref="A28:A29"/>
  </mergeCells>
  <conditionalFormatting sqref="C2">
    <cfRule type="duplicateValues" dxfId="113" priority="1" stopIfTrue="1"/>
  </conditionalFormatting>
  <conditionalFormatting sqref="Q6:AV13">
    <cfRule type="cellIs" dxfId="112" priority="2" operator="greaterThan">
      <formula>0</formula>
    </cfRule>
  </conditionalFormatting>
  <conditionalFormatting sqref="Q19:AV37">
    <cfRule type="cellIs" dxfId="111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3:J51 J53:J66 J68:J264" xr:uid="{F85AFEFB-F8CF-4EC2-9F0D-5571B50C61F3}">
      <formula1>סוג_תשלום</formula1>
    </dataValidation>
    <dataValidation type="list" errorStyle="warning" allowBlank="1" showInputMessage="1" showErrorMessage="1" errorTitle="חסרה קטגוריה" sqref="H3:H51 H68:H173 H192:H211 H53:H66 H215:H264" xr:uid="{408E42D7-FC0A-4744-B3F5-4A91168F8ABD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ignoredErrors>
    <ignoredError sqref="F67 F68:M102 F104:M135 F103:M103 F137:M232 F136:M136" numberStoredAsText="1"/>
    <ignoredError sqref="I53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F42DDA-B57A-449F-80D2-109EBA8DBA35}">
          <x14:formula1>
            <xm:f>Dropdown!$D$2:$D$9</xm:f>
          </x14:formula1>
          <xm:sqref>P18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W264"/>
  <sheetViews>
    <sheetView rightToLeft="1" topLeftCell="B1" zoomScale="85" zoomScaleNormal="85" workbookViewId="0">
      <pane ySplit="1" topLeftCell="A2" activePane="bottomLeft" state="frozen"/>
      <selection activeCell="I24" sqref="I24"/>
      <selection pane="bottomLeft" activeCell="N47" sqref="F47:N47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04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04"/>
    <col min="16" max="16" width="19.7109375" style="204" bestFit="1" customWidth="1"/>
    <col min="17" max="17" width="10.42578125" style="204" bestFit="1" customWidth="1"/>
    <col min="18" max="18" width="11.5703125" style="204" bestFit="1" customWidth="1"/>
    <col min="19" max="20" width="4.28515625" style="204" bestFit="1" customWidth="1"/>
    <col min="21" max="21" width="5.140625" style="204" bestFit="1" customWidth="1"/>
    <col min="22" max="22" width="4.28515625" style="204" bestFit="1" customWidth="1"/>
    <col min="23" max="23" width="5.42578125" style="204" bestFit="1" customWidth="1"/>
    <col min="24" max="24" width="4.85546875" style="204" bestFit="1" customWidth="1"/>
    <col min="25" max="29" width="4.28515625" style="204" bestFit="1" customWidth="1"/>
    <col min="30" max="31" width="5.42578125" style="204" bestFit="1" customWidth="1"/>
    <col min="32" max="33" width="4.28515625" style="204" bestFit="1" customWidth="1"/>
    <col min="34" max="35" width="5.42578125" style="204" bestFit="1" customWidth="1"/>
    <col min="36" max="37" width="4.28515625" style="204" bestFit="1" customWidth="1"/>
    <col min="38" max="38" width="6" style="204" bestFit="1" customWidth="1"/>
    <col min="39" max="39" width="5.140625" style="204" bestFit="1" customWidth="1"/>
    <col min="40" max="40" width="4.140625" style="204" bestFit="1" customWidth="1"/>
    <col min="41" max="43" width="4.28515625" style="204" bestFit="1" customWidth="1"/>
    <col min="44" max="44" width="3.28515625" style="204" bestFit="1" customWidth="1"/>
    <col min="45" max="45" width="6" style="204" bestFit="1" customWidth="1"/>
    <col min="46" max="46" width="4.28515625" style="204" bestFit="1" customWidth="1"/>
    <col min="47" max="47" width="5.140625" style="204" bestFit="1" customWidth="1"/>
    <col min="48" max="48" width="4.285156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 t="s">
        <v>206</v>
      </c>
      <c r="B1" s="214">
        <v>2</v>
      </c>
      <c r="C1" s="215" t="s">
        <v>1</v>
      </c>
      <c r="D1" s="216" t="s">
        <v>351</v>
      </c>
      <c r="E1" s="222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27657.380000000008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767.82999999999993</v>
      </c>
      <c r="D3" s="224"/>
      <c r="E3" s="204">
        <f>49.9+222.59+69.9+340.08+85.36</f>
        <v>767.83</v>
      </c>
      <c r="G3" s="204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9500.3200000000015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26694.22</v>
      </c>
      <c r="G4" s="204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04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04">
        <v>1795.18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11855.389999999998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52.15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262.01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2500</v>
      </c>
      <c r="AV6" s="297">
        <f t="shared" si="3"/>
        <v>0</v>
      </c>
      <c r="AW6" s="294">
        <f>SUM(Q6:AV6)</f>
        <v>14669.549999999997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04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1312.24</v>
      </c>
      <c r="R7" s="297">
        <f t="shared" si="1"/>
        <v>1379.28</v>
      </c>
      <c r="S7" s="297">
        <f t="shared" si="1"/>
        <v>0</v>
      </c>
      <c r="T7" s="297">
        <f t="shared" si="1"/>
        <v>0</v>
      </c>
      <c r="U7" s="297">
        <f t="shared" si="1"/>
        <v>1369.49</v>
      </c>
      <c r="V7" s="297">
        <f t="shared" si="1"/>
        <v>229.34</v>
      </c>
      <c r="W7" s="297">
        <f t="shared" si="1"/>
        <v>759.49</v>
      </c>
      <c r="X7" s="297">
        <f t="shared" si="1"/>
        <v>0</v>
      </c>
      <c r="Y7" s="297">
        <f t="shared" si="1"/>
        <v>330.69</v>
      </c>
      <c r="Z7" s="297">
        <f t="shared" si="1"/>
        <v>705</v>
      </c>
      <c r="AA7" s="297">
        <f t="shared" si="1"/>
        <v>157.26</v>
      </c>
      <c r="AB7" s="297">
        <f t="shared" si="2"/>
        <v>312</v>
      </c>
      <c r="AC7" s="297">
        <f t="shared" si="2"/>
        <v>69.92</v>
      </c>
      <c r="AD7" s="297">
        <f t="shared" si="2"/>
        <v>1275.24</v>
      </c>
      <c r="AE7" s="297">
        <f t="shared" si="2"/>
        <v>2677.83</v>
      </c>
      <c r="AF7" s="297">
        <f t="shared" si="2"/>
        <v>546.87</v>
      </c>
      <c r="AG7" s="297">
        <f t="shared" si="2"/>
        <v>0</v>
      </c>
      <c r="AH7" s="297">
        <f t="shared" si="2"/>
        <v>112.22</v>
      </c>
      <c r="AI7" s="297">
        <f t="shared" si="2"/>
        <v>0</v>
      </c>
      <c r="AJ7" s="297">
        <f t="shared" si="2"/>
        <v>0</v>
      </c>
      <c r="AK7" s="297">
        <f t="shared" si="2"/>
        <v>639.49</v>
      </c>
      <c r="AL7" s="297">
        <f t="shared" si="3"/>
        <v>0</v>
      </c>
      <c r="AM7" s="297">
        <f t="shared" si="3"/>
        <v>1973.4</v>
      </c>
      <c r="AN7" s="297">
        <f t="shared" si="3"/>
        <v>407</v>
      </c>
      <c r="AO7" s="297">
        <f t="shared" si="3"/>
        <v>411.23</v>
      </c>
      <c r="AP7" s="297">
        <f t="shared" si="3"/>
        <v>512.03</v>
      </c>
      <c r="AQ7" s="297">
        <f t="shared" si="3"/>
        <v>383.17</v>
      </c>
      <c r="AR7" s="297">
        <f t="shared" si="3"/>
        <v>85.03</v>
      </c>
      <c r="AS7" s="297">
        <f t="shared" si="3"/>
        <v>777.57</v>
      </c>
      <c r="AT7" s="297">
        <f t="shared" si="3"/>
        <v>998.97</v>
      </c>
      <c r="AU7" s="297">
        <f t="shared" si="3"/>
        <v>156.47</v>
      </c>
      <c r="AV7" s="297">
        <f t="shared" si="3"/>
        <v>13.37</v>
      </c>
      <c r="AW7" s="294">
        <f t="shared" ref="AW7:AW13" si="4">SUM(Q7:AV7)</f>
        <v>17594.600000000002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4062.86</v>
      </c>
      <c r="D8" s="198"/>
      <c r="G8" s="204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1184.75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20</v>
      </c>
      <c r="AE8" s="297">
        <f t="shared" si="2"/>
        <v>177.5</v>
      </c>
      <c r="AF8" s="297">
        <f t="shared" si="2"/>
        <v>25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256.86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19.8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1683.91</v>
      </c>
    </row>
    <row r="9" spans="1:49">
      <c r="A9" s="461" t="s">
        <v>59</v>
      </c>
      <c r="B9" s="196" t="s">
        <v>356</v>
      </c>
      <c r="C9" s="196">
        <v>3912.18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5530.6100000000006</v>
      </c>
      <c r="G9" s="204">
        <v>111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3257.7200000000003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150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150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150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3707.7200000000003</v>
      </c>
    </row>
    <row r="10" spans="1:49">
      <c r="A10" s="460"/>
      <c r="B10" s="196" t="s">
        <v>8</v>
      </c>
      <c r="C10" s="299"/>
      <c r="D10" s="197"/>
      <c r="G10" s="204">
        <v>386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2607.2399999999998</v>
      </c>
      <c r="R10" s="297">
        <f t="shared" si="1"/>
        <v>0</v>
      </c>
      <c r="S10" s="297">
        <f t="shared" si="1"/>
        <v>24.5</v>
      </c>
      <c r="T10" s="297">
        <f t="shared" si="1"/>
        <v>168.75</v>
      </c>
      <c r="U10" s="297">
        <f t="shared" si="1"/>
        <v>249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163.01</v>
      </c>
      <c r="AA10" s="297">
        <f t="shared" si="1"/>
        <v>0</v>
      </c>
      <c r="AB10" s="297">
        <f t="shared" si="2"/>
        <v>370</v>
      </c>
      <c r="AC10" s="297">
        <f t="shared" si="2"/>
        <v>0</v>
      </c>
      <c r="AD10" s="297">
        <f t="shared" si="2"/>
        <v>0</v>
      </c>
      <c r="AE10" s="297">
        <f t="shared" si="2"/>
        <v>377.7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166.6</v>
      </c>
      <c r="AO10" s="297">
        <f t="shared" si="3"/>
        <v>0</v>
      </c>
      <c r="AP10" s="297">
        <f t="shared" si="3"/>
        <v>62</v>
      </c>
      <c r="AQ10" s="297">
        <f t="shared" si="3"/>
        <v>531.25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216</v>
      </c>
      <c r="AW10" s="294">
        <f t="shared" si="4"/>
        <v>4936.05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9.9</v>
      </c>
      <c r="D11" s="198">
        <f ca="1">SUMIFS((INDIRECT("'"&amp;$A$1&amp;"'!"&amp;"G:G")),(INDIRECT("'"&amp;$A$1&amp;"'!"&amp;"J:J")),"חש-ל",(INDIRECT("'"&amp;$A$1&amp;"'!"&amp;"H:H")),"עמלות")</f>
        <v>22</v>
      </c>
      <c r="G11" s="204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1397.4699999999998</v>
      </c>
      <c r="R11" s="297">
        <f t="shared" si="1"/>
        <v>0</v>
      </c>
      <c r="S11" s="297">
        <f t="shared" si="1"/>
        <v>135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1532.4699999999998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10000</v>
      </c>
      <c r="G12" s="204">
        <v>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1421.86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34.9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21.9</v>
      </c>
      <c r="AW12" s="294">
        <f t="shared" ca="1" si="4"/>
        <v>1478.66</v>
      </c>
    </row>
    <row r="13" spans="1:49">
      <c r="A13" s="460"/>
      <c r="B13" s="196" t="s">
        <v>20</v>
      </c>
      <c r="C13" s="196"/>
      <c r="D13" s="197"/>
      <c r="G13" s="204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41233.57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41233.57</v>
      </c>
    </row>
    <row r="14" spans="1:49">
      <c r="A14" s="229" t="s">
        <v>21</v>
      </c>
      <c r="B14" s="196" t="s">
        <v>22</v>
      </c>
      <c r="C14" s="196"/>
      <c r="D14" s="198"/>
      <c r="G14" s="204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04">
        <v>2017.64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04">
        <v>2045.22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04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46410.470000000008</v>
      </c>
      <c r="D18" s="259">
        <f ca="1">SUM(D2:D17)</f>
        <v>42246.83</v>
      </c>
      <c r="E18" s="232"/>
      <c r="G18" s="204">
        <v>975.62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32"/>
      <c r="G19" s="204">
        <v>99.82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0</v>
      </c>
      <c r="R19" s="297">
        <f t="shared" ref="R19:AA28" si="6">SUMIFS($G:$G,$H:$H,$P19,$F:$F,TEXT(R$5,"00") &amp; "." &amp; TEXT($A$1,"00"))</f>
        <v>1379.28</v>
      </c>
      <c r="S19" s="297">
        <f t="shared" si="6"/>
        <v>0</v>
      </c>
      <c r="T19" s="297">
        <f t="shared" si="6"/>
        <v>0</v>
      </c>
      <c r="U19" s="297">
        <f t="shared" si="6"/>
        <v>1146.9000000000001</v>
      </c>
      <c r="V19" s="297">
        <f t="shared" si="6"/>
        <v>229.34</v>
      </c>
      <c r="W19" s="297">
        <f t="shared" si="6"/>
        <v>759.49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71.900000000000006</v>
      </c>
      <c r="AB19" s="297">
        <f t="shared" ref="AB19:AK28" si="7">SUMIFS($G:$G,$H:$H,$P19,$F:$F,TEXT(AB$5,"00") &amp; "." &amp; TEXT($A$1,"00"))</f>
        <v>312</v>
      </c>
      <c r="AC19" s="297">
        <f t="shared" si="7"/>
        <v>69.92</v>
      </c>
      <c r="AD19" s="297">
        <f t="shared" si="7"/>
        <v>674.44</v>
      </c>
      <c r="AE19" s="297">
        <f t="shared" si="7"/>
        <v>665.21</v>
      </c>
      <c r="AF19" s="297">
        <f t="shared" si="7"/>
        <v>209.37</v>
      </c>
      <c r="AG19" s="297">
        <f t="shared" si="7"/>
        <v>0</v>
      </c>
      <c r="AH19" s="297">
        <f t="shared" si="7"/>
        <v>112.22</v>
      </c>
      <c r="AI19" s="297">
        <f t="shared" si="7"/>
        <v>0</v>
      </c>
      <c r="AJ19" s="297">
        <f t="shared" si="7"/>
        <v>0</v>
      </c>
      <c r="AK19" s="297">
        <f t="shared" si="7"/>
        <v>320.78999999999996</v>
      </c>
      <c r="AL19" s="297">
        <f t="shared" ref="AL19:AV28" si="8">SUMIFS($G:$G,$H:$H,$P19,$F:$F,TEXT(AL$5,"00") &amp; "." &amp; TEXT($A$1,"00"))</f>
        <v>0</v>
      </c>
      <c r="AM19" s="297">
        <f t="shared" si="8"/>
        <v>1782.6000000000001</v>
      </c>
      <c r="AN19" s="297">
        <f t="shared" si="8"/>
        <v>0</v>
      </c>
      <c r="AO19" s="297">
        <f t="shared" si="8"/>
        <v>411.23</v>
      </c>
      <c r="AP19" s="297">
        <f t="shared" si="8"/>
        <v>391.23</v>
      </c>
      <c r="AQ19" s="297">
        <f t="shared" si="8"/>
        <v>383.17</v>
      </c>
      <c r="AR19" s="297">
        <f t="shared" si="8"/>
        <v>85.03</v>
      </c>
      <c r="AS19" s="297">
        <f t="shared" si="8"/>
        <v>564.57000000000005</v>
      </c>
      <c r="AT19" s="297">
        <f t="shared" si="8"/>
        <v>998.97</v>
      </c>
      <c r="AU19" s="297">
        <f t="shared" si="8"/>
        <v>156.47</v>
      </c>
      <c r="AV19" s="297">
        <f t="shared" si="8"/>
        <v>13.37</v>
      </c>
      <c r="AW19" s="294">
        <f t="shared" ref="AW19:AW37" si="9">SUM(Q19:AV19)</f>
        <v>10737.5</v>
      </c>
    </row>
    <row r="20" spans="1:49">
      <c r="A20" s="462" t="s">
        <v>25</v>
      </c>
      <c r="B20" s="206" t="s">
        <v>337</v>
      </c>
      <c r="C20" s="206">
        <v>41781.019999999997</v>
      </c>
      <c r="D20" s="207">
        <f>SUMIFS(עסק!AA:AA,עסק!Z:Z,$A$1,עסק!AC:AC,"צ'ק")</f>
        <v>0</v>
      </c>
      <c r="E20" s="232"/>
      <c r="G20" s="204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10000</v>
      </c>
      <c r="D21" s="198">
        <f>SUMIFS(עסק!E:E,עסק!D:D,$A$1,עסק!G:G,"העברה")+SUMIFS(עסק!E:E,עסק!D:D,$A$1,עסק!G:G,"צ'ק")</f>
        <v>47501</v>
      </c>
      <c r="G21" s="204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169</v>
      </c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276</v>
      </c>
      <c r="D22" s="198"/>
      <c r="G22" s="204">
        <v>132.4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1160</v>
      </c>
      <c r="D23" s="202"/>
      <c r="G23" s="204">
        <v>80.47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330.69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334.9</v>
      </c>
      <c r="AE23" s="297">
        <f t="shared" si="7"/>
        <v>382.4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190.8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1238.7899999999997</v>
      </c>
    </row>
    <row r="24" spans="1:49">
      <c r="A24" s="261" t="s">
        <v>24</v>
      </c>
      <c r="B24" s="262"/>
      <c r="C24" s="255">
        <f ca="1">SUM(C20:C23)</f>
        <v>53217.02</v>
      </c>
      <c r="D24" s="254">
        <f>SUM(D20:D23)</f>
        <v>47501</v>
      </c>
      <c r="G24" s="204">
        <v>29.88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222.59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85.36</v>
      </c>
      <c r="AB24" s="297">
        <f t="shared" si="7"/>
        <v>0</v>
      </c>
      <c r="AC24" s="297">
        <f t="shared" si="7"/>
        <v>0</v>
      </c>
      <c r="AD24" s="297">
        <f t="shared" si="7"/>
        <v>265.89999999999998</v>
      </c>
      <c r="AE24" s="297">
        <f t="shared" si="7"/>
        <v>1092.22</v>
      </c>
      <c r="AF24" s="297">
        <f t="shared" si="7"/>
        <v>337.5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318.7</v>
      </c>
      <c r="AL24" s="297">
        <f t="shared" si="8"/>
        <v>0</v>
      </c>
      <c r="AM24" s="297">
        <f t="shared" si="8"/>
        <v>0</v>
      </c>
      <c r="AN24" s="297">
        <f t="shared" si="8"/>
        <v>252</v>
      </c>
      <c r="AO24" s="297">
        <f t="shared" si="8"/>
        <v>0</v>
      </c>
      <c r="AP24" s="297">
        <f t="shared" si="8"/>
        <v>120.8</v>
      </c>
      <c r="AQ24" s="297">
        <f t="shared" si="8"/>
        <v>0</v>
      </c>
      <c r="AR24" s="297">
        <f t="shared" si="8"/>
        <v>0</v>
      </c>
      <c r="AS24" s="297">
        <f t="shared" si="8"/>
        <v>213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2908.07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700</v>
      </c>
      <c r="G25" s="204">
        <v>10.39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53217.02</v>
      </c>
      <c r="D26" s="257">
        <f>SUM(D24:D25)</f>
        <v>48201</v>
      </c>
      <c r="G26" s="204">
        <v>53.75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04">
        <v>259.49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מכשירים</v>
      </c>
      <c r="Q27" s="297">
        <f t="shared" si="5"/>
        <v>1138.8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705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538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155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2536.8000000000002</v>
      </c>
    </row>
    <row r="28" spans="1:49">
      <c r="A28" s="467" t="s">
        <v>28</v>
      </c>
      <c r="B28" s="239" t="s">
        <v>29</v>
      </c>
      <c r="C28" s="239">
        <f ca="1">'2'!C29</f>
        <v>176836.32999999996</v>
      </c>
      <c r="D28" s="240">
        <f ca="1">'2'!D29</f>
        <v>36.580000000001746</v>
      </c>
      <c r="G28" s="204">
        <v>275.10000000000002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הוצאות לעסק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183642.87999999995</v>
      </c>
      <c r="D29" s="242">
        <f ca="1">D28+D24-D18</f>
        <v>5290.75</v>
      </c>
      <c r="G29" s="204">
        <v>191.39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מנויים</v>
      </c>
      <c r="Q29" s="297">
        <f t="shared" si="5"/>
        <v>173.44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173.44</v>
      </c>
    </row>
    <row r="30" spans="1:49">
      <c r="A30" s="243" t="s">
        <v>31</v>
      </c>
      <c r="B30" s="204" t="s">
        <v>32</v>
      </c>
      <c r="C30" s="204">
        <f ca="1">SUM(Data!$B$2+C29)</f>
        <v>218642.87999999995</v>
      </c>
      <c r="D30" s="244">
        <f ca="1">SUM(Data!$B$3+D29)</f>
        <v>15290.75</v>
      </c>
      <c r="G30" s="204">
        <v>273.32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7306.5499999999884</v>
      </c>
      <c r="D31" s="244">
        <f ca="1">SUM(D29+D16-D28)</f>
        <v>5254.1699999999983</v>
      </c>
      <c r="G31" s="204">
        <v>277.77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6806.5499999999884</v>
      </c>
      <c r="D32" s="246">
        <f ca="1">D24-D18</f>
        <v>5254.1699999999983</v>
      </c>
      <c r="G32" s="204">
        <v>97.96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04">
        <v>63.37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22"/>
      <c r="G34" s="204">
        <v>71.14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'2'!D35-C35</f>
        <v>58550</v>
      </c>
      <c r="E35" s="222"/>
      <c r="G35" s="204">
        <v>128.30000000000001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166</v>
      </c>
      <c r="M35" s="275" t="s">
        <v>456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22"/>
      <c r="G36" s="204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22"/>
      <c r="G37" s="204">
        <v>0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22"/>
      <c r="G38" s="204">
        <v>10000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22"/>
      <c r="G39" s="204">
        <v>3217.61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04">
        <v>12289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04">
        <v>5719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20574.789999999994</v>
      </c>
      <c r="G42" s="204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12274.179999999997</v>
      </c>
      <c r="C43" s="269" t="s">
        <v>451</v>
      </c>
      <c r="D43" s="205">
        <f ca="1">50000-C4</f>
        <v>40499.68</v>
      </c>
      <c r="G43" s="204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  <c r="P43" s="204" t="s">
        <v>639</v>
      </c>
      <c r="Q43" s="352">
        <f ca="1">'2'!Q46</f>
        <v>-38010.28</v>
      </c>
      <c r="R43" s="352">
        <f ca="1">'2'!R46</f>
        <v>205521.61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23305.78</v>
      </c>
      <c r="G44" s="204">
        <v>1713</v>
      </c>
      <c r="H44" s="204" t="s">
        <v>236</v>
      </c>
      <c r="I44" s="204" t="str">
        <f>_xlfn.XLOOKUP(H44,Dropdown!B:B,Dropdown!C:C)</f>
        <v>עסק</v>
      </c>
      <c r="J44" s="204" t="s">
        <v>352</v>
      </c>
      <c r="P44" s="204" t="s">
        <v>25</v>
      </c>
      <c r="Q44" s="352">
        <f ca="1">C24</f>
        <v>53217.02</v>
      </c>
      <c r="R44" s="352">
        <v>0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04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  <c r="P45" s="204" t="s">
        <v>49</v>
      </c>
      <c r="Q45" s="352">
        <f ca="1">C18-R45+R44+SUMIFS((INDIRECT("'"&amp;$A$1&amp;"'!"&amp;"G:G")), (INDIRECT("'"&amp;$A$1&amp;"'!"&amp;"H:H")), R42, (INDIRECT("'"&amp;$A$1&amp;"'!"&amp;"J:J")), "ל-פ 1")+SUMIFS((INDIRECT("'"&amp;$B$1&amp;"'!"&amp;"G:G")),(INDIRECT("'"&amp;$B$1&amp;"'!"&amp;"H:H")), R42,(INDIRECT("'"&amp;$B$1&amp;"'!"&amp;"J:J")), "ל-פ 2")</f>
        <v>33994.470000000008</v>
      </c>
      <c r="R45" s="352">
        <f ca="1">SUMIFS(G:G,H:H,R42,J:J,"העברה")+SUMIFS((INDIRECT("'"&amp;$A$1&amp;"'!"&amp;"G:G")), (INDIRECT("'"&amp;$A$1&amp;"'!"&amp;"H:H")), R42, (INDIRECT("'"&amp;$A$1&amp;"'!"&amp;"J:J")), "*1*")+SUMIFS((INDIRECT("'"&amp;$B$1&amp;"'!"&amp;"G:G")),(INDIRECT("'"&amp;$B$1&amp;"'!"&amp;"H:H")), R42,(INDIRECT("'"&amp;$B$1&amp;"'!"&amp;"J:J")), "*2*")</f>
        <v>16776</v>
      </c>
    </row>
    <row r="46" spans="1:49" ht="13.5" thickBot="1">
      <c r="B46" s="268"/>
      <c r="C46" s="272"/>
      <c r="D46" s="257">
        <f ca="1">SUM(D42:D45)</f>
        <v>84380.25</v>
      </c>
      <c r="G46" s="204">
        <v>62.54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  <c r="P46" s="204" t="s">
        <v>273</v>
      </c>
      <c r="Q46" s="352">
        <f ca="1">Q43+Q44-Q45</f>
        <v>-18787.73000000001</v>
      </c>
      <c r="R46" s="352">
        <f ca="1">R43+R44-R45</f>
        <v>188745.61</v>
      </c>
    </row>
    <row r="47" spans="1:49">
      <c r="D47" s="136"/>
      <c r="G47" s="204">
        <v>67</v>
      </c>
      <c r="H47" s="204" t="s">
        <v>406</v>
      </c>
      <c r="I47" s="204" t="str">
        <f>_xlfn.XLOOKUP(H47,Dropdown!B:B,Dropdown!C:C)</f>
        <v>מזון וקניות</v>
      </c>
      <c r="J47" s="204" t="s">
        <v>166</v>
      </c>
      <c r="M47" t="s">
        <v>577</v>
      </c>
    </row>
    <row r="48" spans="1:49">
      <c r="D48" s="136"/>
      <c r="G48" s="204">
        <v>600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409</v>
      </c>
    </row>
    <row r="49" spans="1:14">
      <c r="D49" s="136"/>
      <c r="G49" s="204">
        <v>700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383</v>
      </c>
    </row>
    <row r="50" spans="1:14">
      <c r="D50" s="136"/>
      <c r="G50" s="204">
        <v>450</v>
      </c>
      <c r="H50" s="204" t="s">
        <v>111</v>
      </c>
      <c r="I50" s="204" t="str">
        <f>_xlfn.XLOOKUP(H50,Dropdown!B:B,Dropdown!C:C)</f>
        <v>ילדים וחינוך</v>
      </c>
      <c r="J50" s="204" t="s">
        <v>166</v>
      </c>
      <c r="M50" s="275" t="s">
        <v>382</v>
      </c>
    </row>
    <row r="51" spans="1:14">
      <c r="D51" s="136"/>
      <c r="G51" s="204">
        <f>390+45</f>
        <v>435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410</v>
      </c>
    </row>
    <row r="52" spans="1:14" ht="13.5" thickBot="1">
      <c r="D52" s="136"/>
      <c r="G52" s="204">
        <v>280</v>
      </c>
      <c r="H52" s="204" t="s">
        <v>111</v>
      </c>
      <c r="I52" s="204" t="str">
        <f>_xlfn.XLOOKUP(H52,Dropdown!B:B,Dropdown!C:C)</f>
        <v>ילדים וחינוך</v>
      </c>
      <c r="J52" s="204" t="s">
        <v>165</v>
      </c>
      <c r="M52" s="275" t="s">
        <v>411</v>
      </c>
    </row>
    <row r="53" spans="1:14">
      <c r="D53" s="136"/>
      <c r="F53" s="219" t="s">
        <v>404</v>
      </c>
      <c r="G53" s="225"/>
      <c r="H53" s="225"/>
      <c r="I53" s="225"/>
      <c r="J53" s="225"/>
      <c r="K53" s="225"/>
      <c r="L53" s="225"/>
      <c r="M53" s="274"/>
      <c r="N53" s="274"/>
    </row>
    <row r="54" spans="1:14">
      <c r="G54" s="204">
        <f>1810/4</f>
        <v>452.5</v>
      </c>
      <c r="H54" s="204" t="s">
        <v>102</v>
      </c>
      <c r="I54" s="204" t="str">
        <f>_xlfn.XLOOKUP(H54,[2]Dropdown!B:B,[2]Dropdown!C:C)</f>
        <v>רכב ונסיעות</v>
      </c>
      <c r="J54" s="204" t="s">
        <v>399</v>
      </c>
      <c r="K54" s="227">
        <v>3</v>
      </c>
      <c r="L54" s="228" t="s">
        <v>620</v>
      </c>
      <c r="M54" s="228" t="s">
        <v>405</v>
      </c>
      <c r="N54" s="228"/>
    </row>
    <row r="55" spans="1:14">
      <c r="G55" s="204">
        <f>2929/4</f>
        <v>732.25</v>
      </c>
      <c r="H55" s="204" t="s">
        <v>102</v>
      </c>
      <c r="I55" s="204" t="str">
        <f>_xlfn.XLOOKUP(H55,[2]Dropdown!B:B,[2]Dropdown!C:C)</f>
        <v>רכב ונסיעות</v>
      </c>
      <c r="J55" s="204" t="s">
        <v>400</v>
      </c>
      <c r="K55" s="227">
        <v>3</v>
      </c>
      <c r="L55" s="228" t="s">
        <v>620</v>
      </c>
      <c r="M55" s="228" t="s">
        <v>405</v>
      </c>
      <c r="N55" s="228"/>
    </row>
    <row r="56" spans="1:14">
      <c r="G56" s="204">
        <v>2000</v>
      </c>
      <c r="H56" s="204" t="s">
        <v>374</v>
      </c>
      <c r="I56" s="204" t="str">
        <f>_xlfn.XLOOKUP(H56,Dropdown!B:B,Dropdown!C:C)</f>
        <v>תחזוקת דירה ותקשורת</v>
      </c>
      <c r="J56" s="204" t="s">
        <v>399</v>
      </c>
      <c r="K56" s="227">
        <v>1</v>
      </c>
      <c r="L56" s="253" t="s">
        <v>553</v>
      </c>
      <c r="M56" s="275" t="s">
        <v>569</v>
      </c>
    </row>
    <row r="57" spans="1:14">
      <c r="G57" s="204">
        <v>1106.25</v>
      </c>
      <c r="H57" s="204" t="s">
        <v>124</v>
      </c>
      <c r="I57" s="204" t="str">
        <f>_xlfn.XLOOKUP(H57,Dropdown!B:B,Dropdown!C:C)</f>
        <v>תרבות ופנאי</v>
      </c>
      <c r="J57" s="204" t="s">
        <v>165</v>
      </c>
      <c r="K57" s="227">
        <v>2</v>
      </c>
      <c r="L57" s="253" t="s">
        <v>588</v>
      </c>
      <c r="M57" s="275" t="s">
        <v>589</v>
      </c>
    </row>
    <row r="58" spans="1:14">
      <c r="G58" s="204">
        <v>1500.99</v>
      </c>
      <c r="H58" s="204" t="s">
        <v>118</v>
      </c>
      <c r="I58" s="204" t="str">
        <f>_xlfn.XLOOKUP(H58,[2]Dropdown!B:B,[2]Dropdown!C:C)</f>
        <v>תרבות ופנאי</v>
      </c>
      <c r="J58" s="204" t="s">
        <v>400</v>
      </c>
      <c r="K58" s="227">
        <v>3</v>
      </c>
      <c r="L58" s="253" t="s">
        <v>612</v>
      </c>
      <c r="M58" s="275" t="s">
        <v>613</v>
      </c>
    </row>
    <row r="59" spans="1:14">
      <c r="G59" s="204">
        <v>2000</v>
      </c>
      <c r="H59" s="204" t="s">
        <v>374</v>
      </c>
      <c r="I59" s="204" t="str">
        <f>_xlfn.XLOOKUP(H59,[2]Dropdown!B:B,[2]Dropdown!C:C)</f>
        <v>תחזוקת דירה ותקשורת</v>
      </c>
      <c r="J59" s="204" t="s">
        <v>168</v>
      </c>
      <c r="K59" s="227">
        <v>10</v>
      </c>
      <c r="L59" s="253" t="s">
        <v>610</v>
      </c>
      <c r="M59" s="275" t="s">
        <v>609</v>
      </c>
    </row>
    <row r="60" spans="1:14">
      <c r="G60" s="204">
        <v>587.72</v>
      </c>
      <c r="H60" s="204" t="s">
        <v>111</v>
      </c>
      <c r="I60" s="204" t="str">
        <f>_xlfn.XLOOKUP(H60,Dropdown!B:B,Dropdown!C:C)</f>
        <v>ילדים וחינוך</v>
      </c>
      <c r="J60" s="204" t="s">
        <v>165</v>
      </c>
      <c r="K60" s="227">
        <v>4</v>
      </c>
      <c r="M60" s="275" t="s">
        <v>412</v>
      </c>
    </row>
    <row r="61" spans="1:14">
      <c r="G61" s="204">
        <v>1138.8</v>
      </c>
      <c r="H61" s="204" t="s">
        <v>279</v>
      </c>
      <c r="I61" s="204" t="str">
        <f>_xlfn.XLOOKUP(H61,Dropdown!B:B,Dropdown!C:C)</f>
        <v>מזון וקניות</v>
      </c>
      <c r="J61" s="204" t="s">
        <v>166</v>
      </c>
      <c r="K61" s="227">
        <v>0</v>
      </c>
      <c r="L61" s="253" t="s">
        <v>442</v>
      </c>
      <c r="M61" s="275" t="s">
        <v>443</v>
      </c>
    </row>
    <row r="62" spans="1:14">
      <c r="G62" s="204">
        <v>2280.96</v>
      </c>
      <c r="H62" s="204" t="s">
        <v>329</v>
      </c>
      <c r="I62" s="204" t="str">
        <f>_xlfn.XLOOKUP(H62,Dropdown!B:B,Dropdown!C:C)</f>
        <v>עסק</v>
      </c>
      <c r="J62" s="204" t="s">
        <v>400</v>
      </c>
      <c r="K62" s="227">
        <v>0</v>
      </c>
      <c r="L62" s="253" t="s">
        <v>508</v>
      </c>
    </row>
    <row r="63" spans="1:14" ht="13.5" thickBot="1">
      <c r="G63" s="204">
        <v>474.71</v>
      </c>
      <c r="H63" s="204" t="s">
        <v>87</v>
      </c>
      <c r="I63" s="204" t="str">
        <f>_xlfn.XLOOKUP(H63,Dropdown!B:B,Dropdown!C:C)</f>
        <v>תחזוקת דירה ותקשורת</v>
      </c>
      <c r="J63" s="204" t="s">
        <v>166</v>
      </c>
      <c r="K63" s="227">
        <v>1</v>
      </c>
      <c r="L63" s="253" t="s">
        <v>657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F64" s="219" t="s">
        <v>287</v>
      </c>
      <c r="G64" s="225"/>
      <c r="H64" s="225"/>
      <c r="I64" s="225"/>
      <c r="J64" s="225"/>
      <c r="K64" s="225"/>
      <c r="L64" s="225"/>
      <c r="M64" s="274"/>
      <c r="N64" s="274"/>
    </row>
    <row r="65" spans="1:10">
      <c r="A65" s="204" t="s">
        <v>426</v>
      </c>
      <c r="B65" s="204">
        <f>SUMIF(I:I,A65,G:G)-SUMIF(H:H,"הוצאות על הבנייה",G:G)</f>
        <v>14669.549999999997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1847.5499999999975</v>
      </c>
      <c r="F65" s="226" t="s">
        <v>633</v>
      </c>
      <c r="G65" s="250">
        <v>1379.28</v>
      </c>
      <c r="H65" s="204" t="s">
        <v>91</v>
      </c>
      <c r="I65" s="204" t="str">
        <f>_xlfn.XLOOKUP(H65,Dropdown!B:B,Dropdown!C:C)</f>
        <v>מזון וקניות</v>
      </c>
      <c r="J65" s="204" t="s">
        <v>165</v>
      </c>
    </row>
    <row r="66" spans="1:10">
      <c r="A66" s="227" t="s">
        <v>425</v>
      </c>
      <c r="B66" s="251">
        <f t="shared" ref="B66:B71" si="13">SUMIF(I:I,A66,G:G)</f>
        <v>17594.599999999999</v>
      </c>
      <c r="C66" s="204">
        <f>'ממוצע ורצוי'!$N$38</f>
        <v>9000</v>
      </c>
      <c r="D66" s="204">
        <f t="shared" ref="D66:D71" si="14">IF(C66-B66&lt;0,0,C66-B66)</f>
        <v>0</v>
      </c>
      <c r="E66" s="204">
        <f t="shared" ref="E66:E71" si="15">IF(C66-B66&lt;0,(C66-B66)*-1,0)</f>
        <v>8594.5999999999985</v>
      </c>
      <c r="F66" s="226" t="s">
        <v>607</v>
      </c>
      <c r="G66" s="204">
        <v>24.5</v>
      </c>
      <c r="H66" s="204" t="s">
        <v>276</v>
      </c>
      <c r="I66" s="204" t="str">
        <f>_xlfn.XLOOKUP(H66,Dropdown!B:B,Dropdown!C:C)</f>
        <v>תרבות ופנאי</v>
      </c>
      <c r="J66" s="204" t="s">
        <v>165</v>
      </c>
    </row>
    <row r="67" spans="1:10">
      <c r="A67" s="227" t="s">
        <v>424</v>
      </c>
      <c r="B67" s="136">
        <f t="shared" si="13"/>
        <v>1683.91</v>
      </c>
      <c r="C67" s="204">
        <f>'ממוצע ורצוי'!$N$54</f>
        <v>3240</v>
      </c>
      <c r="D67" s="204">
        <f t="shared" si="14"/>
        <v>1556.09</v>
      </c>
      <c r="E67" s="204">
        <f t="shared" si="15"/>
        <v>0</v>
      </c>
      <c r="F67" s="226" t="s">
        <v>607</v>
      </c>
      <c r="G67" s="204">
        <v>135</v>
      </c>
      <c r="H67" s="204" t="s">
        <v>317</v>
      </c>
      <c r="I67" s="204" t="str">
        <f>_xlfn.XLOOKUP(H67,Dropdown!B:B,Dropdown!C:C)</f>
        <v>בריאות וטיפולים</v>
      </c>
      <c r="J67" s="204" t="s">
        <v>165</v>
      </c>
    </row>
    <row r="68" spans="1:10">
      <c r="A68" s="227" t="s">
        <v>423</v>
      </c>
      <c r="B68" s="136">
        <f t="shared" si="13"/>
        <v>3707.7200000000003</v>
      </c>
      <c r="C68" s="204">
        <f>'ממוצע ורצוי'!$N$71</f>
        <v>4900</v>
      </c>
      <c r="D68" s="204">
        <f t="shared" si="14"/>
        <v>1192.2799999999997</v>
      </c>
      <c r="E68" s="204">
        <f t="shared" si="15"/>
        <v>0</v>
      </c>
      <c r="F68" s="226" t="s">
        <v>608</v>
      </c>
      <c r="G68" s="250">
        <v>168.75</v>
      </c>
      <c r="H68" s="204" t="s">
        <v>124</v>
      </c>
      <c r="I68" s="204" t="str">
        <f>_xlfn.XLOOKUP(H68,Dropdown!B:B,Dropdown!C:C)</f>
        <v>תרבות ופנאי</v>
      </c>
      <c r="J68" s="204" t="s">
        <v>165</v>
      </c>
    </row>
    <row r="69" spans="1:10">
      <c r="A69" s="252" t="s">
        <v>422</v>
      </c>
      <c r="B69" s="136">
        <f t="shared" si="13"/>
        <v>4936.0499999999993</v>
      </c>
      <c r="C69" s="204">
        <f>'ממוצע ורצוי'!$N$88</f>
        <v>2600</v>
      </c>
      <c r="D69" s="204">
        <f t="shared" si="14"/>
        <v>0</v>
      </c>
      <c r="E69" s="204">
        <f t="shared" si="15"/>
        <v>2336.0499999999993</v>
      </c>
      <c r="F69" s="226" t="s">
        <v>625</v>
      </c>
      <c r="G69" s="250">
        <v>249</v>
      </c>
      <c r="H69" s="204" t="s">
        <v>120</v>
      </c>
      <c r="I69" s="204" t="str">
        <f>_xlfn.XLOOKUP(H69,Dropdown!B:B,Dropdown!C:C)</f>
        <v>תרבות ופנאי</v>
      </c>
      <c r="J69" s="204" t="s">
        <v>167</v>
      </c>
    </row>
    <row r="70" spans="1:10">
      <c r="A70" s="227" t="s">
        <v>421</v>
      </c>
      <c r="B70" s="136">
        <f t="shared" si="13"/>
        <v>1532.4699999999998</v>
      </c>
      <c r="C70" s="204">
        <f>'ממוצע ורצוי'!$N$98</f>
        <v>980</v>
      </c>
      <c r="D70" s="204">
        <f t="shared" si="14"/>
        <v>0</v>
      </c>
      <c r="E70" s="204">
        <f t="shared" si="15"/>
        <v>552.4699999999998</v>
      </c>
      <c r="F70" s="226" t="s">
        <v>625</v>
      </c>
      <c r="G70" s="250">
        <v>222.59</v>
      </c>
      <c r="H70" s="204" t="s">
        <v>96</v>
      </c>
      <c r="I70" s="204" t="str">
        <f>_xlfn.XLOOKUP(H70,Dropdown!B:B,Dropdown!C:C)</f>
        <v>מזון וקניות</v>
      </c>
      <c r="J70" s="204" t="s">
        <v>169</v>
      </c>
    </row>
    <row r="71" spans="1:10">
      <c r="A71" s="227" t="s">
        <v>420</v>
      </c>
      <c r="B71" s="136">
        <f t="shared" ca="1" si="13"/>
        <v>1478.66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148.66000000000008</v>
      </c>
      <c r="F71" s="226" t="s">
        <v>625</v>
      </c>
      <c r="G71" s="250">
        <v>470.44</v>
      </c>
      <c r="H71" s="204" t="s">
        <v>91</v>
      </c>
      <c r="I71" s="204" t="str">
        <f>_xlfn.XLOOKUP(H71,Dropdown!B:B,Dropdown!C:C)</f>
        <v>מזון וקניות</v>
      </c>
      <c r="J71" s="204" t="s">
        <v>165</v>
      </c>
    </row>
    <row r="72" spans="1:10">
      <c r="A72" s="227"/>
      <c r="B72" s="136"/>
      <c r="F72" s="226" t="s">
        <v>625</v>
      </c>
      <c r="G72" s="250">
        <v>676.46</v>
      </c>
      <c r="H72" s="204" t="s">
        <v>91</v>
      </c>
      <c r="I72" s="204" t="str">
        <f>_xlfn.XLOOKUP(H72,Dropdown!B:B,Dropdown!C:C)</f>
        <v>מזון וקניות</v>
      </c>
      <c r="J72" s="204" t="s">
        <v>165</v>
      </c>
    </row>
    <row r="73" spans="1:10">
      <c r="A73" s="227"/>
      <c r="B73" s="136"/>
      <c r="F73" s="226" t="s">
        <v>626</v>
      </c>
      <c r="G73" s="250">
        <v>229.34</v>
      </c>
      <c r="H73" s="204" t="s">
        <v>91</v>
      </c>
      <c r="I73" s="204" t="str">
        <f>_xlfn.XLOOKUP(H73,Dropdown!B:B,Dropdown!C:C)</f>
        <v>מזון וקניות</v>
      </c>
      <c r="J73" s="204" t="s">
        <v>167</v>
      </c>
    </row>
    <row r="74" spans="1:10">
      <c r="F74" s="226" t="s">
        <v>621</v>
      </c>
      <c r="G74" s="250">
        <v>489.42</v>
      </c>
      <c r="H74" s="204" t="s">
        <v>91</v>
      </c>
      <c r="I74" s="204" t="str">
        <f>_xlfn.XLOOKUP(H74,Dropdown!B:B,Dropdown!C:C)</f>
        <v>מזון וקניות</v>
      </c>
      <c r="J74" s="204" t="s">
        <v>399</v>
      </c>
    </row>
    <row r="75" spans="1:10">
      <c r="F75" s="226" t="s">
        <v>621</v>
      </c>
      <c r="G75" s="250">
        <v>270.07</v>
      </c>
      <c r="H75" s="204" t="s">
        <v>91</v>
      </c>
      <c r="I75" s="204" t="str">
        <f>_xlfn.XLOOKUP(H75,Dropdown!B:B,Dropdown!C:C)</f>
        <v>מזון וקניות</v>
      </c>
      <c r="J75" s="204" t="s">
        <v>167</v>
      </c>
    </row>
    <row r="76" spans="1:10">
      <c r="F76" s="226" t="s">
        <v>632</v>
      </c>
      <c r="G76" s="250">
        <v>330.69</v>
      </c>
      <c r="H76" s="204" t="s">
        <v>95</v>
      </c>
      <c r="I76" s="204" t="str">
        <f>_xlfn.XLOOKUP(H76,Dropdown!B:B,Dropdown!C:C)</f>
        <v>מזון וקניות</v>
      </c>
      <c r="J76" s="204" t="s">
        <v>165</v>
      </c>
    </row>
    <row r="77" spans="1:10">
      <c r="F77" s="226" t="s">
        <v>624</v>
      </c>
      <c r="G77" s="250">
        <v>163.01</v>
      </c>
      <c r="H77" s="204" t="s">
        <v>123</v>
      </c>
      <c r="I77" s="204" t="str">
        <f>_xlfn.XLOOKUP(H77,Dropdown!B:B,Dropdown!C:C)</f>
        <v>תרבות ופנאי</v>
      </c>
      <c r="J77" s="204" t="s">
        <v>400</v>
      </c>
    </row>
    <row r="78" spans="1:10">
      <c r="F78" s="226" t="s">
        <v>624</v>
      </c>
      <c r="G78" s="250">
        <v>705</v>
      </c>
      <c r="H78" s="204" t="s">
        <v>279</v>
      </c>
      <c r="I78" s="204" t="str">
        <f>_xlfn.XLOOKUP(H78,Dropdown!B:B,Dropdown!C:C)</f>
        <v>מזון וקניות</v>
      </c>
      <c r="J78" s="204" t="s">
        <v>166</v>
      </c>
    </row>
    <row r="79" spans="1:10">
      <c r="F79" s="226" t="s">
        <v>624</v>
      </c>
      <c r="G79" s="250">
        <v>150</v>
      </c>
      <c r="H79" s="204" t="s">
        <v>109</v>
      </c>
      <c r="I79" s="204" t="str">
        <f>_xlfn.XLOOKUP(H79,Dropdown!B:B,Dropdown!C:C)</f>
        <v>ילדים וחינוך</v>
      </c>
      <c r="J79" s="204" t="s">
        <v>166</v>
      </c>
    </row>
    <row r="80" spans="1:10">
      <c r="F80" s="226" t="s">
        <v>627</v>
      </c>
      <c r="G80" s="250">
        <v>71.900000000000006</v>
      </c>
      <c r="H80" s="204" t="s">
        <v>91</v>
      </c>
      <c r="I80" s="204" t="str">
        <f>_xlfn.XLOOKUP(H80,Dropdown!B:B,Dropdown!C:C)</f>
        <v>מזון וקניות</v>
      </c>
      <c r="J80" s="204" t="s">
        <v>168</v>
      </c>
    </row>
    <row r="81" spans="6:10">
      <c r="F81" s="226" t="s">
        <v>627</v>
      </c>
      <c r="G81" s="250">
        <v>85.36</v>
      </c>
      <c r="H81" s="204" t="s">
        <v>96</v>
      </c>
      <c r="I81" s="204" t="str">
        <f>_xlfn.XLOOKUP(H81,Dropdown!B:B,Dropdown!C:C)</f>
        <v>מזון וקניות</v>
      </c>
      <c r="J81" s="204" t="s">
        <v>169</v>
      </c>
    </row>
    <row r="82" spans="6:10">
      <c r="F82" s="226" t="s">
        <v>634</v>
      </c>
      <c r="G82" s="250">
        <v>370</v>
      </c>
      <c r="H82" s="204" t="s">
        <v>123</v>
      </c>
      <c r="I82" s="204" t="str">
        <f>_xlfn.XLOOKUP(H82,Dropdown!B:B,Dropdown!C:C)</f>
        <v>תרבות ופנאי</v>
      </c>
      <c r="J82" s="204" t="s">
        <v>166</v>
      </c>
    </row>
    <row r="83" spans="6:10">
      <c r="F83" s="226" t="s">
        <v>634</v>
      </c>
      <c r="G83" s="250">
        <v>312</v>
      </c>
      <c r="H83" s="204" t="s">
        <v>91</v>
      </c>
      <c r="I83" s="204" t="str">
        <f>_xlfn.XLOOKUP(H83,Dropdown!B:B,Dropdown!C:C)</f>
        <v>מזון וקניות</v>
      </c>
      <c r="J83" s="204" t="s">
        <v>166</v>
      </c>
    </row>
    <row r="84" spans="6:10">
      <c r="F84" s="226" t="s">
        <v>628</v>
      </c>
      <c r="G84" s="250">
        <v>69.92</v>
      </c>
      <c r="H84" s="204" t="s">
        <v>91</v>
      </c>
      <c r="I84" s="204" t="str">
        <f>_xlfn.XLOOKUP(H84,Dropdown!B:B,Dropdown!C:C)</f>
        <v>מזון וקניות</v>
      </c>
      <c r="J84" s="204" t="s">
        <v>168</v>
      </c>
    </row>
    <row r="85" spans="6:10">
      <c r="F85" s="226" t="s">
        <v>629</v>
      </c>
      <c r="G85" s="250">
        <v>674.44</v>
      </c>
      <c r="H85" s="204" t="s">
        <v>91</v>
      </c>
      <c r="I85" s="204" t="str">
        <f>_xlfn.XLOOKUP(H85,Dropdown!B:B,Dropdown!C:C)</f>
        <v>מזון וקניות</v>
      </c>
      <c r="J85" s="204" t="s">
        <v>168</v>
      </c>
    </row>
    <row r="86" spans="6:10">
      <c r="F86" s="226" t="s">
        <v>629</v>
      </c>
      <c r="G86" s="250">
        <v>52.15</v>
      </c>
      <c r="H86" s="204" t="s">
        <v>87</v>
      </c>
      <c r="I86" s="204" t="str">
        <f>_xlfn.XLOOKUP(H86,Dropdown!B:B,Dropdown!C:C)</f>
        <v>תחזוקת דירה ותקשורת</v>
      </c>
      <c r="J86" s="204" t="s">
        <v>168</v>
      </c>
    </row>
    <row r="87" spans="6:10">
      <c r="F87" s="226" t="s">
        <v>629</v>
      </c>
      <c r="G87" s="250">
        <v>334.9</v>
      </c>
      <c r="H87" s="204" t="s">
        <v>95</v>
      </c>
      <c r="I87" s="204" t="str">
        <f>_xlfn.XLOOKUP(H87,Dropdown!B:B,Dropdown!C:C)</f>
        <v>מזון וקניות</v>
      </c>
      <c r="J87" s="204" t="s">
        <v>166</v>
      </c>
    </row>
    <row r="88" spans="6:10">
      <c r="F88" s="226" t="s">
        <v>629</v>
      </c>
      <c r="G88" s="250">
        <v>20</v>
      </c>
      <c r="H88" s="204" t="s">
        <v>103</v>
      </c>
      <c r="I88" s="204" t="str">
        <f>_xlfn.XLOOKUP(H88,Dropdown!B:B,Dropdown!C:C)</f>
        <v>רכב ונסיעות</v>
      </c>
      <c r="J88" s="204" t="s">
        <v>166</v>
      </c>
    </row>
    <row r="89" spans="6:10">
      <c r="F89" s="226" t="s">
        <v>629</v>
      </c>
      <c r="G89" s="250">
        <v>51.9</v>
      </c>
      <c r="H89" s="204" t="s">
        <v>96</v>
      </c>
      <c r="I89" s="204" t="str">
        <f>_xlfn.XLOOKUP(H89,Dropdown!B:B,Dropdown!C:C)</f>
        <v>מזון וקניות</v>
      </c>
      <c r="J89" s="204" t="s">
        <v>169</v>
      </c>
    </row>
    <row r="90" spans="6:10">
      <c r="F90" s="226" t="s">
        <v>629</v>
      </c>
      <c r="G90" s="250">
        <v>214</v>
      </c>
      <c r="H90" s="204" t="s">
        <v>96</v>
      </c>
      <c r="I90" s="204" t="str">
        <f>_xlfn.XLOOKUP(H90,Dropdown!B:B,Dropdown!C:C)</f>
        <v>מזון וקניות</v>
      </c>
      <c r="J90" s="204" t="s">
        <v>169</v>
      </c>
    </row>
    <row r="91" spans="6:10">
      <c r="F91" s="226" t="s">
        <v>623</v>
      </c>
      <c r="G91" s="250">
        <v>538</v>
      </c>
      <c r="H91" s="204" t="s">
        <v>279</v>
      </c>
      <c r="I91" s="204" t="str">
        <f>_xlfn.XLOOKUP(H91,Dropdown!B:B,Dropdown!C:C)</f>
        <v>מזון וקניות</v>
      </c>
      <c r="J91" s="204" t="s">
        <v>400</v>
      </c>
    </row>
    <row r="92" spans="6:10">
      <c r="F92" s="226" t="s">
        <v>623</v>
      </c>
      <c r="G92" s="250">
        <v>1018.04</v>
      </c>
      <c r="H92" s="204" t="s">
        <v>96</v>
      </c>
      <c r="I92" s="204" t="str">
        <f>_xlfn.XLOOKUP(H92,Dropdown!B:B,Dropdown!C:C)</f>
        <v>מזון וקניות</v>
      </c>
      <c r="J92" s="204" t="s">
        <v>400</v>
      </c>
    </row>
    <row r="93" spans="6:10">
      <c r="F93" s="226" t="s">
        <v>623</v>
      </c>
      <c r="G93" s="250">
        <v>90</v>
      </c>
      <c r="H93" s="204" t="s">
        <v>121</v>
      </c>
      <c r="I93" s="204" t="str">
        <f>_xlfn.XLOOKUP(H93,Dropdown!B:B,Dropdown!C:C)</f>
        <v>תרבות ופנאי</v>
      </c>
      <c r="J93" s="204" t="s">
        <v>168</v>
      </c>
    </row>
    <row r="94" spans="6:10">
      <c r="F94" s="226" t="s">
        <v>623</v>
      </c>
      <c r="G94" s="250">
        <v>90</v>
      </c>
      <c r="H94" s="204" t="s">
        <v>121</v>
      </c>
      <c r="I94" s="204" t="str">
        <f>_xlfn.XLOOKUP(H94,Dropdown!B:B,Dropdown!C:C)</f>
        <v>תרבות ופנאי</v>
      </c>
      <c r="J94" s="204" t="s">
        <v>168</v>
      </c>
    </row>
    <row r="95" spans="6:10">
      <c r="F95" s="226" t="s">
        <v>623</v>
      </c>
      <c r="G95" s="250">
        <v>45</v>
      </c>
      <c r="H95" s="204" t="s">
        <v>121</v>
      </c>
      <c r="I95" s="204" t="str">
        <f>_xlfn.XLOOKUP(H95,Dropdown!B:B,Dropdown!C:C)</f>
        <v>תרבות ופנאי</v>
      </c>
      <c r="J95" s="204" t="s">
        <v>168</v>
      </c>
    </row>
    <row r="96" spans="6:10">
      <c r="F96" s="226" t="s">
        <v>623</v>
      </c>
      <c r="G96" s="250">
        <v>171.9</v>
      </c>
      <c r="H96" s="204" t="s">
        <v>99</v>
      </c>
      <c r="I96" s="204" t="str">
        <f>_xlfn.XLOOKUP(H96,Dropdown!B:B,Dropdown!C:C)</f>
        <v>רכב ונסיעות</v>
      </c>
      <c r="J96" s="204" t="s">
        <v>168</v>
      </c>
    </row>
    <row r="97" spans="6:10">
      <c r="F97" s="226" t="s">
        <v>623</v>
      </c>
      <c r="G97" s="250">
        <v>653.21</v>
      </c>
      <c r="H97" s="204" t="s">
        <v>91</v>
      </c>
      <c r="I97" s="204" t="str">
        <f>_xlfn.XLOOKUP(H97,Dropdown!B:B,Dropdown!C:C)</f>
        <v>מזון וקניות</v>
      </c>
      <c r="J97" s="204" t="s">
        <v>168</v>
      </c>
    </row>
    <row r="98" spans="6:10">
      <c r="F98" s="226" t="s">
        <v>623</v>
      </c>
      <c r="G98" s="250">
        <v>39</v>
      </c>
      <c r="H98" s="204" t="s">
        <v>276</v>
      </c>
      <c r="I98" s="204" t="str">
        <f>_xlfn.XLOOKUP(H98,Dropdown!B:B,Dropdown!C:C)</f>
        <v>תרבות ופנאי</v>
      </c>
      <c r="J98" s="204" t="s">
        <v>168</v>
      </c>
    </row>
    <row r="99" spans="6:10">
      <c r="F99" s="226" t="s">
        <v>623</v>
      </c>
      <c r="G99" s="250">
        <v>78</v>
      </c>
      <c r="H99" s="204" t="s">
        <v>276</v>
      </c>
      <c r="I99" s="204" t="str">
        <f>_xlfn.XLOOKUP(H99,Dropdown!B:B,Dropdown!C:C)</f>
        <v>תרבות ופנאי</v>
      </c>
      <c r="J99" s="204" t="s">
        <v>168</v>
      </c>
    </row>
    <row r="100" spans="6:10">
      <c r="F100" s="226" t="s">
        <v>623</v>
      </c>
      <c r="G100" s="250">
        <v>5.6</v>
      </c>
      <c r="H100" s="204" t="s">
        <v>103</v>
      </c>
      <c r="I100" s="204" t="str">
        <f>_xlfn.XLOOKUP(H100,Dropdown!B:B,Dropdown!C:C)</f>
        <v>רכב ונסיעות</v>
      </c>
      <c r="J100" s="204" t="s">
        <v>168</v>
      </c>
    </row>
    <row r="101" spans="6:10">
      <c r="F101" s="226" t="s">
        <v>623</v>
      </c>
      <c r="G101" s="250">
        <v>49.9</v>
      </c>
      <c r="H101" s="204" t="s">
        <v>95</v>
      </c>
      <c r="I101" s="204" t="str">
        <f>_xlfn.XLOOKUP(H101,Dropdown!B:B,Dropdown!C:C)</f>
        <v>מזון וקניות</v>
      </c>
      <c r="J101" s="204" t="s">
        <v>166</v>
      </c>
    </row>
    <row r="102" spans="6:10">
      <c r="F102" s="226" t="s">
        <v>623</v>
      </c>
      <c r="G102" s="250">
        <v>12</v>
      </c>
      <c r="H102" s="204" t="s">
        <v>91</v>
      </c>
      <c r="I102" s="204" t="str">
        <f>_xlfn.XLOOKUP(H102,Dropdown!B:B,Dropdown!C:C)</f>
        <v>מזון וקניות</v>
      </c>
      <c r="J102" s="204" t="s">
        <v>166</v>
      </c>
    </row>
    <row r="103" spans="6:10">
      <c r="F103" s="226" t="s">
        <v>623</v>
      </c>
      <c r="G103" s="250">
        <v>332.5</v>
      </c>
      <c r="H103" s="204" t="s">
        <v>95</v>
      </c>
      <c r="I103" s="204" t="str">
        <f>_xlfn.XLOOKUP(H103,Dropdown!B:B,Dropdown!C:C)</f>
        <v>מזון וקניות</v>
      </c>
      <c r="J103" s="204" t="s">
        <v>166</v>
      </c>
    </row>
    <row r="104" spans="6:10">
      <c r="F104" s="226" t="s">
        <v>623</v>
      </c>
      <c r="G104" s="250">
        <v>35.700000000000003</v>
      </c>
      <c r="H104" s="204" t="s">
        <v>276</v>
      </c>
      <c r="I104" s="204" t="str">
        <f>_xlfn.XLOOKUP(H104,Dropdown!B:B,Dropdown!C:C)</f>
        <v>תרבות ופנאי</v>
      </c>
      <c r="J104" s="204" t="s">
        <v>166</v>
      </c>
    </row>
    <row r="105" spans="6:10">
      <c r="F105" s="226" t="s">
        <v>623</v>
      </c>
      <c r="G105" s="250">
        <v>74.180000000000007</v>
      </c>
      <c r="H105" s="204" t="s">
        <v>96</v>
      </c>
      <c r="I105" s="204" t="str">
        <f>_xlfn.XLOOKUP(H105,Dropdown!B:B,Dropdown!C:C)</f>
        <v>מזון וקניות</v>
      </c>
      <c r="J105" s="204" t="s">
        <v>169</v>
      </c>
    </row>
    <row r="106" spans="6:10">
      <c r="F106" s="226" t="s">
        <v>622</v>
      </c>
      <c r="G106" s="250">
        <v>337.5</v>
      </c>
      <c r="H106" s="204" t="s">
        <v>96</v>
      </c>
      <c r="I106" s="204" t="str">
        <f>_xlfn.XLOOKUP(H106,Dropdown!B:B,Dropdown!C:C)</f>
        <v>מזון וקניות</v>
      </c>
      <c r="J106" s="204" t="s">
        <v>400</v>
      </c>
    </row>
    <row r="107" spans="6:10">
      <c r="F107" s="226" t="s">
        <v>622</v>
      </c>
      <c r="G107" s="250">
        <v>25</v>
      </c>
      <c r="H107" s="204" t="s">
        <v>103</v>
      </c>
      <c r="I107" s="204" t="str">
        <f>_xlfn.XLOOKUP(H107,Dropdown!B:B,Dropdown!C:C)</f>
        <v>רכב ונסיעות</v>
      </c>
      <c r="J107" s="204" t="s">
        <v>168</v>
      </c>
    </row>
    <row r="108" spans="6:10">
      <c r="F108" s="226" t="s">
        <v>622</v>
      </c>
      <c r="G108" s="250">
        <v>209.37</v>
      </c>
      <c r="H108" s="204" t="s">
        <v>91</v>
      </c>
      <c r="I108" s="204" t="str">
        <f>_xlfn.XLOOKUP(H108,Dropdown!B:B,Dropdown!C:C)</f>
        <v>מזון וקניות</v>
      </c>
      <c r="J108" s="204" t="s">
        <v>166</v>
      </c>
    </row>
    <row r="109" spans="6:10">
      <c r="F109" s="226" t="s">
        <v>630</v>
      </c>
      <c r="G109" s="250">
        <v>112.22</v>
      </c>
      <c r="H109" s="204" t="s">
        <v>91</v>
      </c>
      <c r="I109" s="204" t="str">
        <f>_xlfn.XLOOKUP(H109,Dropdown!B:B,Dropdown!C:C)</f>
        <v>מזון וקניות</v>
      </c>
      <c r="J109" s="204" t="s">
        <v>168</v>
      </c>
    </row>
    <row r="110" spans="6:10">
      <c r="F110" s="226" t="s">
        <v>630</v>
      </c>
      <c r="G110" s="250">
        <v>150</v>
      </c>
      <c r="H110" s="204" t="s">
        <v>109</v>
      </c>
      <c r="I110" s="204" t="str">
        <f>_xlfn.XLOOKUP(H110,Dropdown!B:B,Dropdown!C:C)</f>
        <v>ילדים וחינוך</v>
      </c>
      <c r="J110" s="204" t="s">
        <v>166</v>
      </c>
    </row>
    <row r="111" spans="6:10">
      <c r="F111" s="226" t="s">
        <v>650</v>
      </c>
      <c r="G111" s="250">
        <v>262.01</v>
      </c>
      <c r="H111" s="204" t="s">
        <v>87</v>
      </c>
      <c r="I111" s="204" t="str">
        <f>_xlfn.XLOOKUP(H111,Dropdown!B:B,Dropdown!C:C)</f>
        <v>תחזוקת דירה ותקשורת</v>
      </c>
      <c r="J111" s="204" t="s">
        <v>166</v>
      </c>
    </row>
    <row r="112" spans="6:10">
      <c r="F112" s="226" t="s">
        <v>631</v>
      </c>
      <c r="G112" s="250">
        <v>41.26</v>
      </c>
      <c r="H112" s="204" t="s">
        <v>91</v>
      </c>
      <c r="I112" s="204" t="str">
        <f>_xlfn.XLOOKUP(H112,Dropdown!B:B,Dropdown!C:C)</f>
        <v>מזון וקניות</v>
      </c>
      <c r="J112" s="204" t="s">
        <v>168</v>
      </c>
    </row>
    <row r="113" spans="6:10">
      <c r="F113" s="226" t="s">
        <v>631</v>
      </c>
      <c r="G113" s="250">
        <v>89.7</v>
      </c>
      <c r="H113" s="204" t="s">
        <v>96</v>
      </c>
      <c r="I113" s="204" t="str">
        <f>_xlfn.XLOOKUP(H113,Dropdown!B:B,Dropdown!C:C)</f>
        <v>מזון וקניות</v>
      </c>
      <c r="J113" s="204" t="s">
        <v>168</v>
      </c>
    </row>
    <row r="114" spans="6:10">
      <c r="F114" s="226" t="s">
        <v>631</v>
      </c>
      <c r="G114" s="250">
        <v>229</v>
      </c>
      <c r="H114" s="204" t="s">
        <v>96</v>
      </c>
      <c r="I114" s="204" t="str">
        <f>_xlfn.XLOOKUP(H114,Dropdown!B:B,Dropdown!C:C)</f>
        <v>מזון וקניות</v>
      </c>
      <c r="J114" s="204" t="s">
        <v>168</v>
      </c>
    </row>
    <row r="115" spans="6:10">
      <c r="F115" s="226" t="s">
        <v>631</v>
      </c>
      <c r="G115" s="250">
        <v>279.52999999999997</v>
      </c>
      <c r="H115" s="204" t="s">
        <v>91</v>
      </c>
      <c r="I115" s="204" t="str">
        <f>_xlfn.XLOOKUP(H115,Dropdown!B:B,Dropdown!C:C)</f>
        <v>מזון וקניות</v>
      </c>
      <c r="J115" s="204" t="s">
        <v>168</v>
      </c>
    </row>
    <row r="116" spans="6:10">
      <c r="F116" s="226" t="s">
        <v>649</v>
      </c>
      <c r="G116" s="250">
        <v>83.9</v>
      </c>
      <c r="H116" s="204" t="s">
        <v>91</v>
      </c>
      <c r="I116" s="204" t="str">
        <f>_xlfn.XLOOKUP(H116,Dropdown!B:B,Dropdown!C:C)</f>
        <v>מזון וקניות</v>
      </c>
      <c r="J116" s="204" t="s">
        <v>166</v>
      </c>
    </row>
    <row r="117" spans="6:10">
      <c r="F117" s="226" t="s">
        <v>649</v>
      </c>
      <c r="G117" s="250">
        <v>190.8</v>
      </c>
      <c r="H117" s="204" t="s">
        <v>95</v>
      </c>
      <c r="I117" s="204" t="str">
        <f>_xlfn.XLOOKUP(H117,Dropdown!B:B,Dropdown!C:C)</f>
        <v>מזון וקניות</v>
      </c>
      <c r="J117" s="204" t="s">
        <v>166</v>
      </c>
    </row>
    <row r="118" spans="6:10">
      <c r="F118" s="226" t="s">
        <v>649</v>
      </c>
      <c r="G118" s="250">
        <v>1698.7</v>
      </c>
      <c r="H118" s="204" t="s">
        <v>91</v>
      </c>
      <c r="I118" s="204" t="str">
        <f>_xlfn.XLOOKUP(H118,Dropdown!B:B,Dropdown!C:C)</f>
        <v>מזון וקניות</v>
      </c>
      <c r="J118" s="204" t="s">
        <v>166</v>
      </c>
    </row>
    <row r="119" spans="6:10">
      <c r="F119" s="226" t="s">
        <v>649</v>
      </c>
      <c r="G119" s="250">
        <v>256.86</v>
      </c>
      <c r="H119" s="204" t="s">
        <v>99</v>
      </c>
      <c r="I119" s="204" t="str">
        <f>_xlfn.XLOOKUP(H119,Dropdown!B:B,Dropdown!C:C)</f>
        <v>רכב ונסיעות</v>
      </c>
      <c r="J119" s="204" t="s">
        <v>400</v>
      </c>
    </row>
    <row r="120" spans="6:10">
      <c r="F120" s="226" t="s">
        <v>648</v>
      </c>
      <c r="G120" s="250">
        <v>252</v>
      </c>
      <c r="H120" s="204" t="s">
        <v>96</v>
      </c>
      <c r="I120" s="204" t="str">
        <f>_xlfn.XLOOKUP(H120,Dropdown!B:B,Dropdown!C:C)</f>
        <v>מזון וקניות</v>
      </c>
      <c r="J120" s="204" t="s">
        <v>166</v>
      </c>
    </row>
    <row r="121" spans="6:10">
      <c r="F121" s="226" t="s">
        <v>648</v>
      </c>
      <c r="G121" s="250">
        <v>155</v>
      </c>
      <c r="H121" s="204" t="s">
        <v>279</v>
      </c>
      <c r="I121" s="204" t="str">
        <f>_xlfn.XLOOKUP(H121,Dropdown!B:B,Dropdown!C:C)</f>
        <v>מזון וקניות</v>
      </c>
      <c r="J121" s="204" t="s">
        <v>166</v>
      </c>
    </row>
    <row r="122" spans="6:10">
      <c r="F122" s="226" t="s">
        <v>648</v>
      </c>
      <c r="G122" s="250">
        <v>166.6</v>
      </c>
      <c r="H122" s="204" t="s">
        <v>276</v>
      </c>
      <c r="I122" s="204" t="str">
        <f>_xlfn.XLOOKUP(H122,Dropdown!B:B,Dropdown!C:C)</f>
        <v>תרבות ופנאי</v>
      </c>
      <c r="J122" s="204" t="s">
        <v>166</v>
      </c>
    </row>
    <row r="123" spans="6:10">
      <c r="F123" s="226" t="s">
        <v>647</v>
      </c>
      <c r="G123" s="250">
        <v>268.89999999999998</v>
      </c>
      <c r="H123" s="204" t="s">
        <v>91</v>
      </c>
      <c r="I123" s="204" t="str">
        <f>_xlfn.XLOOKUP(H123,Dropdown!B:B,Dropdown!C:C)</f>
        <v>מזון וקניות</v>
      </c>
      <c r="J123" s="204" t="s">
        <v>166</v>
      </c>
    </row>
    <row r="124" spans="6:10">
      <c r="F124" s="226" t="s">
        <v>647</v>
      </c>
      <c r="G124" s="250">
        <v>71.73</v>
      </c>
      <c r="H124" s="204" t="s">
        <v>91</v>
      </c>
      <c r="I124" s="204" t="str">
        <f>_xlfn.XLOOKUP(H124,Dropdown!B:B,Dropdown!C:C)</f>
        <v>מזון וקניות</v>
      </c>
      <c r="J124" s="204" t="s">
        <v>168</v>
      </c>
    </row>
    <row r="125" spans="6:10">
      <c r="F125" s="226" t="s">
        <v>647</v>
      </c>
      <c r="G125" s="250">
        <v>48</v>
      </c>
      <c r="H125" s="204" t="s">
        <v>91</v>
      </c>
      <c r="I125" s="204" t="str">
        <f>_xlfn.XLOOKUP(H125,Dropdown!B:B,Dropdown!C:C)</f>
        <v>מזון וקניות</v>
      </c>
      <c r="J125" s="204" t="s">
        <v>168</v>
      </c>
    </row>
    <row r="126" spans="6:10">
      <c r="F126" s="226" t="s">
        <v>647</v>
      </c>
      <c r="G126" s="250">
        <v>22.6</v>
      </c>
      <c r="H126" s="204" t="s">
        <v>91</v>
      </c>
      <c r="I126" s="204" t="str">
        <f>_xlfn.XLOOKUP(H126,Dropdown!B:B,Dropdown!C:C)</f>
        <v>מזון וקניות</v>
      </c>
      <c r="J126" s="204" t="s">
        <v>168</v>
      </c>
    </row>
    <row r="127" spans="6:10">
      <c r="F127" s="226" t="s">
        <v>646</v>
      </c>
      <c r="G127" s="250">
        <v>90.18</v>
      </c>
      <c r="H127" s="204" t="s">
        <v>91</v>
      </c>
      <c r="I127" s="204" t="str">
        <f>_xlfn.XLOOKUP(H127,Dropdown!B:B,Dropdown!C:C)</f>
        <v>מזון וקניות</v>
      </c>
      <c r="J127" s="204" t="s">
        <v>166</v>
      </c>
    </row>
    <row r="128" spans="6:10">
      <c r="F128" s="226" t="s">
        <v>646</v>
      </c>
      <c r="G128" s="250">
        <v>209.05</v>
      </c>
      <c r="H128" s="204" t="s">
        <v>91</v>
      </c>
      <c r="I128" s="204" t="str">
        <f>_xlfn.XLOOKUP(H128,Dropdown!B:B,Dropdown!C:C)</f>
        <v>מזון וקניות</v>
      </c>
      <c r="J128" s="204" t="s">
        <v>166</v>
      </c>
    </row>
    <row r="129" spans="6:10">
      <c r="F129" s="226" t="s">
        <v>646</v>
      </c>
      <c r="G129" s="250">
        <v>92</v>
      </c>
      <c r="H129" s="204" t="s">
        <v>91</v>
      </c>
      <c r="I129" s="204" t="str">
        <f>_xlfn.XLOOKUP(H129,Dropdown!B:B,Dropdown!C:C)</f>
        <v>מזון וקניות</v>
      </c>
      <c r="J129" s="204" t="s">
        <v>166</v>
      </c>
    </row>
    <row r="130" spans="6:10">
      <c r="F130" s="226" t="s">
        <v>646</v>
      </c>
      <c r="G130" s="250">
        <v>150</v>
      </c>
      <c r="H130" s="204" t="s">
        <v>109</v>
      </c>
      <c r="I130" s="204" t="str">
        <f>_xlfn.XLOOKUP(H130,Dropdown!B:B,Dropdown!C:C)</f>
        <v>ילדים וחינוך</v>
      </c>
      <c r="J130" s="204" t="s">
        <v>166</v>
      </c>
    </row>
    <row r="131" spans="6:10">
      <c r="F131" s="226" t="s">
        <v>646</v>
      </c>
      <c r="G131" s="250">
        <v>34.9</v>
      </c>
      <c r="H131" s="204" t="s">
        <v>19</v>
      </c>
      <c r="I131" s="204" t="str">
        <f>_xlfn.XLOOKUP(H131,Dropdown!B:B,Dropdown!C:C)</f>
        <v>ביטוחים ופיננסים</v>
      </c>
      <c r="J131" s="204" t="s">
        <v>400</v>
      </c>
    </row>
    <row r="132" spans="6:10">
      <c r="F132" s="226" t="s">
        <v>646</v>
      </c>
      <c r="G132" s="250">
        <v>76</v>
      </c>
      <c r="H132" s="204" t="s">
        <v>96</v>
      </c>
      <c r="I132" s="204" t="str">
        <f>_xlfn.XLOOKUP(H132,Dropdown!B:B,Dropdown!C:C)</f>
        <v>מזון וקניות</v>
      </c>
      <c r="J132" s="204" t="s">
        <v>400</v>
      </c>
    </row>
    <row r="133" spans="6:10">
      <c r="F133" s="226" t="s">
        <v>646</v>
      </c>
      <c r="G133" s="250">
        <v>62</v>
      </c>
      <c r="H133" s="204" t="s">
        <v>140</v>
      </c>
      <c r="I133" s="204" t="str">
        <f>_xlfn.XLOOKUP(H133,Dropdown!B:B,Dropdown!C:C)</f>
        <v>תרבות ופנאי</v>
      </c>
      <c r="J133" s="204" t="s">
        <v>400</v>
      </c>
    </row>
    <row r="134" spans="6:10">
      <c r="F134" s="226" t="s">
        <v>646</v>
      </c>
      <c r="G134" s="250">
        <v>44.8</v>
      </c>
      <c r="H134" s="204" t="s">
        <v>96</v>
      </c>
      <c r="I134" s="204" t="str">
        <f>_xlfn.XLOOKUP(H134,Dropdown!B:B,Dropdown!C:C)</f>
        <v>מזון וקניות</v>
      </c>
      <c r="J134" s="204" t="s">
        <v>400</v>
      </c>
    </row>
    <row r="135" spans="6:10">
      <c r="F135" s="226" t="s">
        <v>645</v>
      </c>
      <c r="G135" s="250">
        <v>19.8</v>
      </c>
      <c r="H135" s="204" t="s">
        <v>103</v>
      </c>
      <c r="I135" s="204" t="str">
        <f>_xlfn.XLOOKUP(H135,Dropdown!B:B,Dropdown!C:C)</f>
        <v>רכב ונסיעות</v>
      </c>
      <c r="J135" s="204" t="s">
        <v>166</v>
      </c>
    </row>
    <row r="136" spans="6:10">
      <c r="F136" s="226" t="s">
        <v>645</v>
      </c>
      <c r="G136" s="250">
        <v>200.9</v>
      </c>
      <c r="H136" s="204" t="s">
        <v>276</v>
      </c>
      <c r="I136" s="204" t="str">
        <f>_xlfn.XLOOKUP(H136,Dropdown!B:B,Dropdown!C:C)</f>
        <v>תרבות ופנאי</v>
      </c>
      <c r="J136" s="204" t="s">
        <v>166</v>
      </c>
    </row>
    <row r="137" spans="6:10">
      <c r="F137" s="226" t="s">
        <v>645</v>
      </c>
      <c r="G137" s="250">
        <v>113.4</v>
      </c>
      <c r="H137" s="204" t="s">
        <v>276</v>
      </c>
      <c r="I137" s="204" t="str">
        <f>_xlfn.XLOOKUP(H137,Dropdown!B:B,Dropdown!C:C)</f>
        <v>תרבות ופנאי</v>
      </c>
      <c r="J137" s="204" t="s">
        <v>166</v>
      </c>
    </row>
    <row r="138" spans="6:10">
      <c r="F138" s="226" t="s">
        <v>645</v>
      </c>
      <c r="G138" s="250">
        <v>93.45</v>
      </c>
      <c r="H138" s="204" t="s">
        <v>276</v>
      </c>
      <c r="I138" s="204" t="str">
        <f>_xlfn.XLOOKUP(H138,Dropdown!B:B,Dropdown!C:C)</f>
        <v>תרבות ופנאי</v>
      </c>
      <c r="J138" s="204" t="s">
        <v>166</v>
      </c>
    </row>
    <row r="139" spans="6:10">
      <c r="F139" s="226" t="s">
        <v>645</v>
      </c>
      <c r="G139" s="250">
        <v>130.5</v>
      </c>
      <c r="H139" s="204" t="s">
        <v>276</v>
      </c>
      <c r="I139" s="204" t="str">
        <f>_xlfn.XLOOKUP(H139,Dropdown!B:B,Dropdown!C:C)</f>
        <v>תרבות ופנאי</v>
      </c>
      <c r="J139" s="204" t="s">
        <v>166</v>
      </c>
    </row>
    <row r="140" spans="6:10">
      <c r="F140" s="226" t="s">
        <v>645</v>
      </c>
      <c r="G140" s="250">
        <v>-7</v>
      </c>
      <c r="H140" s="204" t="s">
        <v>276</v>
      </c>
      <c r="I140" s="204" t="str">
        <f>_xlfn.XLOOKUP(H140,Dropdown!B:B,Dropdown!C:C)</f>
        <v>תרבות ופנאי</v>
      </c>
      <c r="J140" s="204" t="s">
        <v>166</v>
      </c>
    </row>
    <row r="141" spans="6:10">
      <c r="F141" s="226" t="s">
        <v>645</v>
      </c>
      <c r="G141" s="250">
        <v>383.17</v>
      </c>
      <c r="H141" s="204" t="s">
        <v>91</v>
      </c>
      <c r="I141" s="204" t="str">
        <f>_xlfn.XLOOKUP(H141,Dropdown!B:B,Dropdown!C:C)</f>
        <v>מזון וקניות</v>
      </c>
      <c r="J141" s="204" t="s">
        <v>168</v>
      </c>
    </row>
    <row r="142" spans="6:10">
      <c r="F142" s="226" t="s">
        <v>651</v>
      </c>
      <c r="G142" s="250">
        <v>85.03</v>
      </c>
      <c r="H142" s="204" t="s">
        <v>91</v>
      </c>
      <c r="I142" s="204" t="str">
        <f>_xlfn.XLOOKUP(H142,Dropdown!B:B,Dropdown!C:C)</f>
        <v>מזון וקניות</v>
      </c>
      <c r="J142" s="204" t="s">
        <v>168</v>
      </c>
    </row>
    <row r="143" spans="6:10">
      <c r="F143" s="226" t="s">
        <v>644</v>
      </c>
      <c r="G143" s="250">
        <v>80</v>
      </c>
      <c r="H143" s="204" t="s">
        <v>96</v>
      </c>
      <c r="I143" s="204" t="str">
        <f>_xlfn.XLOOKUP(H143,Dropdown!B:B,Dropdown!C:C)</f>
        <v>מזון וקניות</v>
      </c>
      <c r="J143" s="204" t="s">
        <v>166</v>
      </c>
    </row>
    <row r="144" spans="6:10">
      <c r="F144" s="226" t="s">
        <v>644</v>
      </c>
      <c r="G144" s="250">
        <v>80</v>
      </c>
      <c r="H144" s="204" t="s">
        <v>96</v>
      </c>
      <c r="I144" s="204" t="str">
        <f>_xlfn.XLOOKUP(H144,Dropdown!B:B,Dropdown!C:C)</f>
        <v>מזון וקניות</v>
      </c>
      <c r="J144" s="204" t="s">
        <v>166</v>
      </c>
    </row>
    <row r="145" spans="6:10">
      <c r="F145" s="226" t="s">
        <v>644</v>
      </c>
      <c r="G145" s="250">
        <v>3</v>
      </c>
      <c r="H145" s="204" t="s">
        <v>96</v>
      </c>
      <c r="I145" s="204" t="str">
        <f>_xlfn.XLOOKUP(H145,Dropdown!B:B,Dropdown!C:C)</f>
        <v>מזון וקניות</v>
      </c>
      <c r="J145" s="204" t="s">
        <v>166</v>
      </c>
    </row>
    <row r="146" spans="6:10">
      <c r="F146" s="226" t="s">
        <v>644</v>
      </c>
      <c r="G146" s="250">
        <v>50</v>
      </c>
      <c r="H146" s="204" t="s">
        <v>96</v>
      </c>
      <c r="I146" s="204" t="str">
        <f>_xlfn.XLOOKUP(H146,Dropdown!B:B,Dropdown!C:C)</f>
        <v>מזון וקניות</v>
      </c>
      <c r="J146" s="204" t="s">
        <v>166</v>
      </c>
    </row>
    <row r="147" spans="6:10">
      <c r="F147" s="226" t="s">
        <v>644</v>
      </c>
      <c r="G147" s="250">
        <v>564.57000000000005</v>
      </c>
      <c r="H147" s="204" t="s">
        <v>91</v>
      </c>
      <c r="I147" s="204" t="str">
        <f>_xlfn.XLOOKUP(H147,Dropdown!B:B,Dropdown!C:C)</f>
        <v>מזון וקניות</v>
      </c>
      <c r="J147" s="204" t="s">
        <v>400</v>
      </c>
    </row>
    <row r="148" spans="6:10">
      <c r="F148" s="226" t="s">
        <v>643</v>
      </c>
      <c r="G148" s="250">
        <v>998.97</v>
      </c>
      <c r="H148" s="204" t="s">
        <v>91</v>
      </c>
      <c r="I148" s="204" t="str">
        <f>_xlfn.XLOOKUP(H148,Dropdown!B:B,Dropdown!C:C)</f>
        <v>מזון וקניות</v>
      </c>
      <c r="J148" s="204" t="s">
        <v>166</v>
      </c>
    </row>
    <row r="149" spans="6:10">
      <c r="F149" s="226" t="s">
        <v>642</v>
      </c>
      <c r="G149" s="250">
        <v>156.47</v>
      </c>
      <c r="H149" s="204" t="s">
        <v>91</v>
      </c>
      <c r="I149" s="204" t="str">
        <f>_xlfn.XLOOKUP(H149,Dropdown!B:B,Dropdown!C:C)</f>
        <v>מזון וקניות</v>
      </c>
      <c r="J149" s="204" t="s">
        <v>168</v>
      </c>
    </row>
    <row r="150" spans="6:10">
      <c r="F150" s="226" t="s">
        <v>642</v>
      </c>
      <c r="G150" s="250">
        <v>2500</v>
      </c>
      <c r="H150" s="204" t="s">
        <v>374</v>
      </c>
      <c r="I150" s="204" t="str">
        <f>_xlfn.XLOOKUP(H150,Dropdown!B:B,Dropdown!C:C)</f>
        <v>תחזוקת דירה ותקשורת</v>
      </c>
      <c r="J150" s="204" t="s">
        <v>168</v>
      </c>
    </row>
    <row r="151" spans="6:10">
      <c r="F151" s="226" t="s">
        <v>641</v>
      </c>
      <c r="G151" s="250">
        <v>9.9</v>
      </c>
      <c r="H151" s="204" t="s">
        <v>19</v>
      </c>
      <c r="I151" s="204" t="str">
        <f>_xlfn.XLOOKUP(H151,Dropdown!B:B,Dropdown!C:C)</f>
        <v>ביטוחים ופיננסים</v>
      </c>
      <c r="J151" s="204" t="s">
        <v>179</v>
      </c>
    </row>
    <row r="152" spans="6:10">
      <c r="F152" s="226" t="s">
        <v>641</v>
      </c>
      <c r="G152" s="250">
        <v>160</v>
      </c>
      <c r="H152" s="204" t="s">
        <v>123</v>
      </c>
      <c r="I152" s="204" t="str">
        <f>_xlfn.XLOOKUP(H152,Dropdown!B:B,Dropdown!C:C)</f>
        <v>תרבות ופנאי</v>
      </c>
      <c r="J152" s="204" t="s">
        <v>166</v>
      </c>
    </row>
    <row r="153" spans="6:10">
      <c r="F153" s="226" t="s">
        <v>641</v>
      </c>
      <c r="G153" s="250">
        <v>13.37</v>
      </c>
      <c r="H153" s="204" t="s">
        <v>91</v>
      </c>
      <c r="I153" s="204" t="str">
        <f>_xlfn.XLOOKUP(H153,Dropdown!B:B,Dropdown!C:C)</f>
        <v>מזון וקניות</v>
      </c>
      <c r="J153" s="204" t="s">
        <v>168</v>
      </c>
    </row>
    <row r="154" spans="6:10">
      <c r="F154" s="226" t="s">
        <v>641</v>
      </c>
      <c r="G154" s="250">
        <v>12</v>
      </c>
      <c r="H154" s="204" t="s">
        <v>19</v>
      </c>
      <c r="I154" s="204" t="str">
        <f>_xlfn.XLOOKUP(H154,Dropdown!B:B,Dropdown!C:C)</f>
        <v>ביטוחים ופיננסים</v>
      </c>
      <c r="J154" s="204" t="s">
        <v>352</v>
      </c>
    </row>
    <row r="155" spans="6:10">
      <c r="F155" s="226" t="s">
        <v>641</v>
      </c>
      <c r="G155" s="250">
        <v>56</v>
      </c>
      <c r="H155" s="204" t="s">
        <v>140</v>
      </c>
      <c r="I155" s="204" t="str">
        <f>_xlfn.XLOOKUP(H155,Dropdown!B:B,Dropdown!C:C)</f>
        <v>תרבות ופנאי</v>
      </c>
      <c r="J155" s="204" t="s">
        <v>400</v>
      </c>
    </row>
    <row r="156" spans="6:10">
      <c r="G156" s="250"/>
      <c r="I156" s="204">
        <f>_xlfn.XLOOKUP(H156,Dropdown!B:B,Dropdown!C:C)</f>
        <v>0</v>
      </c>
    </row>
    <row r="157" spans="6:10">
      <c r="G157" s="250"/>
      <c r="I157" s="204">
        <f>_xlfn.XLOOKUP(H157,Dropdown!B:B,Dropdown!C:C)</f>
        <v>0</v>
      </c>
    </row>
    <row r="158" spans="6:10">
      <c r="G158" s="250"/>
      <c r="I158" s="204">
        <f>_xlfn.XLOOKUP(H158,Dropdown!B:B,Dropdown!C:C)</f>
        <v>0</v>
      </c>
    </row>
    <row r="159" spans="6:10">
      <c r="G159" s="250"/>
      <c r="I159" s="204">
        <f>_xlfn.XLOOKUP(H159,Dropdown!B:B,Dropdown!C:C)</f>
        <v>0</v>
      </c>
    </row>
    <row r="160" spans="6:10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  <c r="I217" s="204">
        <f>_xlfn.XLOOKUP(H217,Dropdown!B:B,Dropdown!C:C)</f>
        <v>0</v>
      </c>
    </row>
    <row r="218" spans="7:9">
      <c r="G218" s="250"/>
      <c r="I218" s="204">
        <f>_xlfn.XLOOKUP(H218,Dropdown!B:B,Dropdown!C:C)</f>
        <v>0</v>
      </c>
    </row>
    <row r="219" spans="7:9">
      <c r="G219" s="250"/>
      <c r="I219" s="204">
        <f>_xlfn.XLOOKUP(H219,Dropdown!B:B,Dropdown!C:C)</f>
        <v>0</v>
      </c>
    </row>
    <row r="220" spans="7:9">
      <c r="G220" s="250"/>
      <c r="I220" s="204">
        <f>_xlfn.XLOOKUP(H220,Dropdown!B:B,Dropdown!C:C)</f>
        <v>0</v>
      </c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  <row r="262" spans="7:7">
      <c r="G262" s="250"/>
    </row>
    <row r="263" spans="7:7">
      <c r="G263" s="250"/>
    </row>
    <row r="264" spans="7:7">
      <c r="G264" s="250"/>
    </row>
  </sheetData>
  <sheetProtection selectLockedCells="1" selectUnlockedCells="1"/>
  <autoFilter ref="F1:N359" xr:uid="{00000000-0009-0000-0000-000007000000}"/>
  <sortState xmlns:xlrd2="http://schemas.microsoft.com/office/spreadsheetml/2017/richdata2" ref="F66:N155">
    <sortCondition ref="F65:F155"/>
  </sortState>
  <mergeCells count="8">
    <mergeCell ref="A2:A6"/>
    <mergeCell ref="A35:A38"/>
    <mergeCell ref="A9:A10"/>
    <mergeCell ref="A11:A13"/>
    <mergeCell ref="A20:A23"/>
    <mergeCell ref="A31:A32"/>
    <mergeCell ref="A7:A8"/>
    <mergeCell ref="A28:A29"/>
  </mergeCells>
  <conditionalFormatting sqref="C2">
    <cfRule type="duplicateValues" dxfId="110" priority="1" stopIfTrue="1"/>
  </conditionalFormatting>
  <conditionalFormatting sqref="Q6:AV13">
    <cfRule type="cellIs" dxfId="109" priority="2" operator="greaterThan">
      <formula>0</formula>
    </cfRule>
  </conditionalFormatting>
  <conditionalFormatting sqref="Q19:AV37">
    <cfRule type="cellIs" dxfId="108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3:J52 J54:J63 J65:J172" xr:uid="{C056C20A-DF44-4A60-B172-A3D6E40809AA}">
      <formula1>סוג_תשלום</formula1>
    </dataValidation>
    <dataValidation type="list" errorStyle="warning" allowBlank="1" showInputMessage="1" showErrorMessage="1" errorTitle="חסרה קטגוריה" sqref="H3:H52 H54:H63 H65:H172" xr:uid="{C74B584B-7F32-44E8-B06A-9014C8FDF461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ignoredErrors>
    <ignoredError sqref="F53:F155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D0B64D-06B1-425D-AC3A-B343666F9EE1}">
          <x14:formula1>
            <xm:f>Dropdown!$D$2:$D$9</xm:f>
          </x14:formula1>
          <xm:sqref>P18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W260"/>
  <sheetViews>
    <sheetView rightToLeft="1" zoomScale="85" zoomScaleNormal="85" workbookViewId="0">
      <pane xSplit="1" ySplit="1" topLeftCell="B13" activePane="bottomRight" state="frozen"/>
      <selection activeCell="Q7" sqref="Q7"/>
      <selection pane="topRight" activeCell="Q7" sqref="Q7"/>
      <selection pane="bottomLeft" activeCell="Q7" sqref="Q7"/>
      <selection pane="bottomRigh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1.57031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10.2851562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19.7109375" style="204" bestFit="1" customWidth="1"/>
    <col min="17" max="17" width="11.42578125" style="204" bestFit="1" customWidth="1"/>
    <col min="18" max="18" width="17.5703125" style="204" customWidth="1"/>
    <col min="19" max="19" width="4.28515625" style="204" bestFit="1" customWidth="1"/>
    <col min="20" max="20" width="5.140625" style="204" bestFit="1" customWidth="1"/>
    <col min="21" max="22" width="5.42578125" style="204" bestFit="1" customWidth="1"/>
    <col min="23" max="26" width="4.28515625" style="204" bestFit="1" customWidth="1"/>
    <col min="27" max="27" width="5.42578125" style="204" bestFit="1" customWidth="1"/>
    <col min="28" max="30" width="4.28515625" style="204" bestFit="1" customWidth="1"/>
    <col min="31" max="31" width="5.42578125" style="204" bestFit="1" customWidth="1"/>
    <col min="32" max="32" width="4.85546875" style="204" bestFit="1" customWidth="1"/>
    <col min="33" max="33" width="4.28515625" style="204" bestFit="1" customWidth="1"/>
    <col min="34" max="34" width="5.42578125" style="204" bestFit="1" customWidth="1"/>
    <col min="35" max="38" width="4.28515625" style="204" bestFit="1" customWidth="1"/>
    <col min="39" max="39" width="5.42578125" style="204" bestFit="1" customWidth="1"/>
    <col min="40" max="41" width="4.28515625" style="204" bestFit="1" customWidth="1"/>
    <col min="42" max="42" width="5.42578125" style="204" bestFit="1" customWidth="1"/>
    <col min="43" max="43" width="4.28515625" style="204" bestFit="1" customWidth="1"/>
    <col min="44" max="45" width="5.42578125" style="204" bestFit="1" customWidth="1"/>
    <col min="46" max="46" width="3.28515625" style="204" bestFit="1" customWidth="1"/>
    <col min="47" max="47" width="5.42578125" style="204" bestFit="1" customWidth="1"/>
    <col min="48" max="48" width="3.28515625" style="204" bestFit="1" customWidth="1"/>
    <col min="49" max="49" width="7.140625" style="204" bestFit="1" customWidth="1"/>
    <col min="50" max="16384" width="9.28515625" style="204"/>
  </cols>
  <sheetData>
    <row r="1" spans="1:49" ht="13.5" thickBot="1">
      <c r="A1" s="213" t="s">
        <v>207</v>
      </c>
      <c r="B1" s="214" t="s">
        <v>206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17042.589999999997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69.900000000000006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12957.18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41349.42</v>
      </c>
      <c r="G4" s="204">
        <v>342.2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04">
        <v>710.1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>SUMIFS($G:$G,$I:$I,$P6,$F:$F,"")</f>
        <v>13876.579999999998</v>
      </c>
      <c r="R6" s="297">
        <f>SUMIFS($G:$G,$I:$I,$P6,$F:$F, TEXT(R$5,"00") &amp; "." &amp; TEXT($A$1,"00"))</f>
        <v>0</v>
      </c>
      <c r="S6" s="297">
        <f>SUMIFS($G:$G,$I:$I,$P6,$F:$F, TEXT(S$5,"00") &amp; "." &amp; TEXT($A$1,"00"))</f>
        <v>0</v>
      </c>
      <c r="T6" s="297">
        <f>SUMIFS($G:$G,$I:$I,$P6,$F:$F, TEXT(T$5,"00") &amp; "." &amp; TEXT($A$1,"00"))</f>
        <v>1856</v>
      </c>
      <c r="U6" s="297">
        <f>SUMIFS($G:$G,$I:$I,$P6,$F:$F, TEXT(U$5,"00") &amp; "." &amp; TEXT($A$1,"00"))</f>
        <v>0</v>
      </c>
      <c r="V6" s="297">
        <f>SUMIFS($G:$G,$I:$I,$P6,$F:$F, TEXT(V$5,"00") &amp; "." &amp; TEXT($A$1,"00"))</f>
        <v>0</v>
      </c>
      <c r="W6" s="297">
        <f>SUMIFS($G:$G,$I:$I,$P6,$F:$F, TEXT(W$5,"00") &amp; "." &amp; TEXT($A$1,"00"))</f>
        <v>141600</v>
      </c>
      <c r="X6" s="297">
        <f>SUMIFS($G:$G,$I:$I,$P6,$F:$F, TEXT(X$5,"00") &amp; "." &amp; TEXT($A$1,"00"))</f>
        <v>0</v>
      </c>
      <c r="Y6" s="297">
        <f>SUMIFS($G:$G,$I:$I,$P6,$F:$F, TEXT(Y$5,"00") &amp; "." &amp; TEXT($A$1,"00"))</f>
        <v>0</v>
      </c>
      <c r="Z6" s="297">
        <f>SUMIFS($G:$G,$I:$I,$P6,$F:$F, TEXT(Z$5,"00") &amp; "." &amp; TEXT($A$1,"00"))</f>
        <v>0</v>
      </c>
      <c r="AA6" s="297">
        <f>SUMIFS($G:$G,$I:$I,$P6,$F:$F, TEXT(AA$5,"00") &amp; "." &amp; TEXT($A$1,"00"))</f>
        <v>0</v>
      </c>
      <c r="AB6" s="297">
        <f>SUMIFS($G:$G,$I:$I,$P6,$F:$F, TEXT(AB$5,"00") &amp; "." &amp; TEXT($A$1,"00"))</f>
        <v>0</v>
      </c>
      <c r="AC6" s="297">
        <f>SUMIFS($G:$G,$I:$I,$P6,$F:$F, TEXT(AC$5,"00") &amp; "." &amp; TEXT($A$1,"00"))</f>
        <v>0</v>
      </c>
      <c r="AD6" s="297">
        <f>SUMIFS($G:$G,$I:$I,$P6,$F:$F, TEXT(AD$5,"00") &amp; "." &amp; TEXT($A$1,"00"))</f>
        <v>0</v>
      </c>
      <c r="AE6" s="297">
        <f>SUMIFS($G:$G,$I:$I,$P6,$F:$F, TEXT(AE$5,"00") &amp; "." &amp; TEXT($A$1,"00"))</f>
        <v>0</v>
      </c>
      <c r="AF6" s="297">
        <f>SUMIFS($G:$G,$I:$I,$P6,$F:$F, TEXT(AF$5,"00") &amp; "." &amp; TEXT($A$1,"00"))</f>
        <v>212</v>
      </c>
      <c r="AG6" s="297">
        <f>SUMIFS($G:$G,$I:$I,$P6,$F:$F, TEXT(AG$5,"00") &amp; "." &amp; TEXT($A$1,"00"))</f>
        <v>569.48</v>
      </c>
      <c r="AH6" s="297">
        <f>SUMIFS($G:$G,$I:$I,$P6,$F:$F, TEXT(AH$5,"00") &amp; "." &amp; TEXT($A$1,"00"))</f>
        <v>0</v>
      </c>
      <c r="AI6" s="297">
        <f>SUMIFS($G:$G,$I:$I,$P6,$F:$F, TEXT(AI$5,"00") &amp; "." &amp; TEXT($A$1,"00"))</f>
        <v>0</v>
      </c>
      <c r="AJ6" s="297">
        <f>SUMIFS($G:$G,$I:$I,$P6,$F:$F, TEXT(AJ$5,"00") &amp; "." &amp; TEXT($A$1,"00"))</f>
        <v>0</v>
      </c>
      <c r="AK6" s="297">
        <f>SUMIFS($G:$G,$I:$I,$P6,$F:$F, TEXT(AK$5,"00") &amp; "." &amp; TEXT($A$1,"00"))</f>
        <v>260</v>
      </c>
      <c r="AL6" s="297">
        <f>SUMIFS($G:$G,$I:$I,$P6,$F:$F, TEXT(AL$5,"00") &amp; "." &amp; TEXT($A$1,"00"))</f>
        <v>219</v>
      </c>
      <c r="AM6" s="297">
        <f>SUMIFS($G:$G,$I:$I,$P6,$F:$F, TEXT(AM$5,"00") &amp; "." &amp; TEXT($A$1,"00"))</f>
        <v>0</v>
      </c>
      <c r="AN6" s="297">
        <f>SUMIFS($G:$G,$I:$I,$P6,$F:$F, TEXT(AN$5,"00") &amp; "." &amp; TEXT($A$1,"00"))</f>
        <v>0</v>
      </c>
      <c r="AO6" s="297">
        <f>SUMIFS($G:$G,$I:$I,$P6,$F:$F, TEXT(AO$5,"00") &amp; "." &amp; TEXT($A$1,"00"))</f>
        <v>349.9</v>
      </c>
      <c r="AP6" s="297">
        <f>SUMIFS($G:$G,$I:$I,$P6,$F:$F, TEXT(AP$5,"00") &amp; "." &amp; TEXT($A$1,"00"))</f>
        <v>0</v>
      </c>
      <c r="AQ6" s="297">
        <f>SUMIFS($G:$G,$I:$I,$P6,$F:$F, TEXT(AQ$5,"00") &amp; "." &amp; TEXT($A$1,"00"))</f>
        <v>0</v>
      </c>
      <c r="AR6" s="297">
        <f>SUMIFS($G:$G,$I:$I,$P6,$F:$F, TEXT(AR$5,"00") &amp; "." &amp; TEXT($A$1,"00"))</f>
        <v>0</v>
      </c>
      <c r="AS6" s="297">
        <f>SUMIFS($G:$G,$I:$I,$P6,$F:$F, TEXT(AS$5,"00") &amp; "." &amp; TEXT($A$1,"00"))</f>
        <v>0</v>
      </c>
      <c r="AT6" s="297">
        <f>SUMIFS($G:$G,$I:$I,$P6,$F:$F, TEXT(AT$5,"00") &amp; "." &amp; TEXT($A$1,"00"))</f>
        <v>212400</v>
      </c>
      <c r="AU6" s="297">
        <f>SUMIFS($G:$G,$I:$I,$P6,$F:$F, TEXT(AU$5,"00") &amp; "." &amp; TEXT($A$1,"00"))</f>
        <v>700</v>
      </c>
      <c r="AV6" s="297">
        <f>SUMIFS($G:$G,$I:$I,$P6,$F:$F, TEXT(AV$5,"00") &amp; "." &amp; TEXT($A$1,"00"))</f>
        <v>0</v>
      </c>
      <c r="AW6" s="294">
        <f>SUM(Q6:AV6)</f>
        <v>372042.95999999996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>SUMIFS($G:$G,$I:$I,$P7,$F:$F,"")</f>
        <v>475.34000000000003</v>
      </c>
      <c r="R7" s="297">
        <f>SUMIFS($G:$G,$I:$I,$P7,$F:$F, TEXT(R$5,"00") &amp; "." &amp; TEXT($A$1,"00"))</f>
        <v>58.64</v>
      </c>
      <c r="S7" s="297">
        <f>SUMIFS($G:$G,$I:$I,$P7,$F:$F, TEXT(S$5,"00") &amp; "." &amp; TEXT($A$1,"00"))</f>
        <v>0</v>
      </c>
      <c r="T7" s="297">
        <f>SUMIFS($G:$G,$I:$I,$P7,$F:$F, TEXT(T$5,"00") &amp; "." &amp; TEXT($A$1,"00"))</f>
        <v>0</v>
      </c>
      <c r="U7" s="297">
        <f>SUMIFS($G:$G,$I:$I,$P7,$F:$F, TEXT(U$5,"00") &amp; "." &amp; TEXT($A$1,"00"))</f>
        <v>99.8</v>
      </c>
      <c r="V7" s="297">
        <f>SUMIFS($G:$G,$I:$I,$P7,$F:$F, TEXT(V$5,"00") &amp; "." &amp; TEXT($A$1,"00"))</f>
        <v>695.49</v>
      </c>
      <c r="W7" s="297">
        <f>SUMIFS($G:$G,$I:$I,$P7,$F:$F, TEXT(W$5,"00") &amp; "." &amp; TEXT($A$1,"00"))</f>
        <v>391.16</v>
      </c>
      <c r="X7" s="297">
        <f>SUMIFS($G:$G,$I:$I,$P7,$F:$F, TEXT(X$5,"00") &amp; "." &amp; TEXT($A$1,"00"))</f>
        <v>72.42</v>
      </c>
      <c r="Y7" s="297">
        <f>SUMIFS($G:$G,$I:$I,$P7,$F:$F, TEXT(Y$5,"00") &amp; "." &amp; TEXT($A$1,"00"))</f>
        <v>1376.47</v>
      </c>
      <c r="Z7" s="297">
        <f>SUMIFS($G:$G,$I:$I,$P7,$F:$F, TEXT(Z$5,"00") &amp; "." &amp; TEXT($A$1,"00"))</f>
        <v>1081.1599999999999</v>
      </c>
      <c r="AA7" s="297">
        <f>SUMIFS($G:$G,$I:$I,$P7,$F:$F, TEXT(AA$5,"00") &amp; "." &amp; TEXT($A$1,"00"))</f>
        <v>342.05</v>
      </c>
      <c r="AB7" s="297">
        <f>SUMIFS($G:$G,$I:$I,$P7,$F:$F, TEXT(AB$5,"00") &amp; "." &amp; TEXT($A$1,"00"))</f>
        <v>565</v>
      </c>
      <c r="AC7" s="297">
        <f>SUMIFS($G:$G,$I:$I,$P7,$F:$F, TEXT(AC$5,"00") &amp; "." &amp; TEXT($A$1,"00"))</f>
        <v>37.799999999999997</v>
      </c>
      <c r="AD7" s="297">
        <f>SUMIFS($G:$G,$I:$I,$P7,$F:$F, TEXT(AD$5,"00") &amp; "." &amp; TEXT($A$1,"00"))</f>
        <v>765.87000000000012</v>
      </c>
      <c r="AE7" s="297">
        <f>SUMIFS($G:$G,$I:$I,$P7,$F:$F, TEXT(AE$5,"00") &amp; "." &amp; TEXT($A$1,"00"))</f>
        <v>0</v>
      </c>
      <c r="AF7" s="297">
        <f>SUMIFS($G:$G,$I:$I,$P7,$F:$F, TEXT(AF$5,"00") &amp; "." &amp; TEXT($A$1,"00"))</f>
        <v>295.61</v>
      </c>
      <c r="AG7" s="297">
        <f>SUMIFS($G:$G,$I:$I,$P7,$F:$F, TEXT(AG$5,"00") &amp; "." &amp; TEXT($A$1,"00"))</f>
        <v>565.24</v>
      </c>
      <c r="AH7" s="297">
        <f>SUMIFS($G:$G,$I:$I,$P7,$F:$F, TEXT(AH$5,"00") &amp; "." &amp; TEXT($A$1,"00"))</f>
        <v>0</v>
      </c>
      <c r="AI7" s="297">
        <f>SUMIFS($G:$G,$I:$I,$P7,$F:$F, TEXT(AI$5,"00") &amp; "." &amp; TEXT($A$1,"00"))</f>
        <v>61</v>
      </c>
      <c r="AJ7" s="297">
        <f>SUMIFS($G:$G,$I:$I,$P7,$F:$F, TEXT(AJ$5,"00") &amp; "." &amp; TEXT($A$1,"00"))</f>
        <v>30.86</v>
      </c>
      <c r="AK7" s="297">
        <f>SUMIFS($G:$G,$I:$I,$P7,$F:$F, TEXT(AK$5,"00") &amp; "." &amp; TEXT($A$1,"00"))</f>
        <v>61.42</v>
      </c>
      <c r="AL7" s="297">
        <f>SUMIFS($G:$G,$I:$I,$P7,$F:$F, TEXT(AL$5,"00") &amp; "." &amp; TEXT($A$1,"00"))</f>
        <v>594.69000000000005</v>
      </c>
      <c r="AM7" s="297">
        <f>SUMIFS($G:$G,$I:$I,$P7,$F:$F, TEXT(AM$5,"00") &amp; "." &amp; TEXT($A$1,"00"))</f>
        <v>991.4</v>
      </c>
      <c r="AN7" s="297">
        <f>SUMIFS($G:$G,$I:$I,$P7,$F:$F, TEXT(AN$5,"00") &amp; "." &amp; TEXT($A$1,"00"))</f>
        <v>707.33</v>
      </c>
      <c r="AO7" s="297">
        <f>SUMIFS($G:$G,$I:$I,$P7,$F:$F, TEXT(AO$5,"00") &amp; "." &amp; TEXT($A$1,"00"))</f>
        <v>151.5</v>
      </c>
      <c r="AP7" s="297">
        <f>SUMIFS($G:$G,$I:$I,$P7,$F:$F, TEXT(AP$5,"00") &amp; "." &amp; TEXT($A$1,"00"))</f>
        <v>304.85000000000002</v>
      </c>
      <c r="AQ7" s="297">
        <f>SUMIFS($G:$G,$I:$I,$P7,$F:$F, TEXT(AQ$5,"00") &amp; "." &amp; TEXT($A$1,"00"))</f>
        <v>1034.75</v>
      </c>
      <c r="AR7" s="297">
        <f>SUMIFS($G:$G,$I:$I,$P7,$F:$F, TEXT(AR$5,"00") &amp; "." &amp; TEXT($A$1,"00"))</f>
        <v>71.900000000000006</v>
      </c>
      <c r="AS7" s="297">
        <f>SUMIFS($G:$G,$I:$I,$P7,$F:$F, TEXT(AS$5,"00") &amp; "." &amp; TEXT($A$1,"00"))</f>
        <v>121.59</v>
      </c>
      <c r="AT7" s="297">
        <f>SUMIFS($G:$G,$I:$I,$P7,$F:$F, TEXT(AT$5,"00") &amp; "." &amp; TEXT($A$1,"00"))</f>
        <v>692.65000000000009</v>
      </c>
      <c r="AU7" s="297">
        <f>SUMIFS($G:$G,$I:$I,$P7,$F:$F, TEXT(AU$5,"00") &amp; "." &amp; TEXT($A$1,"00"))</f>
        <v>145.1</v>
      </c>
      <c r="AV7" s="297">
        <f>SUMIFS($G:$G,$I:$I,$P7,$F:$F, TEXT(AV$5,"00") &amp; "." &amp; TEXT($A$1,"00"))</f>
        <v>0</v>
      </c>
      <c r="AW7" s="294">
        <f t="shared" ref="AW7:AW13" si="0">SUM(Q7:AV7)</f>
        <v>11791.089999999998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4854.04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>SUMIFS($G:$G,$I:$I,$P8,$F:$F,"")</f>
        <v>1787.58</v>
      </c>
      <c r="R8" s="297">
        <f>SUMIFS($G:$G,$I:$I,$P8,$F:$F, TEXT(R$5,"00") &amp; "." &amp; TEXT($A$1,"00"))</f>
        <v>0</v>
      </c>
      <c r="S8" s="297">
        <f>SUMIFS($G:$G,$I:$I,$P8,$F:$F, TEXT(S$5,"00") &amp; "." &amp; TEXT($A$1,"00"))</f>
        <v>0</v>
      </c>
      <c r="T8" s="297">
        <f>SUMIFS($G:$G,$I:$I,$P8,$F:$F, TEXT(T$5,"00") &amp; "." &amp; TEXT($A$1,"00"))</f>
        <v>0</v>
      </c>
      <c r="U8" s="297">
        <f>SUMIFS($G:$G,$I:$I,$P8,$F:$F, TEXT(U$5,"00") &amp; "." &amp; TEXT($A$1,"00"))</f>
        <v>248.65</v>
      </c>
      <c r="V8" s="297">
        <f>SUMIFS($G:$G,$I:$I,$P8,$F:$F, TEXT(V$5,"00") &amp; "." &amp; TEXT($A$1,"00"))</f>
        <v>0</v>
      </c>
      <c r="W8" s="297">
        <f>SUMIFS($G:$G,$I:$I,$P8,$F:$F, TEXT(W$5,"00") &amp; "." &amp; TEXT($A$1,"00"))</f>
        <v>0</v>
      </c>
      <c r="X8" s="297">
        <f>SUMIFS($G:$G,$I:$I,$P8,$F:$F, TEXT(X$5,"00") &amp; "." &amp; TEXT($A$1,"00"))</f>
        <v>0</v>
      </c>
      <c r="Y8" s="297">
        <f>SUMIFS($G:$G,$I:$I,$P8,$F:$F, TEXT(Y$5,"00") &amp; "." &amp; TEXT($A$1,"00"))</f>
        <v>0</v>
      </c>
      <c r="Z8" s="297">
        <f>SUMIFS($G:$G,$I:$I,$P8,$F:$F, TEXT(Z$5,"00") &amp; "." &amp; TEXT($A$1,"00"))</f>
        <v>100</v>
      </c>
      <c r="AA8" s="297">
        <f>SUMIFS($G:$G,$I:$I,$P8,$F:$F, TEXT(AA$5,"00") &amp; "." &amp; TEXT($A$1,"00"))</f>
        <v>0</v>
      </c>
      <c r="AB8" s="297">
        <f>SUMIFS($G:$G,$I:$I,$P8,$F:$F, TEXT(AB$5,"00") &amp; "." &amp; TEXT($A$1,"00"))</f>
        <v>0</v>
      </c>
      <c r="AC8" s="297">
        <f>SUMIFS($G:$G,$I:$I,$P8,$F:$F, TEXT(AC$5,"00") &amp; "." &amp; TEXT($A$1,"00"))</f>
        <v>0</v>
      </c>
      <c r="AD8" s="297">
        <f>SUMIFS($G:$G,$I:$I,$P8,$F:$F, TEXT(AD$5,"00") &amp; "." &amp; TEXT($A$1,"00"))</f>
        <v>296.10000000000002</v>
      </c>
      <c r="AE8" s="297">
        <f>SUMIFS($G:$G,$I:$I,$P8,$F:$F, TEXT(AE$5,"00") &amp; "." &amp; TEXT($A$1,"00"))</f>
        <v>600</v>
      </c>
      <c r="AF8" s="297">
        <f>SUMIFS($G:$G,$I:$I,$P8,$F:$F, TEXT(AF$5,"00") &amp; "." &amp; TEXT($A$1,"00"))</f>
        <v>202.51</v>
      </c>
      <c r="AG8" s="297">
        <f>SUMIFS($G:$G,$I:$I,$P8,$F:$F, TEXT(AG$5,"00") &amp; "." &amp; TEXT($A$1,"00"))</f>
        <v>0</v>
      </c>
      <c r="AH8" s="297">
        <f>SUMIFS($G:$G,$I:$I,$P8,$F:$F, TEXT(AH$5,"00") &amp; "." &amp; TEXT($A$1,"00"))</f>
        <v>0</v>
      </c>
      <c r="AI8" s="297">
        <f>SUMIFS($G:$G,$I:$I,$P8,$F:$F, TEXT(AI$5,"00") &amp; "." &amp; TEXT($A$1,"00"))</f>
        <v>0</v>
      </c>
      <c r="AJ8" s="297">
        <f>SUMIFS($G:$G,$I:$I,$P8,$F:$F, TEXT(AJ$5,"00") &amp; "." &amp; TEXT($A$1,"00"))</f>
        <v>12.9</v>
      </c>
      <c r="AK8" s="297">
        <f>SUMIFS($G:$G,$I:$I,$P8,$F:$F, TEXT(AK$5,"00") &amp; "." &amp; TEXT($A$1,"00"))</f>
        <v>0</v>
      </c>
      <c r="AL8" s="297">
        <f>SUMIFS($G:$G,$I:$I,$P8,$F:$F, TEXT(AL$5,"00") &amp; "." &amp; TEXT($A$1,"00"))</f>
        <v>239.83</v>
      </c>
      <c r="AM8" s="297">
        <f>SUMIFS($G:$G,$I:$I,$P8,$F:$F, TEXT(AM$5,"00") &amp; "." &amp; TEXT($A$1,"00"))</f>
        <v>0</v>
      </c>
      <c r="AN8" s="297">
        <f>SUMIFS($G:$G,$I:$I,$P8,$F:$F, TEXT(AN$5,"00") &amp; "." &amp; TEXT($A$1,"00"))</f>
        <v>20</v>
      </c>
      <c r="AO8" s="297">
        <f>SUMIFS($G:$G,$I:$I,$P8,$F:$F, TEXT(AO$5,"00") &amp; "." &amp; TEXT($A$1,"00"))</f>
        <v>0</v>
      </c>
      <c r="AP8" s="297">
        <f>SUMIFS($G:$G,$I:$I,$P8,$F:$F, TEXT(AP$5,"00") &amp; "." &amp; TEXT($A$1,"00"))</f>
        <v>233.28</v>
      </c>
      <c r="AQ8" s="297">
        <f>SUMIFS($G:$G,$I:$I,$P8,$F:$F, TEXT(AQ$5,"00") &amp; "." &amp; TEXT($A$1,"00"))</f>
        <v>138.38</v>
      </c>
      <c r="AR8" s="297">
        <f>SUMIFS($G:$G,$I:$I,$P8,$F:$F, TEXT(AR$5,"00") &amp; "." &amp; TEXT($A$1,"00"))</f>
        <v>0</v>
      </c>
      <c r="AS8" s="297">
        <f>SUMIFS($G:$G,$I:$I,$P8,$F:$F, TEXT(AS$5,"00") &amp; "." &amp; TEXT($A$1,"00"))</f>
        <v>0</v>
      </c>
      <c r="AT8" s="297">
        <f>SUMIFS($G:$G,$I:$I,$P8,$F:$F, TEXT(AT$5,"00") &amp; "." &amp; TEXT($A$1,"00"))</f>
        <v>143.41</v>
      </c>
      <c r="AU8" s="297">
        <f>SUMIFS($G:$G,$I:$I,$P8,$F:$F, TEXT(AU$5,"00") &amp; "." &amp; TEXT($A$1,"00"))</f>
        <v>0</v>
      </c>
      <c r="AV8" s="297">
        <f>SUMIFS($G:$G,$I:$I,$P8,$F:$F, TEXT(AV$5,"00") &amp; "." &amp; TEXT($A$1,"00"))</f>
        <v>0</v>
      </c>
      <c r="AW8" s="294">
        <f t="shared" si="0"/>
        <v>4022.6400000000003</v>
      </c>
    </row>
    <row r="9" spans="1:49">
      <c r="A9" s="461" t="s">
        <v>59</v>
      </c>
      <c r="B9" s="196" t="s">
        <v>356</v>
      </c>
      <c r="C9" s="196">
        <v>2692.18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5530.6100000000006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>SUMIFS($G:$G,$I:$I,$P9,$F:$F,"")</f>
        <v>2587.7200000000003</v>
      </c>
      <c r="R9" s="297">
        <f>SUMIFS($G:$G,$I:$I,$P9,$F:$F, TEXT(R$5,"00") &amp; "." &amp; TEXT($A$1,"00"))</f>
        <v>0</v>
      </c>
      <c r="S9" s="297">
        <f>SUMIFS($G:$G,$I:$I,$P9,$F:$F, TEXT(S$5,"00") &amp; "." &amp; TEXT($A$1,"00"))</f>
        <v>898</v>
      </c>
      <c r="T9" s="297">
        <f>SUMIFS($G:$G,$I:$I,$P9,$F:$F, TEXT(T$5,"00") &amp; "." &amp; TEXT($A$1,"00"))</f>
        <v>0</v>
      </c>
      <c r="U9" s="297">
        <f>SUMIFS($G:$G,$I:$I,$P9,$F:$F, TEXT(U$5,"00") &amp; "." &amp; TEXT($A$1,"00"))</f>
        <v>0</v>
      </c>
      <c r="V9" s="297">
        <f>SUMIFS($G:$G,$I:$I,$P9,$F:$F, TEXT(V$5,"00") &amp; "." &amp; TEXT($A$1,"00"))</f>
        <v>0</v>
      </c>
      <c r="W9" s="297">
        <f>SUMIFS($G:$G,$I:$I,$P9,$F:$F, TEXT(W$5,"00") &amp; "." &amp; TEXT($A$1,"00"))</f>
        <v>0</v>
      </c>
      <c r="X9" s="297">
        <f>SUMIFS($G:$G,$I:$I,$P9,$F:$F, TEXT(X$5,"00") &amp; "." &amp; TEXT($A$1,"00"))</f>
        <v>0</v>
      </c>
      <c r="Y9" s="297">
        <f>SUMIFS($G:$G,$I:$I,$P9,$F:$F, TEXT(Y$5,"00") &amp; "." &amp; TEXT($A$1,"00"))</f>
        <v>0</v>
      </c>
      <c r="Z9" s="297">
        <f>SUMIFS($G:$G,$I:$I,$P9,$F:$F, TEXT(Z$5,"00") &amp; "." &amp; TEXT($A$1,"00"))</f>
        <v>0</v>
      </c>
      <c r="AA9" s="297">
        <f>SUMIFS($G:$G,$I:$I,$P9,$F:$F, TEXT(AA$5,"00") &amp; "." &amp; TEXT($A$1,"00"))</f>
        <v>0</v>
      </c>
      <c r="AB9" s="297">
        <f>SUMIFS($G:$G,$I:$I,$P9,$F:$F, TEXT(AB$5,"00") &amp; "." &amp; TEXT($A$1,"00"))</f>
        <v>0</v>
      </c>
      <c r="AC9" s="297">
        <f>SUMIFS($G:$G,$I:$I,$P9,$F:$F, TEXT(AC$5,"00") &amp; "." &amp; TEXT($A$1,"00"))</f>
        <v>0</v>
      </c>
      <c r="AD9" s="297">
        <f>SUMIFS($G:$G,$I:$I,$P9,$F:$F, TEXT(AD$5,"00") &amp; "." &amp; TEXT($A$1,"00"))</f>
        <v>0</v>
      </c>
      <c r="AE9" s="297">
        <f>SUMIFS($G:$G,$I:$I,$P9,$F:$F, TEXT(AE$5,"00") &amp; "." &amp; TEXT($A$1,"00"))</f>
        <v>0</v>
      </c>
      <c r="AF9" s="297">
        <f>SUMIFS($G:$G,$I:$I,$P9,$F:$F, TEXT(AF$5,"00") &amp; "." &amp; TEXT($A$1,"00"))</f>
        <v>0</v>
      </c>
      <c r="AG9" s="297">
        <f>SUMIFS($G:$G,$I:$I,$P9,$F:$F, TEXT(AG$5,"00") &amp; "." &amp; TEXT($A$1,"00"))</f>
        <v>0</v>
      </c>
      <c r="AH9" s="297">
        <f>SUMIFS($G:$G,$I:$I,$P9,$F:$F, TEXT(AH$5,"00") &amp; "." &amp; TEXT($A$1,"00"))</f>
        <v>0</v>
      </c>
      <c r="AI9" s="297">
        <f>SUMIFS($G:$G,$I:$I,$P9,$F:$F, TEXT(AI$5,"00") &amp; "." &amp; TEXT($A$1,"00"))</f>
        <v>0</v>
      </c>
      <c r="AJ9" s="297">
        <f>SUMIFS($G:$G,$I:$I,$P9,$F:$F, TEXT(AJ$5,"00") &amp; "." &amp; TEXT($A$1,"00"))</f>
        <v>0</v>
      </c>
      <c r="AK9" s="297">
        <f>SUMIFS($G:$G,$I:$I,$P9,$F:$F, TEXT(AK$5,"00") &amp; "." &amp; TEXT($A$1,"00"))</f>
        <v>0</v>
      </c>
      <c r="AL9" s="297">
        <f>SUMIFS($G:$G,$I:$I,$P9,$F:$F, TEXT(AL$5,"00") &amp; "." &amp; TEXT($A$1,"00"))</f>
        <v>150</v>
      </c>
      <c r="AM9" s="297">
        <f>SUMIFS($G:$G,$I:$I,$P9,$F:$F, TEXT(AM$5,"00") &amp; "." &amp; TEXT($A$1,"00"))</f>
        <v>0</v>
      </c>
      <c r="AN9" s="297">
        <f>SUMIFS($G:$G,$I:$I,$P9,$F:$F, TEXT(AN$5,"00") &amp; "." &amp; TEXT($A$1,"00"))</f>
        <v>0</v>
      </c>
      <c r="AO9" s="297">
        <f>SUMIFS($G:$G,$I:$I,$P9,$F:$F, TEXT(AO$5,"00") &amp; "." &amp; TEXT($A$1,"00"))</f>
        <v>0</v>
      </c>
      <c r="AP9" s="297">
        <f>SUMIFS($G:$G,$I:$I,$P9,$F:$F, TEXT(AP$5,"00") &amp; "." &amp; TEXT($A$1,"00"))</f>
        <v>0</v>
      </c>
      <c r="AQ9" s="297">
        <f>SUMIFS($G:$G,$I:$I,$P9,$F:$F, TEXT(AQ$5,"00") &amp; "." &amp; TEXT($A$1,"00"))</f>
        <v>0</v>
      </c>
      <c r="AR9" s="297">
        <f>SUMIFS($G:$G,$I:$I,$P9,$F:$F, TEXT(AR$5,"00") &amp; "." &amp; TEXT($A$1,"00"))</f>
        <v>0</v>
      </c>
      <c r="AS9" s="297">
        <f>SUMIFS($G:$G,$I:$I,$P9,$F:$F, TEXT(AS$5,"00") &amp; "." &amp; TEXT($A$1,"00"))</f>
        <v>0</v>
      </c>
      <c r="AT9" s="297">
        <f>SUMIFS($G:$G,$I:$I,$P9,$F:$F, TEXT(AT$5,"00") &amp; "." &amp; TEXT($A$1,"00"))</f>
        <v>0</v>
      </c>
      <c r="AU9" s="297">
        <f>SUMIFS($G:$G,$I:$I,$P9,$F:$F, TEXT(AU$5,"00") &amp; "." &amp; TEXT($A$1,"00"))</f>
        <v>0</v>
      </c>
      <c r="AV9" s="297">
        <f>SUMIFS($G:$G,$I:$I,$P9,$F:$F, TEXT(AV$5,"00") &amp; "." &amp; TEXT($A$1,"00"))</f>
        <v>0</v>
      </c>
      <c r="AW9" s="294">
        <f t="shared" si="0"/>
        <v>3635.7200000000003</v>
      </c>
    </row>
    <row r="10" spans="1:49">
      <c r="A10" s="460"/>
      <c r="B10" s="196" t="s">
        <v>8</v>
      </c>
      <c r="C10" s="208">
        <f>-2500-1773</f>
        <v>-4273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>SUMIFS($G:$G,$I:$I,$P10,$F:$F,"")</f>
        <v>3686.8499999999995</v>
      </c>
      <c r="R10" s="297">
        <f>SUMIFS($G:$G,$I:$I,$P10,$F:$F, TEXT(R$5,"00") &amp; "." &amp; TEXT($A$1,"00"))</f>
        <v>0</v>
      </c>
      <c r="S10" s="297">
        <f>SUMIFS($G:$G,$I:$I,$P10,$F:$F, TEXT(S$5,"00") &amp; "." &amp; TEXT($A$1,"00"))</f>
        <v>29</v>
      </c>
      <c r="T10" s="297">
        <f>SUMIFS($G:$G,$I:$I,$P10,$F:$F, TEXT(T$5,"00") &amp; "." &amp; TEXT($A$1,"00"))</f>
        <v>0</v>
      </c>
      <c r="U10" s="297">
        <f>SUMIFS($G:$G,$I:$I,$P10,$F:$F, TEXT(U$5,"00") &amp; "." &amp; TEXT($A$1,"00"))</f>
        <v>754</v>
      </c>
      <c r="V10" s="297">
        <f>SUMIFS($G:$G,$I:$I,$P10,$F:$F, TEXT(V$5,"00") &amp; "." &amp; TEXT($A$1,"00"))</f>
        <v>0</v>
      </c>
      <c r="W10" s="297">
        <f>SUMIFS($G:$G,$I:$I,$P10,$F:$F, TEXT(W$5,"00") &amp; "." &amp; TEXT($A$1,"00"))</f>
        <v>63</v>
      </c>
      <c r="X10" s="297">
        <f>SUMIFS($G:$G,$I:$I,$P10,$F:$F, TEXT(X$5,"00") &amp; "." &amp; TEXT($A$1,"00"))</f>
        <v>0</v>
      </c>
      <c r="Y10" s="297">
        <f>SUMIFS($G:$G,$I:$I,$P10,$F:$F, TEXT(Y$5,"00") &amp; "." &amp; TEXT($A$1,"00"))</f>
        <v>208</v>
      </c>
      <c r="Z10" s="297">
        <f>SUMIFS($G:$G,$I:$I,$P10,$F:$F, TEXT(Z$5,"00") &amp; "." &amp; TEXT($A$1,"00"))</f>
        <v>406</v>
      </c>
      <c r="AA10" s="297">
        <f>SUMIFS($G:$G,$I:$I,$P10,$F:$F, TEXT(AA$5,"00") &amp; "." &amp; TEXT($A$1,"00"))</f>
        <v>0</v>
      </c>
      <c r="AB10" s="297">
        <f>SUMIFS($G:$G,$I:$I,$P10,$F:$F, TEXT(AB$5,"00") &amp; "." &amp; TEXT($A$1,"00"))</f>
        <v>0</v>
      </c>
      <c r="AC10" s="297">
        <f>SUMIFS($G:$G,$I:$I,$P10,$F:$F, TEXT(AC$5,"00") &amp; "." &amp; TEXT($A$1,"00"))</f>
        <v>0</v>
      </c>
      <c r="AD10" s="297">
        <f>SUMIFS($G:$G,$I:$I,$P10,$F:$F, TEXT(AD$5,"00") &amp; "." &amp; TEXT($A$1,"00"))</f>
        <v>145</v>
      </c>
      <c r="AE10" s="297">
        <f>SUMIFS($G:$G,$I:$I,$P10,$F:$F, TEXT(AE$5,"00") &amp; "." &amp; TEXT($A$1,"00"))</f>
        <v>0</v>
      </c>
      <c r="AF10" s="297">
        <f>SUMIFS($G:$G,$I:$I,$P10,$F:$F, TEXT(AF$5,"00") &amp; "." &amp; TEXT($A$1,"00"))</f>
        <v>827.9</v>
      </c>
      <c r="AG10" s="297">
        <f>SUMIFS($G:$G,$I:$I,$P10,$F:$F, TEXT(AG$5,"00") &amp; "." &amp; TEXT($A$1,"00"))</f>
        <v>516.25</v>
      </c>
      <c r="AH10" s="297">
        <f>SUMIFS($G:$G,$I:$I,$P10,$F:$F, TEXT(AH$5,"00") &amp; "." &amp; TEXT($A$1,"00"))</f>
        <v>251.5</v>
      </c>
      <c r="AI10" s="297">
        <f>SUMIFS($G:$G,$I:$I,$P10,$F:$F, TEXT(AI$5,"00") &amp; "." &amp; TEXT($A$1,"00"))</f>
        <v>0</v>
      </c>
      <c r="AJ10" s="297">
        <f>SUMIFS($G:$G,$I:$I,$P10,$F:$F, TEXT(AJ$5,"00") &amp; "." &amp; TEXT($A$1,"00"))</f>
        <v>1432</v>
      </c>
      <c r="AK10" s="297">
        <f>SUMIFS($G:$G,$I:$I,$P10,$F:$F, TEXT(AK$5,"00") &amp; "." &amp; TEXT($A$1,"00"))</f>
        <v>52</v>
      </c>
      <c r="AL10" s="297">
        <f>SUMIFS($G:$G,$I:$I,$P10,$F:$F, TEXT(AL$5,"00") &amp; "." &amp; TEXT($A$1,"00"))</f>
        <v>0</v>
      </c>
      <c r="AM10" s="297">
        <f>SUMIFS($G:$G,$I:$I,$P10,$F:$F, TEXT(AM$5,"00") &amp; "." &amp; TEXT($A$1,"00"))</f>
        <v>0</v>
      </c>
      <c r="AN10" s="297">
        <f>SUMIFS($G:$G,$I:$I,$P10,$F:$F, TEXT(AN$5,"00") &amp; "." &amp; TEXT($A$1,"00"))</f>
        <v>0</v>
      </c>
      <c r="AO10" s="297">
        <f>SUMIFS($G:$G,$I:$I,$P10,$F:$F, TEXT(AO$5,"00") &amp; "." &amp; TEXT($A$1,"00"))</f>
        <v>77</v>
      </c>
      <c r="AP10" s="297">
        <f>SUMIFS($G:$G,$I:$I,$P10,$F:$F, TEXT(AP$5,"00") &amp; "." &amp; TEXT($A$1,"00"))</f>
        <v>70</v>
      </c>
      <c r="AQ10" s="297">
        <f>SUMIFS($G:$G,$I:$I,$P10,$F:$F, TEXT(AQ$5,"00") &amp; "." &amp; TEXT($A$1,"00"))</f>
        <v>213.9</v>
      </c>
      <c r="AR10" s="297">
        <f>SUMIFS($G:$G,$I:$I,$P10,$F:$F, TEXT(AR$5,"00") &amp; "." &amp; TEXT($A$1,"00"))</f>
        <v>268.25</v>
      </c>
      <c r="AS10" s="297">
        <f>SUMIFS($G:$G,$I:$I,$P10,$F:$F, TEXT(AS$5,"00") &amp; "." &amp; TEXT($A$1,"00"))</f>
        <v>450</v>
      </c>
      <c r="AT10" s="297">
        <f>SUMIFS($G:$G,$I:$I,$P10,$F:$F, TEXT(AT$5,"00") &amp; "." &amp; TEXT($A$1,"00"))</f>
        <v>33</v>
      </c>
      <c r="AU10" s="297">
        <f>SUMIFS($G:$G,$I:$I,$P10,$F:$F, TEXT(AU$5,"00") &amp; "." &amp; TEXT($A$1,"00"))</f>
        <v>0</v>
      </c>
      <c r="AV10" s="297">
        <f>SUMIFS($G:$G,$I:$I,$P10,$F:$F, TEXT(AV$5,"00") &amp; "." &amp; TEXT($A$1,"00"))</f>
        <v>0</v>
      </c>
      <c r="AW10" s="294">
        <f t="shared" si="0"/>
        <v>9483.65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456">
        <v>-100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>SUMIFS($G:$G,$I:$I,$P11,$F:$F,"")</f>
        <v>1375.45</v>
      </c>
      <c r="R11" s="297">
        <f>SUMIFS($G:$G,$I:$I,$P11,$F:$F, TEXT(R$5,"00") &amp; "." &amp; TEXT($A$1,"00"))</f>
        <v>0</v>
      </c>
      <c r="S11" s="297">
        <f>SUMIFS($G:$G,$I:$I,$P11,$F:$F, TEXT(S$5,"00") &amp; "." &amp; TEXT($A$1,"00"))</f>
        <v>0</v>
      </c>
      <c r="T11" s="297">
        <f>SUMIFS($G:$G,$I:$I,$P11,$F:$F, TEXT(T$5,"00") &amp; "." &amp; TEXT($A$1,"00"))</f>
        <v>0</v>
      </c>
      <c r="U11" s="297">
        <f>SUMIFS($G:$G,$I:$I,$P11,$F:$F, TEXT(U$5,"00") &amp; "." &amp; TEXT($A$1,"00"))</f>
        <v>0</v>
      </c>
      <c r="V11" s="297">
        <f>SUMIFS($G:$G,$I:$I,$P11,$F:$F, TEXT(V$5,"00") &amp; "." &amp; TEXT($A$1,"00"))</f>
        <v>0</v>
      </c>
      <c r="W11" s="297">
        <f>SUMIFS($G:$G,$I:$I,$P11,$F:$F, TEXT(W$5,"00") &amp; "." &amp; TEXT($A$1,"00"))</f>
        <v>60</v>
      </c>
      <c r="X11" s="297">
        <f>SUMIFS($G:$G,$I:$I,$P11,$F:$F, TEXT(X$5,"00") &amp; "." &amp; TEXT($A$1,"00"))</f>
        <v>52</v>
      </c>
      <c r="Y11" s="297">
        <f>SUMIFS($G:$G,$I:$I,$P11,$F:$F, TEXT(Y$5,"00") &amp; "." &amp; TEXT($A$1,"00"))</f>
        <v>225</v>
      </c>
      <c r="Z11" s="297">
        <f>SUMIFS($G:$G,$I:$I,$P11,$F:$F, TEXT(Z$5,"00") &amp; "." &amp; TEXT($A$1,"00"))</f>
        <v>0</v>
      </c>
      <c r="AA11" s="297">
        <f>SUMIFS($G:$G,$I:$I,$P11,$F:$F, TEXT(AA$5,"00") &amp; "." &amp; TEXT($A$1,"00"))</f>
        <v>0</v>
      </c>
      <c r="AB11" s="297">
        <f>SUMIFS($G:$G,$I:$I,$P11,$F:$F, TEXT(AB$5,"00") &amp; "." &amp; TEXT($A$1,"00"))</f>
        <v>0</v>
      </c>
      <c r="AC11" s="297">
        <f>SUMIFS($G:$G,$I:$I,$P11,$F:$F, TEXT(AC$5,"00") &amp; "." &amp; TEXT($A$1,"00"))</f>
        <v>0</v>
      </c>
      <c r="AD11" s="297">
        <f>SUMIFS($G:$G,$I:$I,$P11,$F:$F, TEXT(AD$5,"00") &amp; "." &amp; TEXT($A$1,"00"))</f>
        <v>0</v>
      </c>
      <c r="AE11" s="297">
        <f>SUMIFS($G:$G,$I:$I,$P11,$F:$F, TEXT(AE$5,"00") &amp; "." &amp; TEXT($A$1,"00"))</f>
        <v>0</v>
      </c>
      <c r="AF11" s="297">
        <f>SUMIFS($G:$G,$I:$I,$P11,$F:$F, TEXT(AF$5,"00") &amp; "." &amp; TEXT($A$1,"00"))</f>
        <v>0</v>
      </c>
      <c r="AG11" s="297">
        <f>SUMIFS($G:$G,$I:$I,$P11,$F:$F, TEXT(AG$5,"00") &amp; "." &amp; TEXT($A$1,"00"))</f>
        <v>0</v>
      </c>
      <c r="AH11" s="297">
        <f>SUMIFS($G:$G,$I:$I,$P11,$F:$F, TEXT(AH$5,"00") &amp; "." &amp; TEXT($A$1,"00"))</f>
        <v>0</v>
      </c>
      <c r="AI11" s="297">
        <f>SUMIFS($G:$G,$I:$I,$P11,$F:$F, TEXT(AI$5,"00") &amp; "." &amp; TEXT($A$1,"00"))</f>
        <v>0</v>
      </c>
      <c r="AJ11" s="297">
        <f>SUMIFS($G:$G,$I:$I,$P11,$F:$F, TEXT(AJ$5,"00") &amp; "." &amp; TEXT($A$1,"00"))</f>
        <v>0</v>
      </c>
      <c r="AK11" s="297">
        <f>SUMIFS($G:$G,$I:$I,$P11,$F:$F, TEXT(AK$5,"00") &amp; "." &amp; TEXT($A$1,"00"))</f>
        <v>0</v>
      </c>
      <c r="AL11" s="297">
        <f>SUMIFS($G:$G,$I:$I,$P11,$F:$F, TEXT(AL$5,"00") &amp; "." &amp; TEXT($A$1,"00"))</f>
        <v>0</v>
      </c>
      <c r="AM11" s="297">
        <f>SUMIFS($G:$G,$I:$I,$P11,$F:$F, TEXT(AM$5,"00") &amp; "." &amp; TEXT($A$1,"00"))</f>
        <v>0</v>
      </c>
      <c r="AN11" s="297">
        <f>SUMIFS($G:$G,$I:$I,$P11,$F:$F, TEXT(AN$5,"00") &amp; "." &amp; TEXT($A$1,"00"))</f>
        <v>0</v>
      </c>
      <c r="AO11" s="297">
        <f>SUMIFS($G:$G,$I:$I,$P11,$F:$F, TEXT(AO$5,"00") &amp; "." &amp; TEXT($A$1,"00"))</f>
        <v>0</v>
      </c>
      <c r="AP11" s="297">
        <f>SUMIFS($G:$G,$I:$I,$P11,$F:$F, TEXT(AP$5,"00") &amp; "." &amp; TEXT($A$1,"00"))</f>
        <v>0</v>
      </c>
      <c r="AQ11" s="297">
        <f>SUMIFS($G:$G,$I:$I,$P11,$F:$F, TEXT(AQ$5,"00") &amp; "." &amp; TEXT($A$1,"00"))</f>
        <v>0</v>
      </c>
      <c r="AR11" s="297">
        <f>SUMIFS($G:$G,$I:$I,$P11,$F:$F, TEXT(AR$5,"00") &amp; "." &amp; TEXT($A$1,"00"))</f>
        <v>0</v>
      </c>
      <c r="AS11" s="297">
        <f>SUMIFS($G:$G,$I:$I,$P11,$F:$F, TEXT(AS$5,"00") &amp; "." &amp; TEXT($A$1,"00"))</f>
        <v>0</v>
      </c>
      <c r="AT11" s="297">
        <f>SUMIFS($G:$G,$I:$I,$P11,$F:$F, TEXT(AT$5,"00") &amp; "." &amp; TEXT($A$1,"00"))</f>
        <v>0</v>
      </c>
      <c r="AU11" s="297">
        <f>SUMIFS($G:$G,$I:$I,$P11,$F:$F, TEXT(AU$5,"00") &amp; "." &amp; TEXT($A$1,"00"))</f>
        <v>0</v>
      </c>
      <c r="AV11" s="297">
        <f>SUMIFS($G:$G,$I:$I,$P11,$F:$F, TEXT(AV$5,"00") &amp; "." &amp; TEXT($A$1,"00"))</f>
        <v>0</v>
      </c>
      <c r="AW11" s="294">
        <f t="shared" si="0"/>
        <v>1712.45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10000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ca="1">SUMIFS($G:$G,$I:$I,$P12,$F:$F,"")</f>
        <v>1425.37</v>
      </c>
      <c r="R12" s="297">
        <f>SUMIFS($G:$G,$I:$I,$P12,$F:$F, TEXT(R$5,"00") &amp; "." &amp; TEXT($A$1,"00"))</f>
        <v>0</v>
      </c>
      <c r="S12" s="297">
        <f>SUMIFS($G:$G,$I:$I,$P12,$F:$F, TEXT(S$5,"00") &amp; "." &amp; TEXT($A$1,"00"))</f>
        <v>0</v>
      </c>
      <c r="T12" s="297">
        <f>SUMIFS($G:$G,$I:$I,$P12,$F:$F, TEXT(T$5,"00") &amp; "." &amp; TEXT($A$1,"00"))</f>
        <v>0</v>
      </c>
      <c r="U12" s="297">
        <f>SUMIFS($G:$G,$I:$I,$P12,$F:$F, TEXT(U$5,"00") &amp; "." &amp; TEXT($A$1,"00"))</f>
        <v>0</v>
      </c>
      <c r="V12" s="297">
        <f>SUMIFS($G:$G,$I:$I,$P12,$F:$F, TEXT(V$5,"00") &amp; "." &amp; TEXT($A$1,"00"))</f>
        <v>0</v>
      </c>
      <c r="W12" s="297">
        <f>SUMIFS($G:$G,$I:$I,$P12,$F:$F, TEXT(W$5,"00") &amp; "." &amp; TEXT($A$1,"00"))</f>
        <v>0</v>
      </c>
      <c r="X12" s="297">
        <f>SUMIFS($G:$G,$I:$I,$P12,$F:$F, TEXT(X$5,"00") &amp; "." &amp; TEXT($A$1,"00"))</f>
        <v>0</v>
      </c>
      <c r="Y12" s="297">
        <f>SUMIFS($G:$G,$I:$I,$P12,$F:$F, TEXT(Y$5,"00") &amp; "." &amp; TEXT($A$1,"00"))</f>
        <v>0</v>
      </c>
      <c r="Z12" s="297">
        <f>SUMIFS($G:$G,$I:$I,$P12,$F:$F, TEXT(Z$5,"00") &amp; "." &amp; TEXT($A$1,"00"))</f>
        <v>0</v>
      </c>
      <c r="AA12" s="297">
        <f>SUMIFS($G:$G,$I:$I,$P12,$F:$F, TEXT(AA$5,"00") &amp; "." &amp; TEXT($A$1,"00"))</f>
        <v>0</v>
      </c>
      <c r="AB12" s="297">
        <f>SUMIFS($G:$G,$I:$I,$P12,$F:$F, TEXT(AB$5,"00") &amp; "." &amp; TEXT($A$1,"00"))</f>
        <v>0</v>
      </c>
      <c r="AC12" s="297">
        <f>SUMIFS($G:$G,$I:$I,$P12,$F:$F, TEXT(AC$5,"00") &amp; "." &amp; TEXT($A$1,"00"))</f>
        <v>0</v>
      </c>
      <c r="AD12" s="297">
        <f>SUMIFS($G:$G,$I:$I,$P12,$F:$F, TEXT(AD$5,"00") &amp; "." &amp; TEXT($A$1,"00"))</f>
        <v>0</v>
      </c>
      <c r="AE12" s="297">
        <f>SUMIFS($G:$G,$I:$I,$P12,$F:$F, TEXT(AE$5,"00") &amp; "." &amp; TEXT($A$1,"00"))</f>
        <v>0</v>
      </c>
      <c r="AF12" s="297">
        <f>SUMIFS($G:$G,$I:$I,$P12,$F:$F, TEXT(AF$5,"00") &amp; "." &amp; TEXT($A$1,"00"))</f>
        <v>0</v>
      </c>
      <c r="AG12" s="297">
        <f>SUMIFS($G:$G,$I:$I,$P12,$F:$F, TEXT(AG$5,"00") &amp; "." &amp; TEXT($A$1,"00"))</f>
        <v>0</v>
      </c>
      <c r="AH12" s="297">
        <f>SUMIFS($G:$G,$I:$I,$P12,$F:$F, TEXT(AH$5,"00") &amp; "." &amp; TEXT($A$1,"00"))</f>
        <v>0</v>
      </c>
      <c r="AI12" s="297">
        <f>SUMIFS($G:$G,$I:$I,$P12,$F:$F, TEXT(AI$5,"00") &amp; "." &amp; TEXT($A$1,"00"))</f>
        <v>0</v>
      </c>
      <c r="AJ12" s="297">
        <f>SUMIFS($G:$G,$I:$I,$P12,$F:$F, TEXT(AJ$5,"00") &amp; "." &amp; TEXT($A$1,"00"))</f>
        <v>0</v>
      </c>
      <c r="AK12" s="297">
        <f>SUMIFS($G:$G,$I:$I,$P12,$F:$F, TEXT(AK$5,"00") &amp; "." &amp; TEXT($A$1,"00"))</f>
        <v>0</v>
      </c>
      <c r="AL12" s="297">
        <f>SUMIFS($G:$G,$I:$I,$P12,$F:$F, TEXT(AL$5,"00") &amp; "." &amp; TEXT($A$1,"00"))</f>
        <v>0</v>
      </c>
      <c r="AM12" s="297">
        <f>SUMIFS($G:$G,$I:$I,$P12,$F:$F, TEXT(AM$5,"00") &amp; "." &amp; TEXT($A$1,"00"))</f>
        <v>0</v>
      </c>
      <c r="AN12" s="297">
        <f>SUMIFS($G:$G,$I:$I,$P12,$F:$F, TEXT(AN$5,"00") &amp; "." &amp; TEXT($A$1,"00"))</f>
        <v>0</v>
      </c>
      <c r="AO12" s="297">
        <f>SUMIFS($G:$G,$I:$I,$P12,$F:$F, TEXT(AO$5,"00") &amp; "." &amp; TEXT($A$1,"00"))</f>
        <v>0</v>
      </c>
      <c r="AP12" s="297">
        <f>SUMIFS($G:$G,$I:$I,$P12,$F:$F, TEXT(AP$5,"00") &amp; "." &amp; TEXT($A$1,"00"))</f>
        <v>0</v>
      </c>
      <c r="AQ12" s="297">
        <f>SUMIFS($G:$G,$I:$I,$P12,$F:$F, TEXT(AQ$5,"00") &amp; "." &amp; TEXT($A$1,"00"))</f>
        <v>34.9</v>
      </c>
      <c r="AR12" s="297">
        <f>SUMIFS($G:$G,$I:$I,$P12,$F:$F, TEXT(AR$5,"00") &amp; "." &amp; TEXT($A$1,"00"))</f>
        <v>0</v>
      </c>
      <c r="AS12" s="297">
        <f>SUMIFS($G:$G,$I:$I,$P12,$F:$F, TEXT(AS$5,"00") &amp; "." &amp; TEXT($A$1,"00"))</f>
        <v>0</v>
      </c>
      <c r="AT12" s="297">
        <f>SUMIFS($G:$G,$I:$I,$P12,$F:$F, TEXT(AT$5,"00") &amp; "." &amp; TEXT($A$1,"00"))</f>
        <v>0</v>
      </c>
      <c r="AU12" s="297">
        <f>SUMIFS($G:$G,$I:$I,$P12,$F:$F, TEXT(AU$5,"00") &amp; "." &amp; TEXT($A$1,"00"))</f>
        <v>0</v>
      </c>
      <c r="AV12" s="297">
        <f>SUMIFS($G:$G,$I:$I,$P12,$F:$F, TEXT(AV$5,"00") &amp; "." &amp; TEXT($A$1,"00"))</f>
        <v>0</v>
      </c>
      <c r="AW12" s="294">
        <f t="shared" ca="1" si="0"/>
        <v>1460.27</v>
      </c>
    </row>
    <row r="13" spans="1:49">
      <c r="A13" s="460"/>
      <c r="B13" s="196" t="s">
        <v>20</v>
      </c>
      <c r="C13" s="208">
        <f>-177315+141600-354630+212400</f>
        <v>-177945</v>
      </c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>SUMIFS($G:$G,$I:$I,$P13,$F:$F,"")</f>
        <v>27271.61</v>
      </c>
      <c r="R13" s="297">
        <f>SUMIFS($G:$G,$I:$I,$P13,$F:$F, TEXT(R$5,"00") &amp; "." &amp; TEXT($A$1,"00"))</f>
        <v>0</v>
      </c>
      <c r="S13" s="297">
        <f>SUMIFS($G:$G,$I:$I,$P13,$F:$F, TEXT(S$5,"00") &amp; "." &amp; TEXT($A$1,"00"))</f>
        <v>0</v>
      </c>
      <c r="T13" s="297">
        <f>SUMIFS($G:$G,$I:$I,$P13,$F:$F, TEXT(T$5,"00") &amp; "." &amp; TEXT($A$1,"00"))</f>
        <v>0</v>
      </c>
      <c r="U13" s="297">
        <f>SUMIFS($G:$G,$I:$I,$P13,$F:$F, TEXT(U$5,"00") &amp; "." &amp; TEXT($A$1,"00"))</f>
        <v>0</v>
      </c>
      <c r="V13" s="297">
        <f>SUMIFS($G:$G,$I:$I,$P13,$F:$F, TEXT(V$5,"00") &amp; "." &amp; TEXT($A$1,"00"))</f>
        <v>0</v>
      </c>
      <c r="W13" s="297">
        <f>SUMIFS($G:$G,$I:$I,$P13,$F:$F, TEXT(W$5,"00") &amp; "." &amp; TEXT($A$1,"00"))</f>
        <v>0</v>
      </c>
      <c r="X13" s="297">
        <f>SUMIFS($G:$G,$I:$I,$P13,$F:$F, TEXT(X$5,"00") &amp; "." &amp; TEXT($A$1,"00"))</f>
        <v>0</v>
      </c>
      <c r="Y13" s="297">
        <f>SUMIFS($G:$G,$I:$I,$P13,$F:$F, TEXT(Y$5,"00") &amp; "." &amp; TEXT($A$1,"00"))</f>
        <v>0</v>
      </c>
      <c r="Z13" s="297">
        <f>SUMIFS($G:$G,$I:$I,$P13,$F:$F, TEXT(Z$5,"00") &amp; "." &amp; TEXT($A$1,"00"))</f>
        <v>0</v>
      </c>
      <c r="AA13" s="297">
        <f>SUMIFS($G:$G,$I:$I,$P13,$F:$F, TEXT(AA$5,"00") &amp; "." &amp; TEXT($A$1,"00"))</f>
        <v>0</v>
      </c>
      <c r="AB13" s="297">
        <f>SUMIFS($G:$G,$I:$I,$P13,$F:$F, TEXT(AB$5,"00") &amp; "." &amp; TEXT($A$1,"00"))</f>
        <v>0</v>
      </c>
      <c r="AC13" s="297">
        <f>SUMIFS($G:$G,$I:$I,$P13,$F:$F, TEXT(AC$5,"00") &amp; "." &amp; TEXT($A$1,"00"))</f>
        <v>0</v>
      </c>
      <c r="AD13" s="297">
        <f>SUMIFS($G:$G,$I:$I,$P13,$F:$F, TEXT(AD$5,"00") &amp; "." &amp; TEXT($A$1,"00"))</f>
        <v>0</v>
      </c>
      <c r="AE13" s="297">
        <f>SUMIFS($G:$G,$I:$I,$P13,$F:$F, TEXT(AE$5,"00") &amp; "." &amp; TEXT($A$1,"00"))</f>
        <v>0</v>
      </c>
      <c r="AF13" s="297">
        <f>SUMIFS($G:$G,$I:$I,$P13,$F:$F, TEXT(AF$5,"00") &amp; "." &amp; TEXT($A$1,"00"))</f>
        <v>0</v>
      </c>
      <c r="AG13" s="297">
        <f>SUMIFS($G:$G,$I:$I,$P13,$F:$F, TEXT(AG$5,"00") &amp; "." &amp; TEXT($A$1,"00"))</f>
        <v>0</v>
      </c>
      <c r="AH13" s="297">
        <f>SUMIFS($G:$G,$I:$I,$P13,$F:$F, TEXT(AH$5,"00") &amp; "." &amp; TEXT($A$1,"00"))</f>
        <v>0</v>
      </c>
      <c r="AI13" s="297">
        <f>SUMIFS($G:$G,$I:$I,$P13,$F:$F, TEXT(AI$5,"00") &amp; "." &amp; TEXT($A$1,"00"))</f>
        <v>0</v>
      </c>
      <c r="AJ13" s="297">
        <f>SUMIFS($G:$G,$I:$I,$P13,$F:$F, TEXT(AJ$5,"00") &amp; "." &amp; TEXT($A$1,"00"))</f>
        <v>0</v>
      </c>
      <c r="AK13" s="297">
        <f>SUMIFS($G:$G,$I:$I,$P13,$F:$F, TEXT(AK$5,"00") &amp; "." &amp; TEXT($A$1,"00"))</f>
        <v>0</v>
      </c>
      <c r="AL13" s="297">
        <f>SUMIFS($G:$G,$I:$I,$P13,$F:$F, TEXT(AL$5,"00") &amp; "." &amp; TEXT($A$1,"00"))</f>
        <v>0</v>
      </c>
      <c r="AM13" s="297">
        <f>SUMIFS($G:$G,$I:$I,$P13,$F:$F, TEXT(AM$5,"00") &amp; "." &amp; TEXT($A$1,"00"))</f>
        <v>0</v>
      </c>
      <c r="AN13" s="297">
        <f>SUMIFS($G:$G,$I:$I,$P13,$F:$F, TEXT(AN$5,"00") &amp; "." &amp; TEXT($A$1,"00"))</f>
        <v>0</v>
      </c>
      <c r="AO13" s="297">
        <f>SUMIFS($G:$G,$I:$I,$P13,$F:$F, TEXT(AO$5,"00") &amp; "." &amp; TEXT($A$1,"00"))</f>
        <v>0</v>
      </c>
      <c r="AP13" s="297">
        <f>SUMIFS($G:$G,$I:$I,$P13,$F:$F, TEXT(AP$5,"00") &amp; "." &amp; TEXT($A$1,"00"))</f>
        <v>0</v>
      </c>
      <c r="AQ13" s="297">
        <f>SUMIFS($G:$G,$I:$I,$P13,$F:$F, TEXT(AQ$5,"00") &amp; "." &amp; TEXT($A$1,"00"))</f>
        <v>0</v>
      </c>
      <c r="AR13" s="297">
        <f>SUMIFS($G:$G,$I:$I,$P13,$F:$F, TEXT(AR$5,"00") &amp; "." &amp; TEXT($A$1,"00"))</f>
        <v>0</v>
      </c>
      <c r="AS13" s="297">
        <f>SUMIFS($G:$G,$I:$I,$P13,$F:$F, TEXT(AS$5,"00") &amp; "." &amp; TEXT($A$1,"00"))</f>
        <v>0</v>
      </c>
      <c r="AT13" s="297">
        <f>SUMIFS($G:$G,$I:$I,$P13,$F:$F, TEXT(AT$5,"00") &amp; "." &amp; TEXT($A$1,"00"))</f>
        <v>0</v>
      </c>
      <c r="AU13" s="297">
        <f>SUMIFS($G:$G,$I:$I,$P13,$F:$F, TEXT(AU$5,"00") &amp; "." &amp; TEXT($A$1,"00"))</f>
        <v>0</v>
      </c>
      <c r="AV13" s="297">
        <f>SUMIFS($G:$G,$I:$I,$P13,$F:$F, TEXT(AV$5,"00") &amp; "." &amp; TEXT($A$1,"00"))</f>
        <v>0</v>
      </c>
      <c r="AW13" s="294">
        <f t="shared" si="0"/>
        <v>27271.61</v>
      </c>
    </row>
    <row r="14" spans="1:49">
      <c r="A14" s="229" t="s">
        <v>21</v>
      </c>
      <c r="B14" s="196" t="s">
        <v>22</v>
      </c>
      <c r="C14" s="196">
        <v>700</v>
      </c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04">
        <v>2832.49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04">
        <v>2021.55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04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347">
        <f ca="1">SUM(C2:C17)</f>
        <v>-143402.10999999999</v>
      </c>
      <c r="D18" s="259">
        <f ca="1">SUM(D2:D17)</f>
        <v>56890.03</v>
      </c>
      <c r="E18" s="278"/>
      <c r="G18" s="204">
        <v>839.26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422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04">
        <v>99.82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1">_xlfn._xlws.FILTER(Dropdown!$B:$B,Dropdown!$C:$C = $P$18)</f>
        <v>חופשות בחו"ל</v>
      </c>
      <c r="Q19" s="297">
        <f>SUMIFS($G:$G,$H:$H,$P19,$F:$F,"")</f>
        <v>2580.6</v>
      </c>
      <c r="R19" s="297">
        <f>SUMIFS($G:$G,$H:$H,$P19,$F:$F,TEXT(R$5,"00") &amp; "." &amp; TEXT($A$1,"00"))</f>
        <v>0</v>
      </c>
      <c r="S19" s="297">
        <f>SUMIFS($G:$G,$H:$H,$P19,$F:$F,TEXT(S$5,"00") &amp; "." &amp; TEXT($A$1,"00"))</f>
        <v>0</v>
      </c>
      <c r="T19" s="297">
        <f>SUMIFS($G:$G,$H:$H,$P19,$F:$F,TEXT(T$5,"00") &amp; "." &amp; TEXT($A$1,"00"))</f>
        <v>0</v>
      </c>
      <c r="U19" s="297">
        <f>SUMIFS($G:$G,$H:$H,$P19,$F:$F,TEXT(U$5,"00") &amp; "." &amp; TEXT($A$1,"00"))</f>
        <v>0</v>
      </c>
      <c r="V19" s="297">
        <f>SUMIFS($G:$G,$H:$H,$P19,$F:$F,TEXT(V$5,"00") &amp; "." &amp; TEXT($A$1,"00"))</f>
        <v>0</v>
      </c>
      <c r="W19" s="297">
        <f>SUMIFS($G:$G,$H:$H,$P19,$F:$F,TEXT(W$5,"00") &amp; "." &amp; TEXT($A$1,"00"))</f>
        <v>0</v>
      </c>
      <c r="X19" s="297">
        <f>SUMIFS($G:$G,$H:$H,$P19,$F:$F,TEXT(X$5,"00") &amp; "." &amp; TEXT($A$1,"00"))</f>
        <v>0</v>
      </c>
      <c r="Y19" s="297">
        <f>SUMIFS($G:$G,$H:$H,$P19,$F:$F,TEXT(Y$5,"00") &amp; "." &amp; TEXT($A$1,"00"))</f>
        <v>0</v>
      </c>
      <c r="Z19" s="297">
        <f>SUMIFS($G:$G,$H:$H,$P19,$F:$F,TEXT(Z$5,"00") &amp; "." &amp; TEXT($A$1,"00"))</f>
        <v>0</v>
      </c>
      <c r="AA19" s="297">
        <f>SUMIFS($G:$G,$H:$H,$P19,$F:$F,TEXT(AA$5,"00") &amp; "." &amp; TEXT($A$1,"00"))</f>
        <v>0</v>
      </c>
      <c r="AB19" s="297">
        <f>SUMIFS($G:$G,$H:$H,$P19,$F:$F,TEXT(AB$5,"00") &amp; "." &amp; TEXT($A$1,"00"))</f>
        <v>0</v>
      </c>
      <c r="AC19" s="297">
        <f>SUMIFS($G:$G,$H:$H,$P19,$F:$F,TEXT(AC$5,"00") &amp; "." &amp; TEXT($A$1,"00"))</f>
        <v>0</v>
      </c>
      <c r="AD19" s="297">
        <f>SUMIFS($G:$G,$H:$H,$P19,$F:$F,TEXT(AD$5,"00") &amp; "." &amp; TEXT($A$1,"00"))</f>
        <v>0</v>
      </c>
      <c r="AE19" s="297">
        <f>SUMIFS($G:$G,$H:$H,$P19,$F:$F,TEXT(AE$5,"00") &amp; "." &amp; TEXT($A$1,"00"))</f>
        <v>0</v>
      </c>
      <c r="AF19" s="297">
        <f>SUMIFS($G:$G,$H:$H,$P19,$F:$F,TEXT(AF$5,"00") &amp; "." &amp; TEXT($A$1,"00"))</f>
        <v>0</v>
      </c>
      <c r="AG19" s="297">
        <f>SUMIFS($G:$G,$H:$H,$P19,$F:$F,TEXT(AG$5,"00") &amp; "." &amp; TEXT($A$1,"00"))</f>
        <v>0</v>
      </c>
      <c r="AH19" s="297">
        <f>SUMIFS($G:$G,$H:$H,$P19,$F:$F,TEXT(AH$5,"00") &amp; "." &amp; TEXT($A$1,"00"))</f>
        <v>0</v>
      </c>
      <c r="AI19" s="297">
        <f>SUMIFS($G:$G,$H:$H,$P19,$F:$F,TEXT(AI$5,"00") &amp; "." &amp; TEXT($A$1,"00"))</f>
        <v>0</v>
      </c>
      <c r="AJ19" s="297">
        <f>SUMIFS($G:$G,$H:$H,$P19,$F:$F,TEXT(AJ$5,"00") &amp; "." &amp; TEXT($A$1,"00"))</f>
        <v>0</v>
      </c>
      <c r="AK19" s="297">
        <f>SUMIFS($G:$G,$H:$H,$P19,$F:$F,TEXT(AK$5,"00") &amp; "." &amp; TEXT($A$1,"00"))</f>
        <v>0</v>
      </c>
      <c r="AL19" s="297">
        <f>SUMIFS($G:$G,$H:$H,$P19,$F:$F,TEXT(AL$5,"00") &amp; "." &amp; TEXT($A$1,"00"))</f>
        <v>0</v>
      </c>
      <c r="AM19" s="297">
        <f>SUMIFS($G:$G,$H:$H,$P19,$F:$F,TEXT(AM$5,"00") &amp; "." &amp; TEXT($A$1,"00"))</f>
        <v>0</v>
      </c>
      <c r="AN19" s="297">
        <f>SUMIFS($G:$G,$H:$H,$P19,$F:$F,TEXT(AN$5,"00") &amp; "." &amp; TEXT($A$1,"00"))</f>
        <v>0</v>
      </c>
      <c r="AO19" s="297">
        <f>SUMIFS($G:$G,$H:$H,$P19,$F:$F,TEXT(AO$5,"00") &amp; "." &amp; TEXT($A$1,"00"))</f>
        <v>0</v>
      </c>
      <c r="AP19" s="297">
        <f>SUMIFS($G:$G,$H:$H,$P19,$F:$F,TEXT(AP$5,"00") &amp; "." &amp; TEXT($A$1,"00"))</f>
        <v>0</v>
      </c>
      <c r="AQ19" s="297">
        <f>SUMIFS($G:$G,$H:$H,$P19,$F:$F,TEXT(AQ$5,"00") &amp; "." &amp; TEXT($A$1,"00"))</f>
        <v>0</v>
      </c>
      <c r="AR19" s="297">
        <f>SUMIFS($G:$G,$H:$H,$P19,$F:$F,TEXT(AR$5,"00") &amp; "." &amp; TEXT($A$1,"00"))</f>
        <v>0</v>
      </c>
      <c r="AS19" s="297">
        <f>SUMIFS($G:$G,$H:$H,$P19,$F:$F,TEXT(AS$5,"00") &amp; "." &amp; TEXT($A$1,"00"))</f>
        <v>0</v>
      </c>
      <c r="AT19" s="297">
        <f>SUMIFS($G:$G,$H:$H,$P19,$F:$F,TEXT(AT$5,"00") &amp; "." &amp; TEXT($A$1,"00"))</f>
        <v>0</v>
      </c>
      <c r="AU19" s="297">
        <f>SUMIFS($G:$G,$H:$H,$P19,$F:$F,TEXT(AU$5,"00") &amp; "." &amp; TEXT($A$1,"00"))</f>
        <v>0</v>
      </c>
      <c r="AV19" s="297">
        <f>SUMIFS($G:$G,$H:$H,$P19,$F:$F,TEXT(AV$5,"00") &amp; "." &amp; TEXT($A$1,"00"))</f>
        <v>0</v>
      </c>
      <c r="AW19" s="294">
        <f t="shared" ref="AW19:AW37" si="1">SUM(Q19:AV19)</f>
        <v>2580.6</v>
      </c>
    </row>
    <row r="20" spans="1:49">
      <c r="A20" s="462" t="s">
        <v>25</v>
      </c>
      <c r="B20" s="206" t="s">
        <v>337</v>
      </c>
      <c r="C20" s="206">
        <v>34733.949999999997</v>
      </c>
      <c r="D20" s="207">
        <f>SUMIFS(עסק!AA:AA,עסק!Z:Z,$A$1,עסק!AC:AC,"צ'ק")</f>
        <v>0</v>
      </c>
      <c r="E20" s="278"/>
      <c r="G20" s="204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חופשות בארץ</v>
      </c>
      <c r="Q20" s="297">
        <f>SUMIFS($G:$G,$H:$H,$P20,$F:$F,"")</f>
        <v>0</v>
      </c>
      <c r="R20" s="297">
        <f>SUMIFS($G:$G,$H:$H,$P20,$F:$F,TEXT(R$5,"00") &amp; "." &amp; TEXT($A$1,"00"))</f>
        <v>0</v>
      </c>
      <c r="S20" s="297">
        <f>SUMIFS($G:$G,$H:$H,$P20,$F:$F,TEXT(S$5,"00") &amp; "." &amp; TEXT($A$1,"00"))</f>
        <v>0</v>
      </c>
      <c r="T20" s="297">
        <f>SUMIFS($G:$G,$H:$H,$P20,$F:$F,TEXT(T$5,"00") &amp; "." &amp; TEXT($A$1,"00"))</f>
        <v>0</v>
      </c>
      <c r="U20" s="297">
        <f>SUMIFS($G:$G,$H:$H,$P20,$F:$F,TEXT(U$5,"00") &amp; "." &amp; TEXT($A$1,"00"))</f>
        <v>0</v>
      </c>
      <c r="V20" s="297">
        <f>SUMIFS($G:$G,$H:$H,$P20,$F:$F,TEXT(V$5,"00") &amp; "." &amp; TEXT($A$1,"00"))</f>
        <v>0</v>
      </c>
      <c r="W20" s="297">
        <f>SUMIFS($G:$G,$H:$H,$P20,$F:$F,TEXT(W$5,"00") &amp; "." &amp; TEXT($A$1,"00"))</f>
        <v>0</v>
      </c>
      <c r="X20" s="297">
        <f>SUMIFS($G:$G,$H:$H,$P20,$F:$F,TEXT(X$5,"00") &amp; "." &amp; TEXT($A$1,"00"))</f>
        <v>0</v>
      </c>
      <c r="Y20" s="297">
        <f>SUMIFS($G:$G,$H:$H,$P20,$F:$F,TEXT(Y$5,"00") &amp; "." &amp; TEXT($A$1,"00"))</f>
        <v>0</v>
      </c>
      <c r="Z20" s="297">
        <f>SUMIFS($G:$G,$H:$H,$P20,$F:$F,TEXT(Z$5,"00") &amp; "." &amp; TEXT($A$1,"00"))</f>
        <v>0</v>
      </c>
      <c r="AA20" s="297">
        <f>SUMIFS($G:$G,$H:$H,$P20,$F:$F,TEXT(AA$5,"00") &amp; "." &amp; TEXT($A$1,"00"))</f>
        <v>0</v>
      </c>
      <c r="AB20" s="297">
        <f>SUMIFS($G:$G,$H:$H,$P20,$F:$F,TEXT(AB$5,"00") &amp; "." &amp; TEXT($A$1,"00"))</f>
        <v>0</v>
      </c>
      <c r="AC20" s="297">
        <f>SUMIFS($G:$G,$H:$H,$P20,$F:$F,TEXT(AC$5,"00") &amp; "." &amp; TEXT($A$1,"00"))</f>
        <v>0</v>
      </c>
      <c r="AD20" s="297">
        <f>SUMIFS($G:$G,$H:$H,$P20,$F:$F,TEXT(AD$5,"00") &amp; "." &amp; TEXT($A$1,"00"))</f>
        <v>0</v>
      </c>
      <c r="AE20" s="297">
        <f>SUMIFS($G:$G,$H:$H,$P20,$F:$F,TEXT(AE$5,"00") &amp; "." &amp; TEXT($A$1,"00"))</f>
        <v>0</v>
      </c>
      <c r="AF20" s="297">
        <f>SUMIFS($G:$G,$H:$H,$P20,$F:$F,TEXT(AF$5,"00") &amp; "." &amp; TEXT($A$1,"00"))</f>
        <v>0</v>
      </c>
      <c r="AG20" s="297">
        <f>SUMIFS($G:$G,$H:$H,$P20,$F:$F,TEXT(AG$5,"00") &amp; "." &amp; TEXT($A$1,"00"))</f>
        <v>0</v>
      </c>
      <c r="AH20" s="297">
        <f>SUMIFS($G:$G,$H:$H,$P20,$F:$F,TEXT(AH$5,"00") &amp; "." &amp; TEXT($A$1,"00"))</f>
        <v>0</v>
      </c>
      <c r="AI20" s="297">
        <f>SUMIFS($G:$G,$H:$H,$P20,$F:$F,TEXT(AI$5,"00") &amp; "." &amp; TEXT($A$1,"00"))</f>
        <v>0</v>
      </c>
      <c r="AJ20" s="297">
        <f>SUMIFS($G:$G,$H:$H,$P20,$F:$F,TEXT(AJ$5,"00") &amp; "." &amp; TEXT($A$1,"00"))</f>
        <v>0</v>
      </c>
      <c r="AK20" s="297">
        <f>SUMIFS($G:$G,$H:$H,$P20,$F:$F,TEXT(AK$5,"00") &amp; "." &amp; TEXT($A$1,"00"))</f>
        <v>0</v>
      </c>
      <c r="AL20" s="297">
        <f>SUMIFS($G:$G,$H:$H,$P20,$F:$F,TEXT(AL$5,"00") &amp; "." &amp; TEXT($A$1,"00"))</f>
        <v>0</v>
      </c>
      <c r="AM20" s="297">
        <f>SUMIFS($G:$G,$H:$H,$P20,$F:$F,TEXT(AM$5,"00") &amp; "." &amp; TEXT($A$1,"00"))</f>
        <v>0</v>
      </c>
      <c r="AN20" s="297">
        <f>SUMIFS($G:$G,$H:$H,$P20,$F:$F,TEXT(AN$5,"00") &amp; "." &amp; TEXT($A$1,"00"))</f>
        <v>0</v>
      </c>
      <c r="AO20" s="297">
        <f>SUMIFS($G:$G,$H:$H,$P20,$F:$F,TEXT(AO$5,"00") &amp; "." &amp; TEXT($A$1,"00"))</f>
        <v>0</v>
      </c>
      <c r="AP20" s="297">
        <f>SUMIFS($G:$G,$H:$H,$P20,$F:$F,TEXT(AP$5,"00") &amp; "." &amp; TEXT($A$1,"00"))</f>
        <v>0</v>
      </c>
      <c r="AQ20" s="297">
        <f>SUMIFS($G:$G,$H:$H,$P20,$F:$F,TEXT(AQ$5,"00") &amp; "." &amp; TEXT($A$1,"00"))</f>
        <v>0</v>
      </c>
      <c r="AR20" s="297">
        <f>SUMIFS($G:$G,$H:$H,$P20,$F:$F,TEXT(AR$5,"00") &amp; "." &amp; TEXT($A$1,"00"))</f>
        <v>0</v>
      </c>
      <c r="AS20" s="297">
        <f>SUMIFS($G:$G,$H:$H,$P20,$F:$F,TEXT(AS$5,"00") &amp; "." &amp; TEXT($A$1,"00"))</f>
        <v>0</v>
      </c>
      <c r="AT20" s="297">
        <f>SUMIFS($G:$G,$H:$H,$P20,$F:$F,TEXT(AT$5,"00") &amp; "." &amp; TEXT($A$1,"00"))</f>
        <v>0</v>
      </c>
      <c r="AU20" s="297">
        <f>SUMIFS($G:$G,$H:$H,$P20,$F:$F,TEXT(AU$5,"00") &amp; "." &amp; TEXT($A$1,"00"))</f>
        <v>0</v>
      </c>
      <c r="AV20" s="297">
        <f>SUMIFS($G:$G,$H:$H,$P20,$F:$F,TEXT(AV$5,"00") &amp; "." &amp; TEXT($A$1,"00"))</f>
        <v>0</v>
      </c>
      <c r="AW20" s="294">
        <f t="shared" si="1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10000</v>
      </c>
      <c r="D21" s="198">
        <f>SUMIFS(עסק!E:E,עסק!D:D,$A$1,עסק!G:G,"העברה")+SUMIFS(עסק!E:E,עסק!D:D,$A$1,עסק!G:G,"צ'ק")</f>
        <v>53324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מועדוני ספורט ובריאות</v>
      </c>
      <c r="Q21" s="297">
        <f>SUMIFS($G:$G,$H:$H,$P21,$F:$F,"")</f>
        <v>0</v>
      </c>
      <c r="R21" s="297">
        <f>SUMIFS($G:$G,$H:$H,$P21,$F:$F,TEXT(R$5,"00") &amp; "." &amp; TEXT($A$1,"00"))</f>
        <v>0</v>
      </c>
      <c r="S21" s="297">
        <f>SUMIFS($G:$G,$H:$H,$P21,$F:$F,TEXT(S$5,"00") &amp; "." &amp; TEXT($A$1,"00"))</f>
        <v>0</v>
      </c>
      <c r="T21" s="297">
        <f>SUMIFS($G:$G,$H:$H,$P21,$F:$F,TEXT(T$5,"00") &amp; "." &amp; TEXT($A$1,"00"))</f>
        <v>0</v>
      </c>
      <c r="U21" s="297">
        <f>SUMIFS($G:$G,$H:$H,$P21,$F:$F,TEXT(U$5,"00") &amp; "." &amp; TEXT($A$1,"00"))</f>
        <v>0</v>
      </c>
      <c r="V21" s="297">
        <f>SUMIFS($G:$G,$H:$H,$P21,$F:$F,TEXT(V$5,"00") &amp; "." &amp; TEXT($A$1,"00"))</f>
        <v>0</v>
      </c>
      <c r="W21" s="297">
        <f>SUMIFS($G:$G,$H:$H,$P21,$F:$F,TEXT(W$5,"00") &amp; "." &amp; TEXT($A$1,"00"))</f>
        <v>0</v>
      </c>
      <c r="X21" s="297">
        <f>SUMIFS($G:$G,$H:$H,$P21,$F:$F,TEXT(X$5,"00") &amp; "." &amp; TEXT($A$1,"00"))</f>
        <v>0</v>
      </c>
      <c r="Y21" s="297">
        <f>SUMIFS($G:$G,$H:$H,$P21,$F:$F,TEXT(Y$5,"00") &amp; "." &amp; TEXT($A$1,"00"))</f>
        <v>0</v>
      </c>
      <c r="Z21" s="297">
        <f>SUMIFS($G:$G,$H:$H,$P21,$F:$F,TEXT(Z$5,"00") &amp; "." &amp; TEXT($A$1,"00"))</f>
        <v>0</v>
      </c>
      <c r="AA21" s="297">
        <f>SUMIFS($G:$G,$H:$H,$P21,$F:$F,TEXT(AA$5,"00") &amp; "." &amp; TEXT($A$1,"00"))</f>
        <v>0</v>
      </c>
      <c r="AB21" s="297">
        <f>SUMIFS($G:$G,$H:$H,$P21,$F:$F,TEXT(AB$5,"00") &amp; "." &amp; TEXT($A$1,"00"))</f>
        <v>0</v>
      </c>
      <c r="AC21" s="297">
        <f>SUMIFS($G:$G,$H:$H,$P21,$F:$F,TEXT(AC$5,"00") &amp; "." &amp; TEXT($A$1,"00"))</f>
        <v>0</v>
      </c>
      <c r="AD21" s="297">
        <f>SUMIFS($G:$G,$H:$H,$P21,$F:$F,TEXT(AD$5,"00") &amp; "." &amp; TEXT($A$1,"00"))</f>
        <v>0</v>
      </c>
      <c r="AE21" s="297">
        <f>SUMIFS($G:$G,$H:$H,$P21,$F:$F,TEXT(AE$5,"00") &amp; "." &amp; TEXT($A$1,"00"))</f>
        <v>0</v>
      </c>
      <c r="AF21" s="297">
        <f>SUMIFS($G:$G,$H:$H,$P21,$F:$F,TEXT(AF$5,"00") &amp; "." &amp; TEXT($A$1,"00"))</f>
        <v>0</v>
      </c>
      <c r="AG21" s="297">
        <f>SUMIFS($G:$G,$H:$H,$P21,$F:$F,TEXT(AG$5,"00") &amp; "." &amp; TEXT($A$1,"00"))</f>
        <v>0</v>
      </c>
      <c r="AH21" s="297">
        <f>SUMIFS($G:$G,$H:$H,$P21,$F:$F,TEXT(AH$5,"00") &amp; "." &amp; TEXT($A$1,"00"))</f>
        <v>0</v>
      </c>
      <c r="AI21" s="297">
        <f>SUMIFS($G:$G,$H:$H,$P21,$F:$F,TEXT(AI$5,"00") &amp; "." &amp; TEXT($A$1,"00"))</f>
        <v>0</v>
      </c>
      <c r="AJ21" s="297">
        <f>SUMIFS($G:$G,$H:$H,$P21,$F:$F,TEXT(AJ$5,"00") &amp; "." &amp; TEXT($A$1,"00"))</f>
        <v>0</v>
      </c>
      <c r="AK21" s="297">
        <f>SUMIFS($G:$G,$H:$H,$P21,$F:$F,TEXT(AK$5,"00") &amp; "." &amp; TEXT($A$1,"00"))</f>
        <v>0</v>
      </c>
      <c r="AL21" s="297">
        <f>SUMIFS($G:$G,$H:$H,$P21,$F:$F,TEXT(AL$5,"00") &amp; "." &amp; TEXT($A$1,"00"))</f>
        <v>0</v>
      </c>
      <c r="AM21" s="297">
        <f>SUMIFS($G:$G,$H:$H,$P21,$F:$F,TEXT(AM$5,"00") &amp; "." &amp; TEXT($A$1,"00"))</f>
        <v>0</v>
      </c>
      <c r="AN21" s="297">
        <f>SUMIFS($G:$G,$H:$H,$P21,$F:$F,TEXT(AN$5,"00") &amp; "." &amp; TEXT($A$1,"00"))</f>
        <v>0</v>
      </c>
      <c r="AO21" s="297">
        <f>SUMIFS($G:$G,$H:$H,$P21,$F:$F,TEXT(AO$5,"00") &amp; "." &amp; TEXT($A$1,"00"))</f>
        <v>0</v>
      </c>
      <c r="AP21" s="297">
        <f>SUMIFS($G:$G,$H:$H,$P21,$F:$F,TEXT(AP$5,"00") &amp; "." &amp; TEXT($A$1,"00"))</f>
        <v>0</v>
      </c>
      <c r="AQ21" s="297">
        <f>SUMIFS($G:$G,$H:$H,$P21,$F:$F,TEXT(AQ$5,"00") &amp; "." &amp; TEXT($A$1,"00"))</f>
        <v>0</v>
      </c>
      <c r="AR21" s="297">
        <f>SUMIFS($G:$G,$H:$H,$P21,$F:$F,TEXT(AR$5,"00") &amp; "." &amp; TEXT($A$1,"00"))</f>
        <v>0</v>
      </c>
      <c r="AS21" s="297">
        <f>SUMIFS($G:$G,$H:$H,$P21,$F:$F,TEXT(AS$5,"00") &amp; "." &amp; TEXT($A$1,"00"))</f>
        <v>0</v>
      </c>
      <c r="AT21" s="297">
        <f>SUMIFS($G:$G,$H:$H,$P21,$F:$F,TEXT(AT$5,"00") &amp; "." &amp; TEXT($A$1,"00"))</f>
        <v>0</v>
      </c>
      <c r="AU21" s="297">
        <f>SUMIFS($G:$G,$H:$H,$P21,$F:$F,TEXT(AU$5,"00") &amp; "." &amp; TEXT($A$1,"00"))</f>
        <v>0</v>
      </c>
      <c r="AV21" s="297">
        <f>SUMIFS($G:$G,$H:$H,$P21,$F:$F,TEXT(AV$5,"00") &amp; "." &amp; TEXT($A$1,"00"))</f>
        <v>0</v>
      </c>
      <c r="AW21" s="294">
        <f t="shared" si="1"/>
        <v>0</v>
      </c>
    </row>
    <row r="22" spans="1:49">
      <c r="A22" s="458"/>
      <c r="B22" s="196" t="s">
        <v>26</v>
      </c>
      <c r="C22" s="196">
        <v>276</v>
      </c>
      <c r="D22" s="198"/>
      <c r="G22" s="250">
        <v>132.4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מסעדות ומשלוחים</v>
      </c>
      <c r="Q22" s="297">
        <f>SUMIFS($G:$G,$H:$H,$P22,$F:$F,"")</f>
        <v>0</v>
      </c>
      <c r="R22" s="297">
        <f>SUMIFS($G:$G,$H:$H,$P22,$F:$F,TEXT(R$5,"00") &amp; "." &amp; TEXT($A$1,"00"))</f>
        <v>0</v>
      </c>
      <c r="S22" s="297">
        <f>SUMIFS($G:$G,$H:$H,$P22,$F:$F,TEXT(S$5,"00") &amp; "." &amp; TEXT($A$1,"00"))</f>
        <v>29</v>
      </c>
      <c r="T22" s="297">
        <f>SUMIFS($G:$G,$H:$H,$P22,$F:$F,TEXT(T$5,"00") &amp; "." &amp; TEXT($A$1,"00"))</f>
        <v>0</v>
      </c>
      <c r="U22" s="297">
        <f>SUMIFS($G:$G,$H:$H,$P22,$F:$F,TEXT(U$5,"00") &amp; "." &amp; TEXT($A$1,"00"))</f>
        <v>754</v>
      </c>
      <c r="V22" s="297">
        <f>SUMIFS($G:$G,$H:$H,$P22,$F:$F,TEXT(V$5,"00") &amp; "." &amp; TEXT($A$1,"00"))</f>
        <v>0</v>
      </c>
      <c r="W22" s="297">
        <f>SUMIFS($G:$G,$H:$H,$P22,$F:$F,TEXT(W$5,"00") &amp; "." &amp; TEXT($A$1,"00"))</f>
        <v>7</v>
      </c>
      <c r="X22" s="297">
        <f>SUMIFS($G:$G,$H:$H,$P22,$F:$F,TEXT(X$5,"00") &amp; "." &amp; TEXT($A$1,"00"))</f>
        <v>0</v>
      </c>
      <c r="Y22" s="297">
        <f>SUMIFS($G:$G,$H:$H,$P22,$F:$F,TEXT(Y$5,"00") &amp; "." &amp; TEXT($A$1,"00"))</f>
        <v>30</v>
      </c>
      <c r="Z22" s="297">
        <f>SUMIFS($G:$G,$H:$H,$P22,$F:$F,TEXT(Z$5,"00") &amp; "." &amp; TEXT($A$1,"00"))</f>
        <v>0</v>
      </c>
      <c r="AA22" s="297">
        <f>SUMIFS($G:$G,$H:$H,$P22,$F:$F,TEXT(AA$5,"00") &amp; "." &amp; TEXT($A$1,"00"))</f>
        <v>0</v>
      </c>
      <c r="AB22" s="297">
        <f>SUMIFS($G:$G,$H:$H,$P22,$F:$F,TEXT(AB$5,"00") &amp; "." &amp; TEXT($A$1,"00"))</f>
        <v>0</v>
      </c>
      <c r="AC22" s="297">
        <f>SUMIFS($G:$G,$H:$H,$P22,$F:$F,TEXT(AC$5,"00") &amp; "." &amp; TEXT($A$1,"00"))</f>
        <v>0</v>
      </c>
      <c r="AD22" s="297">
        <f>SUMIFS($G:$G,$H:$H,$P22,$F:$F,TEXT(AD$5,"00") &amp; "." &amp; TEXT($A$1,"00"))</f>
        <v>68</v>
      </c>
      <c r="AE22" s="297">
        <f>SUMIFS($G:$G,$H:$H,$P22,$F:$F,TEXT(AE$5,"00") &amp; "." &amp; TEXT($A$1,"00"))</f>
        <v>0</v>
      </c>
      <c r="AF22" s="297">
        <f>SUMIFS($G:$G,$H:$H,$P22,$F:$F,TEXT(AF$5,"00") &amp; "." &amp; TEXT($A$1,"00"))</f>
        <v>309</v>
      </c>
      <c r="AG22" s="297">
        <f>SUMIFS($G:$G,$H:$H,$P22,$F:$F,TEXT(AG$5,"00") &amp; "." &amp; TEXT($A$1,"00"))</f>
        <v>376.25</v>
      </c>
      <c r="AH22" s="297">
        <f>SUMIFS($G:$G,$H:$H,$P22,$F:$F,TEXT(AH$5,"00") &amp; "." &amp; TEXT($A$1,"00"))</f>
        <v>0</v>
      </c>
      <c r="AI22" s="297">
        <f>SUMIFS($G:$G,$H:$H,$P22,$F:$F,TEXT(AI$5,"00") &amp; "." &amp; TEXT($A$1,"00"))</f>
        <v>0</v>
      </c>
      <c r="AJ22" s="297">
        <f>SUMIFS($G:$G,$H:$H,$P22,$F:$F,TEXT(AJ$5,"00") &amp; "." &amp; TEXT($A$1,"00"))</f>
        <v>732</v>
      </c>
      <c r="AK22" s="297">
        <f>SUMIFS($G:$G,$H:$H,$P22,$F:$F,TEXT(AK$5,"00") &amp; "." &amp; TEXT($A$1,"00"))</f>
        <v>52</v>
      </c>
      <c r="AL22" s="297">
        <f>SUMIFS($G:$G,$H:$H,$P22,$F:$F,TEXT(AL$5,"00") &amp; "." &amp; TEXT($A$1,"00"))</f>
        <v>0</v>
      </c>
      <c r="AM22" s="297">
        <f>SUMIFS($G:$G,$H:$H,$P22,$F:$F,TEXT(AM$5,"00") &amp; "." &amp; TEXT($A$1,"00"))</f>
        <v>0</v>
      </c>
      <c r="AN22" s="297">
        <f>SUMIFS($G:$G,$H:$H,$P22,$F:$F,TEXT(AN$5,"00") &amp; "." &amp; TEXT($A$1,"00"))</f>
        <v>0</v>
      </c>
      <c r="AO22" s="297">
        <f>SUMIFS($G:$G,$H:$H,$P22,$F:$F,TEXT(AO$5,"00") &amp; "." &amp; TEXT($A$1,"00"))</f>
        <v>0</v>
      </c>
      <c r="AP22" s="297">
        <f>SUMIFS($G:$G,$H:$H,$P22,$F:$F,TEXT(AP$5,"00") &amp; "." &amp; TEXT($A$1,"00"))</f>
        <v>0</v>
      </c>
      <c r="AQ22" s="297">
        <f>SUMIFS($G:$G,$H:$H,$P22,$F:$F,TEXT(AQ$5,"00") &amp; "." &amp; TEXT($A$1,"00"))</f>
        <v>213.9</v>
      </c>
      <c r="AR22" s="297">
        <f>SUMIFS($G:$G,$H:$H,$P22,$F:$F,TEXT(AR$5,"00") &amp; "." &amp; TEXT($A$1,"00"))</f>
        <v>228.25</v>
      </c>
      <c r="AS22" s="297">
        <f>SUMIFS($G:$G,$H:$H,$P22,$F:$F,TEXT(AS$5,"00") &amp; "." &amp; TEXT($A$1,"00"))</f>
        <v>0</v>
      </c>
      <c r="AT22" s="297">
        <f>SUMIFS($G:$G,$H:$H,$P22,$F:$F,TEXT(AT$5,"00") &amp; "." &amp; TEXT($A$1,"00"))</f>
        <v>0</v>
      </c>
      <c r="AU22" s="297">
        <f>SUMIFS($G:$G,$H:$H,$P22,$F:$F,TEXT(AU$5,"00") &amp; "." &amp; TEXT($A$1,"00"))</f>
        <v>0</v>
      </c>
      <c r="AV22" s="297">
        <f>SUMIFS($G:$G,$H:$H,$P22,$F:$F,TEXT(AV$5,"00") &amp; "." &amp; TEXT($A$1,"00"))</f>
        <v>0</v>
      </c>
      <c r="AW22" s="294">
        <f t="shared" si="1"/>
        <v>2799.4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04">
        <v>80.78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בילוים</v>
      </c>
      <c r="Q23" s="297">
        <f>SUMIFS($G:$G,$H:$H,$P23,$F:$F,"")</f>
        <v>0</v>
      </c>
      <c r="R23" s="297">
        <f>SUMIFS($G:$G,$H:$H,$P23,$F:$F,TEXT(R$5,"00") &amp; "." &amp; TEXT($A$1,"00"))</f>
        <v>0</v>
      </c>
      <c r="S23" s="297">
        <f>SUMIFS($G:$G,$H:$H,$P23,$F:$F,TEXT(S$5,"00") &amp; "." &amp; TEXT($A$1,"00"))</f>
        <v>0</v>
      </c>
      <c r="T23" s="297">
        <f>SUMIFS($G:$G,$H:$H,$P23,$F:$F,TEXT(T$5,"00") &amp; "." &amp; TEXT($A$1,"00"))</f>
        <v>0</v>
      </c>
      <c r="U23" s="297">
        <f>SUMIFS($G:$G,$H:$H,$P23,$F:$F,TEXT(U$5,"00") &amp; "." &amp; TEXT($A$1,"00"))</f>
        <v>0</v>
      </c>
      <c r="V23" s="297">
        <f>SUMIFS($G:$G,$H:$H,$P23,$F:$F,TEXT(V$5,"00") &amp; "." &amp; TEXT($A$1,"00"))</f>
        <v>0</v>
      </c>
      <c r="W23" s="297">
        <f>SUMIFS($G:$G,$H:$H,$P23,$F:$F,TEXT(W$5,"00") &amp; "." &amp; TEXT($A$1,"00"))</f>
        <v>0</v>
      </c>
      <c r="X23" s="297">
        <f>SUMIFS($G:$G,$H:$H,$P23,$F:$F,TEXT(X$5,"00") &amp; "." &amp; TEXT($A$1,"00"))</f>
        <v>0</v>
      </c>
      <c r="Y23" s="297">
        <f>SUMIFS($G:$G,$H:$H,$P23,$F:$F,TEXT(Y$5,"00") &amp; "." &amp; TEXT($A$1,"00"))</f>
        <v>178</v>
      </c>
      <c r="Z23" s="297">
        <f>SUMIFS($G:$G,$H:$H,$P23,$F:$F,TEXT(Z$5,"00") &amp; "." &amp; TEXT($A$1,"00"))</f>
        <v>0</v>
      </c>
      <c r="AA23" s="297">
        <f>SUMIFS($G:$G,$H:$H,$P23,$F:$F,TEXT(AA$5,"00") &amp; "." &amp; TEXT($A$1,"00"))</f>
        <v>0</v>
      </c>
      <c r="AB23" s="297">
        <f>SUMIFS($G:$G,$H:$H,$P23,$F:$F,TEXT(AB$5,"00") &amp; "." &amp; TEXT($A$1,"00"))</f>
        <v>0</v>
      </c>
      <c r="AC23" s="297">
        <f>SUMIFS($G:$G,$H:$H,$P23,$F:$F,TEXT(AC$5,"00") &amp; "." &amp; TEXT($A$1,"00"))</f>
        <v>0</v>
      </c>
      <c r="AD23" s="297">
        <f>SUMIFS($G:$G,$H:$H,$P23,$F:$F,TEXT(AD$5,"00") &amp; "." &amp; TEXT($A$1,"00"))</f>
        <v>0</v>
      </c>
      <c r="AE23" s="297">
        <f>SUMIFS($G:$G,$H:$H,$P23,$F:$F,TEXT(AE$5,"00") &amp; "." &amp; TEXT($A$1,"00"))</f>
        <v>0</v>
      </c>
      <c r="AF23" s="297">
        <f>SUMIFS($G:$G,$H:$H,$P23,$F:$F,TEXT(AF$5,"00") &amp; "." &amp; TEXT($A$1,"00"))</f>
        <v>0</v>
      </c>
      <c r="AG23" s="297">
        <f>SUMIFS($G:$G,$H:$H,$P23,$F:$F,TEXT(AG$5,"00") &amp; "." &amp; TEXT($A$1,"00"))</f>
        <v>0</v>
      </c>
      <c r="AH23" s="297">
        <f>SUMIFS($G:$G,$H:$H,$P23,$F:$F,TEXT(AH$5,"00") &amp; "." &amp; TEXT($A$1,"00"))</f>
        <v>251.5</v>
      </c>
      <c r="AI23" s="297">
        <f>SUMIFS($G:$G,$H:$H,$P23,$F:$F,TEXT(AI$5,"00") &amp; "." &amp; TEXT($A$1,"00"))</f>
        <v>0</v>
      </c>
      <c r="AJ23" s="297">
        <f>SUMIFS($G:$G,$H:$H,$P23,$F:$F,TEXT(AJ$5,"00") &amp; "." &amp; TEXT($A$1,"00"))</f>
        <v>700</v>
      </c>
      <c r="AK23" s="297">
        <f>SUMIFS($G:$G,$H:$H,$P23,$F:$F,TEXT(AK$5,"00") &amp; "." &amp; TEXT($A$1,"00"))</f>
        <v>0</v>
      </c>
      <c r="AL23" s="297">
        <f>SUMIFS($G:$G,$H:$H,$P23,$F:$F,TEXT(AL$5,"00") &amp; "." &amp; TEXT($A$1,"00"))</f>
        <v>0</v>
      </c>
      <c r="AM23" s="297">
        <f>SUMIFS($G:$G,$H:$H,$P23,$F:$F,TEXT(AM$5,"00") &amp; "." &amp; TEXT($A$1,"00"))</f>
        <v>0</v>
      </c>
      <c r="AN23" s="297">
        <f>SUMIFS($G:$G,$H:$H,$P23,$F:$F,TEXT(AN$5,"00") &amp; "." &amp; TEXT($A$1,"00"))</f>
        <v>0</v>
      </c>
      <c r="AO23" s="297">
        <f>SUMIFS($G:$G,$H:$H,$P23,$F:$F,TEXT(AO$5,"00") &amp; "." &amp; TEXT($A$1,"00"))</f>
        <v>0</v>
      </c>
      <c r="AP23" s="297">
        <f>SUMIFS($G:$G,$H:$H,$P23,$F:$F,TEXT(AP$5,"00") &amp; "." &amp; TEXT($A$1,"00"))</f>
        <v>0</v>
      </c>
      <c r="AQ23" s="297">
        <f>SUMIFS($G:$G,$H:$H,$P23,$F:$F,TEXT(AQ$5,"00") &amp; "." &amp; TEXT($A$1,"00"))</f>
        <v>0</v>
      </c>
      <c r="AR23" s="297">
        <f>SUMIFS($G:$G,$H:$H,$P23,$F:$F,TEXT(AR$5,"00") &amp; "." &amp; TEXT($A$1,"00"))</f>
        <v>0</v>
      </c>
      <c r="AS23" s="297">
        <f>SUMIFS($G:$G,$H:$H,$P23,$F:$F,TEXT(AS$5,"00") &amp; "." &amp; TEXT($A$1,"00"))</f>
        <v>0</v>
      </c>
      <c r="AT23" s="297">
        <f>SUMIFS($G:$G,$H:$H,$P23,$F:$F,TEXT(AT$5,"00") &amp; "." &amp; TEXT($A$1,"00"))</f>
        <v>0</v>
      </c>
      <c r="AU23" s="297">
        <f>SUMIFS($G:$G,$H:$H,$P23,$F:$F,TEXT(AU$5,"00") &amp; "." &amp; TEXT($A$1,"00"))</f>
        <v>0</v>
      </c>
      <c r="AV23" s="297">
        <f>SUMIFS($G:$G,$H:$H,$P23,$F:$F,TEXT(AV$5,"00") &amp; "." &amp; TEXT($A$1,"00"))</f>
        <v>0</v>
      </c>
      <c r="AW23" s="294">
        <f t="shared" si="1"/>
        <v>1129.5</v>
      </c>
    </row>
    <row r="24" spans="1:49">
      <c r="A24" s="261" t="s">
        <v>24</v>
      </c>
      <c r="B24" s="262"/>
      <c r="C24" s="255">
        <f ca="1">SUM(C20:C23)</f>
        <v>45009.95</v>
      </c>
      <c r="D24" s="254">
        <f>SUM(D20:D23)</f>
        <v>53324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בילוים בחו"ל</v>
      </c>
      <c r="Q24" s="297">
        <f>SUMIFS($G:$G,$H:$H,$P24,$F:$F,"")</f>
        <v>0</v>
      </c>
      <c r="R24" s="297">
        <f>SUMIFS($G:$G,$H:$H,$P24,$F:$F,TEXT(R$5,"00") &amp; "." &amp; TEXT($A$1,"00"))</f>
        <v>0</v>
      </c>
      <c r="S24" s="297">
        <f>SUMIFS($G:$G,$H:$H,$P24,$F:$F,TEXT(S$5,"00") &amp; "." &amp; TEXT($A$1,"00"))</f>
        <v>0</v>
      </c>
      <c r="T24" s="297">
        <f>SUMIFS($G:$G,$H:$H,$P24,$F:$F,TEXT(T$5,"00") &amp; "." &amp; TEXT($A$1,"00"))</f>
        <v>0</v>
      </c>
      <c r="U24" s="297">
        <f>SUMIFS($G:$G,$H:$H,$P24,$F:$F,TEXT(U$5,"00") &amp; "." &amp; TEXT($A$1,"00"))</f>
        <v>0</v>
      </c>
      <c r="V24" s="297">
        <f>SUMIFS($G:$G,$H:$H,$P24,$F:$F,TEXT(V$5,"00") &amp; "." &amp; TEXT($A$1,"00"))</f>
        <v>0</v>
      </c>
      <c r="W24" s="297">
        <f>SUMIFS($G:$G,$H:$H,$P24,$F:$F,TEXT(W$5,"00") &amp; "." &amp; TEXT($A$1,"00"))</f>
        <v>0</v>
      </c>
      <c r="X24" s="297">
        <f>SUMIFS($G:$G,$H:$H,$P24,$F:$F,TEXT(X$5,"00") &amp; "." &amp; TEXT($A$1,"00"))</f>
        <v>0</v>
      </c>
      <c r="Y24" s="297">
        <f>SUMIFS($G:$G,$H:$H,$P24,$F:$F,TEXT(Y$5,"00") &amp; "." &amp; TEXT($A$1,"00"))</f>
        <v>0</v>
      </c>
      <c r="Z24" s="297">
        <f>SUMIFS($G:$G,$H:$H,$P24,$F:$F,TEXT(Z$5,"00") &amp; "." &amp; TEXT($A$1,"00"))</f>
        <v>0</v>
      </c>
      <c r="AA24" s="297">
        <f>SUMIFS($G:$G,$H:$H,$P24,$F:$F,TEXT(AA$5,"00") &amp; "." &amp; TEXT($A$1,"00"))</f>
        <v>0</v>
      </c>
      <c r="AB24" s="297">
        <f>SUMIFS($G:$G,$H:$H,$P24,$F:$F,TEXT(AB$5,"00") &amp; "." &amp; TEXT($A$1,"00"))</f>
        <v>0</v>
      </c>
      <c r="AC24" s="297">
        <f>SUMIFS($G:$G,$H:$H,$P24,$F:$F,TEXT(AC$5,"00") &amp; "." &amp; TEXT($A$1,"00"))</f>
        <v>0</v>
      </c>
      <c r="AD24" s="297">
        <f>SUMIFS($G:$G,$H:$H,$P24,$F:$F,TEXT(AD$5,"00") &amp; "." &amp; TEXT($A$1,"00"))</f>
        <v>0</v>
      </c>
      <c r="AE24" s="297">
        <f>SUMIFS($G:$G,$H:$H,$P24,$F:$F,TEXT(AE$5,"00") &amp; "." &amp; TEXT($A$1,"00"))</f>
        <v>0</v>
      </c>
      <c r="AF24" s="297">
        <f>SUMIFS($G:$G,$H:$H,$P24,$F:$F,TEXT(AF$5,"00") &amp; "." &amp; TEXT($A$1,"00"))</f>
        <v>0</v>
      </c>
      <c r="AG24" s="297">
        <f>SUMIFS($G:$G,$H:$H,$P24,$F:$F,TEXT(AG$5,"00") &amp; "." &amp; TEXT($A$1,"00"))</f>
        <v>0</v>
      </c>
      <c r="AH24" s="297">
        <f>SUMIFS($G:$G,$H:$H,$P24,$F:$F,TEXT(AH$5,"00") &amp; "." &amp; TEXT($A$1,"00"))</f>
        <v>0</v>
      </c>
      <c r="AI24" s="297">
        <f>SUMIFS($G:$G,$H:$H,$P24,$F:$F,TEXT(AI$5,"00") &amp; "." &amp; TEXT($A$1,"00"))</f>
        <v>0</v>
      </c>
      <c r="AJ24" s="297">
        <f>SUMIFS($G:$G,$H:$H,$P24,$F:$F,TEXT(AJ$5,"00") &amp; "." &amp; TEXT($A$1,"00"))</f>
        <v>0</v>
      </c>
      <c r="AK24" s="297">
        <f>SUMIFS($G:$G,$H:$H,$P24,$F:$F,TEXT(AK$5,"00") &amp; "." &amp; TEXT($A$1,"00"))</f>
        <v>0</v>
      </c>
      <c r="AL24" s="297">
        <f>SUMIFS($G:$G,$H:$H,$P24,$F:$F,TEXT(AL$5,"00") &amp; "." &amp; TEXT($A$1,"00"))</f>
        <v>0</v>
      </c>
      <c r="AM24" s="297">
        <f>SUMIFS($G:$G,$H:$H,$P24,$F:$F,TEXT(AM$5,"00") &amp; "." &amp; TEXT($A$1,"00"))</f>
        <v>0</v>
      </c>
      <c r="AN24" s="297">
        <f>SUMIFS($G:$G,$H:$H,$P24,$F:$F,TEXT(AN$5,"00") &amp; "." &amp; TEXT($A$1,"00"))</f>
        <v>0</v>
      </c>
      <c r="AO24" s="297">
        <f>SUMIFS($G:$G,$H:$H,$P24,$F:$F,TEXT(AO$5,"00") &amp; "." &amp; TEXT($A$1,"00"))</f>
        <v>0</v>
      </c>
      <c r="AP24" s="297">
        <f>SUMIFS($G:$G,$H:$H,$P24,$F:$F,TEXT(AP$5,"00") &amp; "." &amp; TEXT($A$1,"00"))</f>
        <v>0</v>
      </c>
      <c r="AQ24" s="297">
        <f>SUMIFS($G:$G,$H:$H,$P24,$F:$F,TEXT(AQ$5,"00") &amp; "." &amp; TEXT($A$1,"00"))</f>
        <v>0</v>
      </c>
      <c r="AR24" s="297">
        <f>SUMIFS($G:$G,$H:$H,$P24,$F:$F,TEXT(AR$5,"00") &amp; "." &amp; TEXT($A$1,"00"))</f>
        <v>0</v>
      </c>
      <c r="AS24" s="297">
        <f>SUMIFS($G:$G,$H:$H,$P24,$F:$F,TEXT(AS$5,"00") &amp; "." &amp; TEXT($A$1,"00"))</f>
        <v>0</v>
      </c>
      <c r="AT24" s="297">
        <f>SUMIFS($G:$G,$H:$H,$P24,$F:$F,TEXT(AT$5,"00") &amp; "." &amp; TEXT($A$1,"00"))</f>
        <v>0</v>
      </c>
      <c r="AU24" s="297">
        <f>SUMIFS($G:$G,$H:$H,$P24,$F:$F,TEXT(AU$5,"00") &amp; "." &amp; TEXT($A$1,"00"))</f>
        <v>0</v>
      </c>
      <c r="AV24" s="297">
        <f>SUMIFS($G:$G,$H:$H,$P24,$F:$F,TEXT(AV$5,"00") &amp; "." &amp; TEXT($A$1,"00"))</f>
        <v>0</v>
      </c>
      <c r="AW24" s="294">
        <f t="shared" si="1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50">
        <v>10.41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אוכל יניב</v>
      </c>
      <c r="Q25" s="297">
        <f>SUMIFS($G:$G,$H:$H,$P25,$F:$F,"")</f>
        <v>0</v>
      </c>
      <c r="R25" s="297">
        <f>SUMIFS($G:$G,$H:$H,$P25,$F:$F,TEXT(R$5,"00") &amp; "." &amp; TEXT($A$1,"00"))</f>
        <v>0</v>
      </c>
      <c r="S25" s="297">
        <f>SUMIFS($G:$G,$H:$H,$P25,$F:$F,TEXT(S$5,"00") &amp; "." &amp; TEXT($A$1,"00"))</f>
        <v>0</v>
      </c>
      <c r="T25" s="297">
        <f>SUMIFS($G:$G,$H:$H,$P25,$F:$F,TEXT(T$5,"00") &amp; "." &amp; TEXT($A$1,"00"))</f>
        <v>0</v>
      </c>
      <c r="U25" s="297">
        <f>SUMIFS($G:$G,$H:$H,$P25,$F:$F,TEXT(U$5,"00") &amp; "." &amp; TEXT($A$1,"00"))</f>
        <v>0</v>
      </c>
      <c r="V25" s="297">
        <f>SUMIFS($G:$G,$H:$H,$P25,$F:$F,TEXT(V$5,"00") &amp; "." &amp; TEXT($A$1,"00"))</f>
        <v>0</v>
      </c>
      <c r="W25" s="297">
        <f>SUMIFS($G:$G,$H:$H,$P25,$F:$F,TEXT(W$5,"00") &amp; "." &amp; TEXT($A$1,"00"))</f>
        <v>56</v>
      </c>
      <c r="X25" s="297">
        <f>SUMIFS($G:$G,$H:$H,$P25,$F:$F,TEXT(X$5,"00") &amp; "." &amp; TEXT($A$1,"00"))</f>
        <v>0</v>
      </c>
      <c r="Y25" s="297">
        <f>SUMIFS($G:$G,$H:$H,$P25,$F:$F,TEXT(Y$5,"00") &amp; "." &amp; TEXT($A$1,"00"))</f>
        <v>0</v>
      </c>
      <c r="Z25" s="297">
        <f>SUMIFS($G:$G,$H:$H,$P25,$F:$F,TEXT(Z$5,"00") &amp; "." &amp; TEXT($A$1,"00"))</f>
        <v>406</v>
      </c>
      <c r="AA25" s="297">
        <f>SUMIFS($G:$G,$H:$H,$P25,$F:$F,TEXT(AA$5,"00") &amp; "." &amp; TEXT($A$1,"00"))</f>
        <v>0</v>
      </c>
      <c r="AB25" s="297">
        <f>SUMIFS($G:$G,$H:$H,$P25,$F:$F,TEXT(AB$5,"00") &amp; "." &amp; TEXT($A$1,"00"))</f>
        <v>0</v>
      </c>
      <c r="AC25" s="297">
        <f>SUMIFS($G:$G,$H:$H,$P25,$F:$F,TEXT(AC$5,"00") &amp; "." &amp; TEXT($A$1,"00"))</f>
        <v>0</v>
      </c>
      <c r="AD25" s="297">
        <f>SUMIFS($G:$G,$H:$H,$P25,$F:$F,TEXT(AD$5,"00") &amp; "." &amp; TEXT($A$1,"00"))</f>
        <v>37</v>
      </c>
      <c r="AE25" s="297">
        <f>SUMIFS($G:$G,$H:$H,$P25,$F:$F,TEXT(AE$5,"00") &amp; "." &amp; TEXT($A$1,"00"))</f>
        <v>0</v>
      </c>
      <c r="AF25" s="297">
        <f>SUMIFS($G:$G,$H:$H,$P25,$F:$F,TEXT(AF$5,"00") &amp; "." &amp; TEXT($A$1,"00"))</f>
        <v>0</v>
      </c>
      <c r="AG25" s="297">
        <f>SUMIFS($G:$G,$H:$H,$P25,$F:$F,TEXT(AG$5,"00") &amp; "." &amp; TEXT($A$1,"00"))</f>
        <v>0</v>
      </c>
      <c r="AH25" s="297">
        <f>SUMIFS($G:$G,$H:$H,$P25,$F:$F,TEXT(AH$5,"00") &amp; "." &amp; TEXT($A$1,"00"))</f>
        <v>0</v>
      </c>
      <c r="AI25" s="297">
        <f>SUMIFS($G:$G,$H:$H,$P25,$F:$F,TEXT(AI$5,"00") &amp; "." &amp; TEXT($A$1,"00"))</f>
        <v>0</v>
      </c>
      <c r="AJ25" s="297">
        <f>SUMIFS($G:$G,$H:$H,$P25,$F:$F,TEXT(AJ$5,"00") &amp; "." &amp; TEXT($A$1,"00"))</f>
        <v>0</v>
      </c>
      <c r="AK25" s="297">
        <f>SUMIFS($G:$G,$H:$H,$P25,$F:$F,TEXT(AK$5,"00") &amp; "." &amp; TEXT($A$1,"00"))</f>
        <v>0</v>
      </c>
      <c r="AL25" s="297">
        <f>SUMIFS($G:$G,$H:$H,$P25,$F:$F,TEXT(AL$5,"00") &amp; "." &amp; TEXT($A$1,"00"))</f>
        <v>0</v>
      </c>
      <c r="AM25" s="297">
        <f>SUMIFS($G:$G,$H:$H,$P25,$F:$F,TEXT(AM$5,"00") &amp; "." &amp; TEXT($A$1,"00"))</f>
        <v>0</v>
      </c>
      <c r="AN25" s="297">
        <f>SUMIFS($G:$G,$H:$H,$P25,$F:$F,TEXT(AN$5,"00") &amp; "." &amp; TEXT($A$1,"00"))</f>
        <v>0</v>
      </c>
      <c r="AO25" s="297">
        <f>SUMIFS($G:$G,$H:$H,$P25,$F:$F,TEXT(AO$5,"00") &amp; "." &amp; TEXT($A$1,"00"))</f>
        <v>0</v>
      </c>
      <c r="AP25" s="297">
        <f>SUMIFS($G:$G,$H:$H,$P25,$F:$F,TEXT(AP$5,"00") &amp; "." &amp; TEXT($A$1,"00"))</f>
        <v>0</v>
      </c>
      <c r="AQ25" s="297">
        <f>SUMIFS($G:$G,$H:$H,$P25,$F:$F,TEXT(AQ$5,"00") &amp; "." &amp; TEXT($A$1,"00"))</f>
        <v>0</v>
      </c>
      <c r="AR25" s="297">
        <f>SUMIFS($G:$G,$H:$H,$P25,$F:$F,TEXT(AR$5,"00") &amp; "." &amp; TEXT($A$1,"00"))</f>
        <v>40</v>
      </c>
      <c r="AS25" s="297">
        <f>SUMIFS($G:$G,$H:$H,$P25,$F:$F,TEXT(AS$5,"00") &amp; "." &amp; TEXT($A$1,"00"))</f>
        <v>0</v>
      </c>
      <c r="AT25" s="297">
        <f>SUMIFS($G:$G,$H:$H,$P25,$F:$F,TEXT(AT$5,"00") &amp; "." &amp; TEXT($A$1,"00"))</f>
        <v>33</v>
      </c>
      <c r="AU25" s="297">
        <f>SUMIFS($G:$G,$H:$H,$P25,$F:$F,TEXT(AU$5,"00") &amp; "." &amp; TEXT($A$1,"00"))</f>
        <v>0</v>
      </c>
      <c r="AV25" s="297">
        <f>SUMIFS($G:$G,$H:$H,$P25,$F:$F,TEXT(AV$5,"00") &amp; "." &amp; TEXT($A$1,"00"))</f>
        <v>0</v>
      </c>
      <c r="AW25" s="294">
        <f t="shared" si="1"/>
        <v>572</v>
      </c>
    </row>
    <row r="26" spans="1:49" ht="13.5" thickBot="1">
      <c r="A26" s="263" t="s">
        <v>242</v>
      </c>
      <c r="B26" s="258"/>
      <c r="C26" s="258">
        <f ca="1">SUM(C24:C25)</f>
        <v>45009.95</v>
      </c>
      <c r="D26" s="257">
        <f>SUM(D24:D25)</f>
        <v>53324</v>
      </c>
      <c r="G26" s="204">
        <v>53.85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אוכל לילי</v>
      </c>
      <c r="Q26" s="297">
        <f>SUMIFS($G:$G,$H:$H,$P26,$F:$F,"")</f>
        <v>0</v>
      </c>
      <c r="R26" s="297">
        <f>SUMIFS($G:$G,$H:$H,$P26,$F:$F,TEXT(R$5,"00") &amp; "." &amp; TEXT($A$1,"00"))</f>
        <v>0</v>
      </c>
      <c r="S26" s="297">
        <f>SUMIFS($G:$G,$H:$H,$P26,$F:$F,TEXT(S$5,"00") &amp; "." &amp; TEXT($A$1,"00"))</f>
        <v>0</v>
      </c>
      <c r="T26" s="297">
        <f>SUMIFS($G:$G,$H:$H,$P26,$F:$F,TEXT(T$5,"00") &amp; "." &amp; TEXT($A$1,"00"))</f>
        <v>0</v>
      </c>
      <c r="U26" s="297">
        <f>SUMIFS($G:$G,$H:$H,$P26,$F:$F,TEXT(U$5,"00") &amp; "." &amp; TEXT($A$1,"00"))</f>
        <v>0</v>
      </c>
      <c r="V26" s="297">
        <f>SUMIFS($G:$G,$H:$H,$P26,$F:$F,TEXT(V$5,"00") &amp; "." &amp; TEXT($A$1,"00"))</f>
        <v>0</v>
      </c>
      <c r="W26" s="297">
        <f>SUMIFS($G:$G,$H:$H,$P26,$F:$F,TEXT(W$5,"00") &amp; "." &amp; TEXT($A$1,"00"))</f>
        <v>0</v>
      </c>
      <c r="X26" s="297">
        <f>SUMIFS($G:$G,$H:$H,$P26,$F:$F,TEXT(X$5,"00") &amp; "." &amp; TEXT($A$1,"00"))</f>
        <v>0</v>
      </c>
      <c r="Y26" s="297">
        <f>SUMIFS($G:$G,$H:$H,$P26,$F:$F,TEXT(Y$5,"00") &amp; "." &amp; TEXT($A$1,"00"))</f>
        <v>0</v>
      </c>
      <c r="Z26" s="297">
        <f>SUMIFS($G:$G,$H:$H,$P26,$F:$F,TEXT(Z$5,"00") &amp; "." &amp; TEXT($A$1,"00"))</f>
        <v>0</v>
      </c>
      <c r="AA26" s="297">
        <f>SUMIFS($G:$G,$H:$H,$P26,$F:$F,TEXT(AA$5,"00") &amp; "." &amp; TEXT($A$1,"00"))</f>
        <v>0</v>
      </c>
      <c r="AB26" s="297">
        <f>SUMIFS($G:$G,$H:$H,$P26,$F:$F,TEXT(AB$5,"00") &amp; "." &amp; TEXT($A$1,"00"))</f>
        <v>0</v>
      </c>
      <c r="AC26" s="297">
        <f>SUMIFS($G:$G,$H:$H,$P26,$F:$F,TEXT(AC$5,"00") &amp; "." &amp; TEXT($A$1,"00"))</f>
        <v>0</v>
      </c>
      <c r="AD26" s="297">
        <f>SUMIFS($G:$G,$H:$H,$P26,$F:$F,TEXT(AD$5,"00") &amp; "." &amp; TEXT($A$1,"00"))</f>
        <v>40</v>
      </c>
      <c r="AE26" s="297">
        <f>SUMIFS($G:$G,$H:$H,$P26,$F:$F,TEXT(AE$5,"00") &amp; "." &amp; TEXT($A$1,"00"))</f>
        <v>0</v>
      </c>
      <c r="AF26" s="297">
        <f>SUMIFS($G:$G,$H:$H,$P26,$F:$F,TEXT(AF$5,"00") &amp; "." &amp; TEXT($A$1,"00"))</f>
        <v>0</v>
      </c>
      <c r="AG26" s="297">
        <f>SUMIFS($G:$G,$H:$H,$P26,$F:$F,TEXT(AG$5,"00") &amp; "." &amp; TEXT($A$1,"00"))</f>
        <v>140</v>
      </c>
      <c r="AH26" s="297">
        <f>SUMIFS($G:$G,$H:$H,$P26,$F:$F,TEXT(AH$5,"00") &amp; "." &amp; TEXT($A$1,"00"))</f>
        <v>0</v>
      </c>
      <c r="AI26" s="297">
        <f>SUMIFS($G:$G,$H:$H,$P26,$F:$F,TEXT(AI$5,"00") &amp; "." &amp; TEXT($A$1,"00"))</f>
        <v>0</v>
      </c>
      <c r="AJ26" s="297">
        <f>SUMIFS($G:$G,$H:$H,$P26,$F:$F,TEXT(AJ$5,"00") &amp; "." &amp; TEXT($A$1,"00"))</f>
        <v>0</v>
      </c>
      <c r="AK26" s="297">
        <f>SUMIFS($G:$G,$H:$H,$P26,$F:$F,TEXT(AK$5,"00") &amp; "." &amp; TEXT($A$1,"00"))</f>
        <v>0</v>
      </c>
      <c r="AL26" s="297">
        <f>SUMIFS($G:$G,$H:$H,$P26,$F:$F,TEXT(AL$5,"00") &amp; "." &amp; TEXT($A$1,"00"))</f>
        <v>0</v>
      </c>
      <c r="AM26" s="297">
        <f>SUMIFS($G:$G,$H:$H,$P26,$F:$F,TEXT(AM$5,"00") &amp; "." &amp; TEXT($A$1,"00"))</f>
        <v>0</v>
      </c>
      <c r="AN26" s="297">
        <f>SUMIFS($G:$G,$H:$H,$P26,$F:$F,TEXT(AN$5,"00") &amp; "." &amp; TEXT($A$1,"00"))</f>
        <v>0</v>
      </c>
      <c r="AO26" s="297">
        <f>SUMIFS($G:$G,$H:$H,$P26,$F:$F,TEXT(AO$5,"00") &amp; "." &amp; TEXT($A$1,"00"))</f>
        <v>0</v>
      </c>
      <c r="AP26" s="297">
        <f>SUMIFS($G:$G,$H:$H,$P26,$F:$F,TEXT(AP$5,"00") &amp; "." &amp; TEXT($A$1,"00"))</f>
        <v>0</v>
      </c>
      <c r="AQ26" s="297">
        <f>SUMIFS($G:$G,$H:$H,$P26,$F:$F,TEXT(AQ$5,"00") &amp; "." &amp; TEXT($A$1,"00"))</f>
        <v>0</v>
      </c>
      <c r="AR26" s="297">
        <f>SUMIFS($G:$G,$H:$H,$P26,$F:$F,TEXT(AR$5,"00") &amp; "." &amp; TEXT($A$1,"00"))</f>
        <v>0</v>
      </c>
      <c r="AS26" s="297">
        <f>SUMIFS($G:$G,$H:$H,$P26,$F:$F,TEXT(AS$5,"00") &amp; "." &amp; TEXT($A$1,"00"))</f>
        <v>0</v>
      </c>
      <c r="AT26" s="297">
        <f>SUMIFS($G:$G,$H:$H,$P26,$F:$F,TEXT(AT$5,"00") &amp; "." &amp; TEXT($A$1,"00"))</f>
        <v>0</v>
      </c>
      <c r="AU26" s="297">
        <f>SUMIFS($G:$G,$H:$H,$P26,$F:$F,TEXT(AU$5,"00") &amp; "." &amp; TEXT($A$1,"00"))</f>
        <v>0</v>
      </c>
      <c r="AV26" s="297">
        <f>SUMIFS($G:$G,$H:$H,$P26,$F:$F,TEXT(AV$5,"00") &amp; "." &amp; TEXT($A$1,"00"))</f>
        <v>0</v>
      </c>
      <c r="AW26" s="294">
        <f t="shared" si="1"/>
        <v>180</v>
      </c>
    </row>
    <row r="27" spans="1:49" ht="13.5" thickBot="1">
      <c r="A27" s="233"/>
      <c r="B27" s="234"/>
      <c r="C27" s="234"/>
      <c r="D27" s="234"/>
      <c r="G27" s="204">
        <v>260.49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עיתונים ומנויים שונים</v>
      </c>
      <c r="Q27" s="297">
        <f>SUMIFS($G:$G,$H:$H,$P27,$F:$F,"")</f>
        <v>0</v>
      </c>
      <c r="R27" s="297">
        <f>SUMIFS($G:$G,$H:$H,$P27,$F:$F,TEXT(R$5,"00") &amp; "." &amp; TEXT($A$1,"00"))</f>
        <v>0</v>
      </c>
      <c r="S27" s="297">
        <f>SUMIFS($G:$G,$H:$H,$P27,$F:$F,TEXT(S$5,"00") &amp; "." &amp; TEXT($A$1,"00"))</f>
        <v>0</v>
      </c>
      <c r="T27" s="297">
        <f>SUMIFS($G:$G,$H:$H,$P27,$F:$F,TEXT(T$5,"00") &amp; "." &amp; TEXT($A$1,"00"))</f>
        <v>0</v>
      </c>
      <c r="U27" s="297">
        <f>SUMIFS($G:$G,$H:$H,$P27,$F:$F,TEXT(U$5,"00") &amp; "." &amp; TEXT($A$1,"00"))</f>
        <v>0</v>
      </c>
      <c r="V27" s="297">
        <f>SUMIFS($G:$G,$H:$H,$P27,$F:$F,TEXT(V$5,"00") &amp; "." &amp; TEXT($A$1,"00"))</f>
        <v>0</v>
      </c>
      <c r="W27" s="297">
        <f>SUMIFS($G:$G,$H:$H,$P27,$F:$F,TEXT(W$5,"00") &amp; "." &amp; TEXT($A$1,"00"))</f>
        <v>0</v>
      </c>
      <c r="X27" s="297">
        <f>SUMIFS($G:$G,$H:$H,$P27,$F:$F,TEXT(X$5,"00") &amp; "." &amp; TEXT($A$1,"00"))</f>
        <v>0</v>
      </c>
      <c r="Y27" s="297">
        <f>SUMIFS($G:$G,$H:$H,$P27,$F:$F,TEXT(Y$5,"00") &amp; "." &amp; TEXT($A$1,"00"))</f>
        <v>0</v>
      </c>
      <c r="Z27" s="297">
        <f>SUMIFS($G:$G,$H:$H,$P27,$F:$F,TEXT(Z$5,"00") &amp; "." &amp; TEXT($A$1,"00"))</f>
        <v>0</v>
      </c>
      <c r="AA27" s="297">
        <f>SUMIFS($G:$G,$H:$H,$P27,$F:$F,TEXT(AA$5,"00") &amp; "." &amp; TEXT($A$1,"00"))</f>
        <v>0</v>
      </c>
      <c r="AB27" s="297">
        <f>SUMIFS($G:$G,$H:$H,$P27,$F:$F,TEXT(AB$5,"00") &amp; "." &amp; TEXT($A$1,"00"))</f>
        <v>0</v>
      </c>
      <c r="AC27" s="297">
        <f>SUMIFS($G:$G,$H:$H,$P27,$F:$F,TEXT(AC$5,"00") &amp; "." &amp; TEXT($A$1,"00"))</f>
        <v>0</v>
      </c>
      <c r="AD27" s="297">
        <f>SUMIFS($G:$G,$H:$H,$P27,$F:$F,TEXT(AD$5,"00") &amp; "." &amp; TEXT($A$1,"00"))</f>
        <v>0</v>
      </c>
      <c r="AE27" s="297">
        <f>SUMIFS($G:$G,$H:$H,$P27,$F:$F,TEXT(AE$5,"00") &amp; "." &amp; TEXT($A$1,"00"))</f>
        <v>0</v>
      </c>
      <c r="AF27" s="297">
        <f>SUMIFS($G:$G,$H:$H,$P27,$F:$F,TEXT(AF$5,"00") &amp; "." &amp; TEXT($A$1,"00"))</f>
        <v>0</v>
      </c>
      <c r="AG27" s="297">
        <f>SUMIFS($G:$G,$H:$H,$P27,$F:$F,TEXT(AG$5,"00") &amp; "." &amp; TEXT($A$1,"00"))</f>
        <v>0</v>
      </c>
      <c r="AH27" s="297">
        <f>SUMIFS($G:$G,$H:$H,$P27,$F:$F,TEXT(AH$5,"00") &amp; "." &amp; TEXT($A$1,"00"))</f>
        <v>0</v>
      </c>
      <c r="AI27" s="297">
        <f>SUMIFS($G:$G,$H:$H,$P27,$F:$F,TEXT(AI$5,"00") &amp; "." &amp; TEXT($A$1,"00"))</f>
        <v>0</v>
      </c>
      <c r="AJ27" s="297">
        <f>SUMIFS($G:$G,$H:$H,$P27,$F:$F,TEXT(AJ$5,"00") &amp; "." &amp; TEXT($A$1,"00"))</f>
        <v>0</v>
      </c>
      <c r="AK27" s="297">
        <f>SUMIFS($G:$G,$H:$H,$P27,$F:$F,TEXT(AK$5,"00") &amp; "." &amp; TEXT($A$1,"00"))</f>
        <v>0</v>
      </c>
      <c r="AL27" s="297">
        <f>SUMIFS($G:$G,$H:$H,$P27,$F:$F,TEXT(AL$5,"00") &amp; "." &amp; TEXT($A$1,"00"))</f>
        <v>0</v>
      </c>
      <c r="AM27" s="297">
        <f>SUMIFS($G:$G,$H:$H,$P27,$F:$F,TEXT(AM$5,"00") &amp; "." &amp; TEXT($A$1,"00"))</f>
        <v>0</v>
      </c>
      <c r="AN27" s="297">
        <f>SUMIFS($G:$G,$H:$H,$P27,$F:$F,TEXT(AN$5,"00") &amp; "." &amp; TEXT($A$1,"00"))</f>
        <v>0</v>
      </c>
      <c r="AO27" s="297">
        <f>SUMIFS($G:$G,$H:$H,$P27,$F:$F,TEXT(AO$5,"00") &amp; "." &amp; TEXT($A$1,"00"))</f>
        <v>0</v>
      </c>
      <c r="AP27" s="297">
        <f>SUMIFS($G:$G,$H:$H,$P27,$F:$F,TEXT(AP$5,"00") &amp; "." &amp; TEXT($A$1,"00"))</f>
        <v>0</v>
      </c>
      <c r="AQ27" s="297">
        <f>SUMIFS($G:$G,$H:$H,$P27,$F:$F,TEXT(AQ$5,"00") &amp; "." &amp; TEXT($A$1,"00"))</f>
        <v>0</v>
      </c>
      <c r="AR27" s="297">
        <f>SUMIFS($G:$G,$H:$H,$P27,$F:$F,TEXT(AR$5,"00") &amp; "." &amp; TEXT($A$1,"00"))</f>
        <v>0</v>
      </c>
      <c r="AS27" s="297">
        <f>SUMIFS($G:$G,$H:$H,$P27,$F:$F,TEXT(AS$5,"00") &amp; "." &amp; TEXT($A$1,"00"))</f>
        <v>0</v>
      </c>
      <c r="AT27" s="297">
        <f>SUMIFS($G:$G,$H:$H,$P27,$F:$F,TEXT(AT$5,"00") &amp; "." &amp; TEXT($A$1,"00"))</f>
        <v>0</v>
      </c>
      <c r="AU27" s="297">
        <f>SUMIFS($G:$G,$H:$H,$P27,$F:$F,TEXT(AU$5,"00") &amp; "." &amp; TEXT($A$1,"00"))</f>
        <v>0</v>
      </c>
      <c r="AV27" s="297">
        <f>SUMIFS($G:$G,$H:$H,$P27,$F:$F,TEXT(AV$5,"00") &amp; "." &amp; TEXT($A$1,"00"))</f>
        <v>0</v>
      </c>
      <c r="AW27" s="294">
        <f t="shared" si="1"/>
        <v>0</v>
      </c>
    </row>
    <row r="28" spans="1:49">
      <c r="A28" s="467" t="s">
        <v>28</v>
      </c>
      <c r="B28" s="239" t="s">
        <v>29</v>
      </c>
      <c r="C28" s="239">
        <f ca="1">'3'!C29</f>
        <v>183642.87999999995</v>
      </c>
      <c r="D28" s="240">
        <f ca="1">'3'!D29</f>
        <v>5290.75</v>
      </c>
      <c r="G28" s="204">
        <v>276.16000000000003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אירועים ומתנות</v>
      </c>
      <c r="Q28" s="297">
        <f>SUMIFS($G:$G,$H:$H,$P28,$F:$F,"")</f>
        <v>0</v>
      </c>
      <c r="R28" s="297">
        <f>SUMIFS($G:$G,$H:$H,$P28,$F:$F,TEXT(R$5,"00") &amp; "." &amp; TEXT($A$1,"00"))</f>
        <v>0</v>
      </c>
      <c r="S28" s="297">
        <f>SUMIFS($G:$G,$H:$H,$P28,$F:$F,TEXT(S$5,"00") &amp; "." &amp; TEXT($A$1,"00"))</f>
        <v>0</v>
      </c>
      <c r="T28" s="297">
        <f>SUMIFS($G:$G,$H:$H,$P28,$F:$F,TEXT(T$5,"00") &amp; "." &amp; TEXT($A$1,"00"))</f>
        <v>0</v>
      </c>
      <c r="U28" s="297">
        <f>SUMIFS($G:$G,$H:$H,$P28,$F:$F,TEXT(U$5,"00") &amp; "." &amp; TEXT($A$1,"00"))</f>
        <v>0</v>
      </c>
      <c r="V28" s="297">
        <f>SUMIFS($G:$G,$H:$H,$P28,$F:$F,TEXT(V$5,"00") &amp; "." &amp; TEXT($A$1,"00"))</f>
        <v>0</v>
      </c>
      <c r="W28" s="297">
        <f>SUMIFS($G:$G,$H:$H,$P28,$F:$F,TEXT(W$5,"00") &amp; "." &amp; TEXT($A$1,"00"))</f>
        <v>0</v>
      </c>
      <c r="X28" s="297">
        <f>SUMIFS($G:$G,$H:$H,$P28,$F:$F,TEXT(X$5,"00") &amp; "." &amp; TEXT($A$1,"00"))</f>
        <v>0</v>
      </c>
      <c r="Y28" s="297">
        <f>SUMIFS($G:$G,$H:$H,$P28,$F:$F,TEXT(Y$5,"00") &amp; "." &amp; TEXT($A$1,"00"))</f>
        <v>0</v>
      </c>
      <c r="Z28" s="297">
        <f>SUMIFS($G:$G,$H:$H,$P28,$F:$F,TEXT(Z$5,"00") &amp; "." &amp; TEXT($A$1,"00"))</f>
        <v>0</v>
      </c>
      <c r="AA28" s="297">
        <f>SUMIFS($G:$G,$H:$H,$P28,$F:$F,TEXT(AA$5,"00") &amp; "." &amp; TEXT($A$1,"00"))</f>
        <v>0</v>
      </c>
      <c r="AB28" s="297">
        <f>SUMIFS($G:$G,$H:$H,$P28,$F:$F,TEXT(AB$5,"00") &amp; "." &amp; TEXT($A$1,"00"))</f>
        <v>0</v>
      </c>
      <c r="AC28" s="297">
        <f>SUMIFS($G:$G,$H:$H,$P28,$F:$F,TEXT(AC$5,"00") &amp; "." &amp; TEXT($A$1,"00"))</f>
        <v>0</v>
      </c>
      <c r="AD28" s="297">
        <f>SUMIFS($G:$G,$H:$H,$P28,$F:$F,TEXT(AD$5,"00") &amp; "." &amp; TEXT($A$1,"00"))</f>
        <v>0</v>
      </c>
      <c r="AE28" s="297">
        <f>SUMIFS($G:$G,$H:$H,$P28,$F:$F,TEXT(AE$5,"00") &amp; "." &amp; TEXT($A$1,"00"))</f>
        <v>0</v>
      </c>
      <c r="AF28" s="297">
        <f>SUMIFS($G:$G,$H:$H,$P28,$F:$F,TEXT(AF$5,"00") &amp; "." &amp; TEXT($A$1,"00"))</f>
        <v>518.9</v>
      </c>
      <c r="AG28" s="297">
        <f>SUMIFS($G:$G,$H:$H,$P28,$F:$F,TEXT(AG$5,"00") &amp; "." &amp; TEXT($A$1,"00"))</f>
        <v>0</v>
      </c>
      <c r="AH28" s="297">
        <f>SUMIFS($G:$G,$H:$H,$P28,$F:$F,TEXT(AH$5,"00") &amp; "." &amp; TEXT($A$1,"00"))</f>
        <v>0</v>
      </c>
      <c r="AI28" s="297">
        <f>SUMIFS($G:$G,$H:$H,$P28,$F:$F,TEXT(AI$5,"00") &amp; "." &amp; TEXT($A$1,"00"))</f>
        <v>0</v>
      </c>
      <c r="AJ28" s="297">
        <f>SUMIFS($G:$G,$H:$H,$P28,$F:$F,TEXT(AJ$5,"00") &amp; "." &amp; TEXT($A$1,"00"))</f>
        <v>0</v>
      </c>
      <c r="AK28" s="297">
        <f>SUMIFS($G:$G,$H:$H,$P28,$F:$F,TEXT(AK$5,"00") &amp; "." &amp; TEXT($A$1,"00"))</f>
        <v>0</v>
      </c>
      <c r="AL28" s="297">
        <f>SUMIFS($G:$G,$H:$H,$P28,$F:$F,TEXT(AL$5,"00") &amp; "." &amp; TEXT($A$1,"00"))</f>
        <v>0</v>
      </c>
      <c r="AM28" s="297">
        <f>SUMIFS($G:$G,$H:$H,$P28,$F:$F,TEXT(AM$5,"00") &amp; "." &amp; TEXT($A$1,"00"))</f>
        <v>0</v>
      </c>
      <c r="AN28" s="297">
        <f>SUMIFS($G:$G,$H:$H,$P28,$F:$F,TEXT(AN$5,"00") &amp; "." &amp; TEXT($A$1,"00"))</f>
        <v>0</v>
      </c>
      <c r="AO28" s="297">
        <f>SUMIFS($G:$G,$H:$H,$P28,$F:$F,TEXT(AO$5,"00") &amp; "." &amp; TEXT($A$1,"00"))</f>
        <v>77</v>
      </c>
      <c r="AP28" s="297">
        <f>SUMIFS($G:$G,$H:$H,$P28,$F:$F,TEXT(AP$5,"00") &amp; "." &amp; TEXT($A$1,"00"))</f>
        <v>70</v>
      </c>
      <c r="AQ28" s="297">
        <f>SUMIFS($G:$G,$H:$H,$P28,$F:$F,TEXT(AQ$5,"00") &amp; "." &amp; TEXT($A$1,"00"))</f>
        <v>0</v>
      </c>
      <c r="AR28" s="297">
        <f>SUMIFS($G:$G,$H:$H,$P28,$F:$F,TEXT(AR$5,"00") &amp; "." &amp; TEXT($A$1,"00"))</f>
        <v>0</v>
      </c>
      <c r="AS28" s="297">
        <f>SUMIFS($G:$G,$H:$H,$P28,$F:$F,TEXT(AS$5,"00") &amp; "." &amp; TEXT($A$1,"00"))</f>
        <v>450</v>
      </c>
      <c r="AT28" s="297">
        <f>SUMIFS($G:$G,$H:$H,$P28,$F:$F,TEXT(AT$5,"00") &amp; "." &amp; TEXT($A$1,"00"))</f>
        <v>0</v>
      </c>
      <c r="AU28" s="297">
        <f>SUMIFS($G:$G,$H:$H,$P28,$F:$F,TEXT(AU$5,"00") &amp; "." &amp; TEXT($A$1,"00"))</f>
        <v>0</v>
      </c>
      <c r="AV28" s="297">
        <f>SUMIFS($G:$G,$H:$H,$P28,$F:$F,TEXT(AV$5,"00") &amp; "." &amp; TEXT($A$1,"00"))</f>
        <v>0</v>
      </c>
      <c r="AW28" s="294">
        <f t="shared" si="1"/>
        <v>1115.9000000000001</v>
      </c>
    </row>
    <row r="29" spans="1:49">
      <c r="A29" s="468"/>
      <c r="B29" s="204" t="s">
        <v>30</v>
      </c>
      <c r="C29" s="241">
        <f ca="1">C28+C24-C18</f>
        <v>372054.93999999994</v>
      </c>
      <c r="D29" s="242">
        <f ca="1">D28+D24-D18</f>
        <v>1724.7200000000012</v>
      </c>
      <c r="G29" s="204">
        <v>191.76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לימודים וקורסים</v>
      </c>
      <c r="Q29" s="297">
        <f>SUMIFS($G:$G,$H:$H,$P29,$F:$F,"")</f>
        <v>1106.25</v>
      </c>
      <c r="R29" s="297">
        <f>SUMIFS($G:$G,$H:$H,$P29,$F:$F,TEXT(R$5,"00") &amp; "." &amp; TEXT($A$1,"00"))</f>
        <v>0</v>
      </c>
      <c r="S29" s="297">
        <f>SUMIFS($G:$G,$H:$H,$P29,$F:$F,TEXT(S$5,"00") &amp; "." &amp; TEXT($A$1,"00"))</f>
        <v>0</v>
      </c>
      <c r="T29" s="297">
        <f>SUMIFS($G:$G,$H:$H,$P29,$F:$F,TEXT(T$5,"00") &amp; "." &amp; TEXT($A$1,"00"))</f>
        <v>0</v>
      </c>
      <c r="U29" s="297">
        <f>SUMIFS($G:$G,$H:$H,$P29,$F:$F,TEXT(U$5,"00") &amp; "." &amp; TEXT($A$1,"00"))</f>
        <v>0</v>
      </c>
      <c r="V29" s="297">
        <f>SUMIFS($G:$G,$H:$H,$P29,$F:$F,TEXT(V$5,"00") &amp; "." &amp; TEXT($A$1,"00"))</f>
        <v>0</v>
      </c>
      <c r="W29" s="297">
        <f>SUMIFS($G:$G,$H:$H,$P29,$F:$F,TEXT(W$5,"00") &amp; "." &amp; TEXT($A$1,"00"))</f>
        <v>0</v>
      </c>
      <c r="X29" s="297">
        <f>SUMIFS($G:$G,$H:$H,$P29,$F:$F,TEXT(X$5,"00") &amp; "." &amp; TEXT($A$1,"00"))</f>
        <v>0</v>
      </c>
      <c r="Y29" s="297">
        <f>SUMIFS($G:$G,$H:$H,$P29,$F:$F,TEXT(Y$5,"00") &amp; "." &amp; TEXT($A$1,"00"))</f>
        <v>0</v>
      </c>
      <c r="Z29" s="297">
        <f>SUMIFS($G:$G,$H:$H,$P29,$F:$F,TEXT(Z$5,"00") &amp; "." &amp; TEXT($A$1,"00"))</f>
        <v>0</v>
      </c>
      <c r="AA29" s="297">
        <f>SUMIFS($G:$G,$H:$H,$P29,$F:$F,TEXT(AA$5,"00") &amp; "." &amp; TEXT($A$1,"00"))</f>
        <v>0</v>
      </c>
      <c r="AB29" s="297">
        <f>SUMIFS($G:$G,$H:$H,$P29,$F:$F,TEXT(AB$5,"00") &amp; "." &amp; TEXT($A$1,"00"))</f>
        <v>0</v>
      </c>
      <c r="AC29" s="297">
        <f>SUMIFS($G:$G,$H:$H,$P29,$F:$F,TEXT(AC$5,"00") &amp; "." &amp; TEXT($A$1,"00"))</f>
        <v>0</v>
      </c>
      <c r="AD29" s="297">
        <f>SUMIFS($G:$G,$H:$H,$P29,$F:$F,TEXT(AD$5,"00") &amp; "." &amp; TEXT($A$1,"00"))</f>
        <v>0</v>
      </c>
      <c r="AE29" s="297">
        <f>SUMIFS($G:$G,$H:$H,$P29,$F:$F,TEXT(AE$5,"00") &amp; "." &amp; TEXT($A$1,"00"))</f>
        <v>0</v>
      </c>
      <c r="AF29" s="297">
        <f>SUMIFS($G:$G,$H:$H,$P29,$F:$F,TEXT(AF$5,"00") &amp; "." &amp; TEXT($A$1,"00"))</f>
        <v>0</v>
      </c>
      <c r="AG29" s="297">
        <f>SUMIFS($G:$G,$H:$H,$P29,$F:$F,TEXT(AG$5,"00") &amp; "." &amp; TEXT($A$1,"00"))</f>
        <v>0</v>
      </c>
      <c r="AH29" s="297">
        <f>SUMIFS($G:$G,$H:$H,$P29,$F:$F,TEXT(AH$5,"00") &amp; "." &amp; TEXT($A$1,"00"))</f>
        <v>0</v>
      </c>
      <c r="AI29" s="297">
        <f>SUMIFS($G:$G,$H:$H,$P29,$F:$F,TEXT(AI$5,"00") &amp; "." &amp; TEXT($A$1,"00"))</f>
        <v>0</v>
      </c>
      <c r="AJ29" s="297">
        <f>SUMIFS($G:$G,$H:$H,$P29,$F:$F,TEXT(AJ$5,"00") &amp; "." &amp; TEXT($A$1,"00"))</f>
        <v>0</v>
      </c>
      <c r="AK29" s="297">
        <f>SUMIFS($G:$G,$H:$H,$P29,$F:$F,TEXT(AK$5,"00") &amp; "." &amp; TEXT($A$1,"00"))</f>
        <v>0</v>
      </c>
      <c r="AL29" s="297">
        <f>SUMIFS($G:$G,$H:$H,$P29,$F:$F,TEXT(AL$5,"00") &amp; "." &amp; TEXT($A$1,"00"))</f>
        <v>0</v>
      </c>
      <c r="AM29" s="297">
        <f>SUMIFS($G:$G,$H:$H,$P29,$F:$F,TEXT(AM$5,"00") &amp; "." &amp; TEXT($A$1,"00"))</f>
        <v>0</v>
      </c>
      <c r="AN29" s="297">
        <f>SUMIFS($G:$G,$H:$H,$P29,$F:$F,TEXT(AN$5,"00") &amp; "." &amp; TEXT($A$1,"00"))</f>
        <v>0</v>
      </c>
      <c r="AO29" s="297">
        <f>SUMIFS($G:$G,$H:$H,$P29,$F:$F,TEXT(AO$5,"00") &amp; "." &amp; TEXT($A$1,"00"))</f>
        <v>0</v>
      </c>
      <c r="AP29" s="297">
        <f>SUMIFS($G:$G,$H:$H,$P29,$F:$F,TEXT(AP$5,"00") &amp; "." &amp; TEXT($A$1,"00"))</f>
        <v>0</v>
      </c>
      <c r="AQ29" s="297">
        <f>SUMIFS($G:$G,$H:$H,$P29,$F:$F,TEXT(AQ$5,"00") &amp; "." &amp; TEXT($A$1,"00"))</f>
        <v>0</v>
      </c>
      <c r="AR29" s="297">
        <f>SUMIFS($G:$G,$H:$H,$P29,$F:$F,TEXT(AR$5,"00") &amp; "." &amp; TEXT($A$1,"00"))</f>
        <v>0</v>
      </c>
      <c r="AS29" s="297">
        <f>SUMIFS($G:$G,$H:$H,$P29,$F:$F,TEXT(AS$5,"00") &amp; "." &amp; TEXT($A$1,"00"))</f>
        <v>0</v>
      </c>
      <c r="AT29" s="297">
        <f>SUMIFS($G:$G,$H:$H,$P29,$F:$F,TEXT(AT$5,"00") &amp; "." &amp; TEXT($A$1,"00"))</f>
        <v>0</v>
      </c>
      <c r="AU29" s="297">
        <f>SUMIFS($G:$G,$H:$H,$P29,$F:$F,TEXT(AU$5,"00") &amp; "." &amp; TEXT($A$1,"00"))</f>
        <v>0</v>
      </c>
      <c r="AV29" s="297">
        <f>SUMIFS($G:$G,$H:$H,$P29,$F:$F,TEXT(AV$5,"00") &amp; "." &amp; TEXT($A$1,"00"))</f>
        <v>0</v>
      </c>
      <c r="AW29" s="294">
        <f t="shared" si="1"/>
        <v>1106.25</v>
      </c>
    </row>
    <row r="30" spans="1:49">
      <c r="A30" s="243" t="s">
        <v>31</v>
      </c>
      <c r="B30" s="204" t="s">
        <v>32</v>
      </c>
      <c r="C30" s="204">
        <f ca="1">SUM(Data!$B$2+C29)</f>
        <v>407054.93999999994</v>
      </c>
      <c r="D30" s="244">
        <f ca="1">SUM(Data!$B$3+D29)</f>
        <v>11724.720000000001</v>
      </c>
      <c r="G30" s="204">
        <v>274.38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אחר</v>
      </c>
      <c r="Q30" s="297">
        <f>SUMIFS($G:$G,$H:$H,$P30,$F:$F,"")</f>
        <v>0</v>
      </c>
      <c r="R30" s="297">
        <f>SUMIFS($G:$G,$H:$H,$P30,$F:$F,TEXT(R$5,"00") &amp; "." &amp; TEXT($A$1,"00"))</f>
        <v>0</v>
      </c>
      <c r="S30" s="297">
        <f>SUMIFS($G:$G,$H:$H,$P30,$F:$F,TEXT(S$5,"00") &amp; "." &amp; TEXT($A$1,"00"))</f>
        <v>0</v>
      </c>
      <c r="T30" s="297">
        <f>SUMIFS($G:$G,$H:$H,$P30,$F:$F,TEXT(T$5,"00") &amp; "." &amp; TEXT($A$1,"00"))</f>
        <v>0</v>
      </c>
      <c r="U30" s="297">
        <f>SUMIFS($G:$G,$H:$H,$P30,$F:$F,TEXT(U$5,"00") &amp; "." &amp; TEXT($A$1,"00"))</f>
        <v>0</v>
      </c>
      <c r="V30" s="297">
        <f>SUMIFS($G:$G,$H:$H,$P30,$F:$F,TEXT(V$5,"00") &amp; "." &amp; TEXT($A$1,"00"))</f>
        <v>0</v>
      </c>
      <c r="W30" s="297">
        <f>SUMIFS($G:$G,$H:$H,$P30,$F:$F,TEXT(W$5,"00") &amp; "." &amp; TEXT($A$1,"00"))</f>
        <v>0</v>
      </c>
      <c r="X30" s="297">
        <f>SUMIFS($G:$G,$H:$H,$P30,$F:$F,TEXT(X$5,"00") &amp; "." &amp; TEXT($A$1,"00"))</f>
        <v>0</v>
      </c>
      <c r="Y30" s="297">
        <f>SUMIFS($G:$G,$H:$H,$P30,$F:$F,TEXT(Y$5,"00") &amp; "." &amp; TEXT($A$1,"00"))</f>
        <v>0</v>
      </c>
      <c r="Z30" s="297">
        <f>SUMIFS($G:$G,$H:$H,$P30,$F:$F,TEXT(Z$5,"00") &amp; "." &amp; TEXT($A$1,"00"))</f>
        <v>0</v>
      </c>
      <c r="AA30" s="297">
        <f>SUMIFS($G:$G,$H:$H,$P30,$F:$F,TEXT(AA$5,"00") &amp; "." &amp; TEXT($A$1,"00"))</f>
        <v>0</v>
      </c>
      <c r="AB30" s="297">
        <f>SUMIFS($G:$G,$H:$H,$P30,$F:$F,TEXT(AB$5,"00") &amp; "." &amp; TEXT($A$1,"00"))</f>
        <v>0</v>
      </c>
      <c r="AC30" s="297">
        <f>SUMIFS($G:$G,$H:$H,$P30,$F:$F,TEXT(AC$5,"00") &amp; "." &amp; TEXT($A$1,"00"))</f>
        <v>0</v>
      </c>
      <c r="AD30" s="297">
        <f>SUMIFS($G:$G,$H:$H,$P30,$F:$F,TEXT(AD$5,"00") &amp; "." &amp; TEXT($A$1,"00"))</f>
        <v>0</v>
      </c>
      <c r="AE30" s="297">
        <f>SUMIFS($G:$G,$H:$H,$P30,$F:$F,TEXT(AE$5,"00") &amp; "." &amp; TEXT($A$1,"00"))</f>
        <v>0</v>
      </c>
      <c r="AF30" s="297">
        <f>SUMIFS($G:$G,$H:$H,$P30,$F:$F,TEXT(AF$5,"00") &amp; "." &amp; TEXT($A$1,"00"))</f>
        <v>0</v>
      </c>
      <c r="AG30" s="297">
        <f>SUMIFS($G:$G,$H:$H,$P30,$F:$F,TEXT(AG$5,"00") &amp; "." &amp; TEXT($A$1,"00"))</f>
        <v>0</v>
      </c>
      <c r="AH30" s="297">
        <f>SUMIFS($G:$G,$H:$H,$P30,$F:$F,TEXT(AH$5,"00") &amp; "." &amp; TEXT($A$1,"00"))</f>
        <v>0</v>
      </c>
      <c r="AI30" s="297">
        <f>SUMIFS($G:$G,$H:$H,$P30,$F:$F,TEXT(AI$5,"00") &amp; "." &amp; TEXT($A$1,"00"))</f>
        <v>0</v>
      </c>
      <c r="AJ30" s="297">
        <f>SUMIFS($G:$G,$H:$H,$P30,$F:$F,TEXT(AJ$5,"00") &amp; "." &amp; TEXT($A$1,"00"))</f>
        <v>0</v>
      </c>
      <c r="AK30" s="297">
        <f>SUMIFS($G:$G,$H:$H,$P30,$F:$F,TEXT(AK$5,"00") &amp; "." &amp; TEXT($A$1,"00"))</f>
        <v>0</v>
      </c>
      <c r="AL30" s="297">
        <f>SUMIFS($G:$G,$H:$H,$P30,$F:$F,TEXT(AL$5,"00") &amp; "." &amp; TEXT($A$1,"00"))</f>
        <v>0</v>
      </c>
      <c r="AM30" s="297">
        <f>SUMIFS($G:$G,$H:$H,$P30,$F:$F,TEXT(AM$5,"00") &amp; "." &amp; TEXT($A$1,"00"))</f>
        <v>0</v>
      </c>
      <c r="AN30" s="297">
        <f>SUMIFS($G:$G,$H:$H,$P30,$F:$F,TEXT(AN$5,"00") &amp; "." &amp; TEXT($A$1,"00"))</f>
        <v>0</v>
      </c>
      <c r="AO30" s="297">
        <f>SUMIFS($G:$G,$H:$H,$P30,$F:$F,TEXT(AO$5,"00") &amp; "." &amp; TEXT($A$1,"00"))</f>
        <v>0</v>
      </c>
      <c r="AP30" s="297">
        <f>SUMIFS($G:$G,$H:$H,$P30,$F:$F,TEXT(AP$5,"00") &amp; "." &amp; TEXT($A$1,"00"))</f>
        <v>0</v>
      </c>
      <c r="AQ30" s="297">
        <f>SUMIFS($G:$G,$H:$H,$P30,$F:$F,TEXT(AQ$5,"00") &amp; "." &amp; TEXT($A$1,"00"))</f>
        <v>0</v>
      </c>
      <c r="AR30" s="297">
        <f>SUMIFS($G:$G,$H:$H,$P30,$F:$F,TEXT(AR$5,"00") &amp; "." &amp; TEXT($A$1,"00"))</f>
        <v>0</v>
      </c>
      <c r="AS30" s="297">
        <f>SUMIFS($G:$G,$H:$H,$P30,$F:$F,TEXT(AS$5,"00") &amp; "." &amp; TEXT($A$1,"00"))</f>
        <v>0</v>
      </c>
      <c r="AT30" s="297">
        <f>SUMIFS($G:$G,$H:$H,$P30,$F:$F,TEXT(AT$5,"00") &amp; "." &amp; TEXT($A$1,"00"))</f>
        <v>0</v>
      </c>
      <c r="AU30" s="297">
        <f>SUMIFS($G:$G,$H:$H,$P30,$F:$F,TEXT(AU$5,"00") &amp; "." &amp; TEXT($A$1,"00"))</f>
        <v>0</v>
      </c>
      <c r="AV30" s="297">
        <f>SUMIFS($G:$G,$H:$H,$P30,$F:$F,TEXT(AV$5,"00") &amp; "." &amp; TEXT($A$1,"00"))</f>
        <v>0</v>
      </c>
      <c r="AW30" s="294">
        <f t="shared" si="1"/>
        <v>0</v>
      </c>
    </row>
    <row r="31" spans="1:49">
      <c r="A31" s="463" t="s">
        <v>14</v>
      </c>
      <c r="B31" s="204" t="s">
        <v>33</v>
      </c>
      <c r="C31" s="204">
        <f ca="1">SUM(C29+C16-C28+C15)</f>
        <v>188912.06</v>
      </c>
      <c r="D31" s="244">
        <f ca="1">SUM(D29+D16-D28)</f>
        <v>-3566.0299999999988</v>
      </c>
      <c r="G31" s="204">
        <v>278.83999999999997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אחר</v>
      </c>
      <c r="Q31" s="297">
        <f>SUMIFS($G:$G,$H:$H,$P31,$F:$F,"")</f>
        <v>0</v>
      </c>
      <c r="R31" s="297">
        <f>SUMIFS($G:$G,$H:$H,$P31,$F:$F,TEXT(R$5,"00") &amp; "." &amp; TEXT($A$1,"00"))</f>
        <v>0</v>
      </c>
      <c r="S31" s="297">
        <f>SUMIFS($G:$G,$H:$H,$P31,$F:$F,TEXT(S$5,"00") &amp; "." &amp; TEXT($A$1,"00"))</f>
        <v>0</v>
      </c>
      <c r="T31" s="297">
        <f>SUMIFS($G:$G,$H:$H,$P31,$F:$F,TEXT(T$5,"00") &amp; "." &amp; TEXT($A$1,"00"))</f>
        <v>0</v>
      </c>
      <c r="U31" s="297">
        <f>SUMIFS($G:$G,$H:$H,$P31,$F:$F,TEXT(U$5,"00") &amp; "." &amp; TEXT($A$1,"00"))</f>
        <v>0</v>
      </c>
      <c r="V31" s="297">
        <f>SUMIFS($G:$G,$H:$H,$P31,$F:$F,TEXT(V$5,"00") &amp; "." &amp; TEXT($A$1,"00"))</f>
        <v>0</v>
      </c>
      <c r="W31" s="297">
        <f>SUMIFS($G:$G,$H:$H,$P31,$F:$F,TEXT(W$5,"00") &amp; "." &amp; TEXT($A$1,"00"))</f>
        <v>0</v>
      </c>
      <c r="X31" s="297">
        <f>SUMIFS($G:$G,$H:$H,$P31,$F:$F,TEXT(X$5,"00") &amp; "." &amp; TEXT($A$1,"00"))</f>
        <v>0</v>
      </c>
      <c r="Y31" s="297">
        <f>SUMIFS($G:$G,$H:$H,$P31,$F:$F,TEXT(Y$5,"00") &amp; "." &amp; TEXT($A$1,"00"))</f>
        <v>0</v>
      </c>
      <c r="Z31" s="297">
        <f>SUMIFS($G:$G,$H:$H,$P31,$F:$F,TEXT(Z$5,"00") &amp; "." &amp; TEXT($A$1,"00"))</f>
        <v>0</v>
      </c>
      <c r="AA31" s="297">
        <f>SUMIFS($G:$G,$H:$H,$P31,$F:$F,TEXT(AA$5,"00") &amp; "." &amp; TEXT($A$1,"00"))</f>
        <v>0</v>
      </c>
      <c r="AB31" s="297">
        <f>SUMIFS($G:$G,$H:$H,$P31,$F:$F,TEXT(AB$5,"00") &amp; "." &amp; TEXT($A$1,"00"))</f>
        <v>0</v>
      </c>
      <c r="AC31" s="297">
        <f>SUMIFS($G:$G,$H:$H,$P31,$F:$F,TEXT(AC$5,"00") &amp; "." &amp; TEXT($A$1,"00"))</f>
        <v>0</v>
      </c>
      <c r="AD31" s="297">
        <f>SUMIFS($G:$G,$H:$H,$P31,$F:$F,TEXT(AD$5,"00") &amp; "." &amp; TEXT($A$1,"00"))</f>
        <v>0</v>
      </c>
      <c r="AE31" s="297">
        <f>SUMIFS($G:$G,$H:$H,$P31,$F:$F,TEXT(AE$5,"00") &amp; "." &amp; TEXT($A$1,"00"))</f>
        <v>0</v>
      </c>
      <c r="AF31" s="297">
        <f>SUMIFS($G:$G,$H:$H,$P31,$F:$F,TEXT(AF$5,"00") &amp; "." &amp; TEXT($A$1,"00"))</f>
        <v>0</v>
      </c>
      <c r="AG31" s="297">
        <f>SUMIFS($G:$G,$H:$H,$P31,$F:$F,TEXT(AG$5,"00") &amp; "." &amp; TEXT($A$1,"00"))</f>
        <v>0</v>
      </c>
      <c r="AH31" s="297">
        <f>SUMIFS($G:$G,$H:$H,$P31,$F:$F,TEXT(AH$5,"00") &amp; "." &amp; TEXT($A$1,"00"))</f>
        <v>0</v>
      </c>
      <c r="AI31" s="297">
        <f>SUMIFS($G:$G,$H:$H,$P31,$F:$F,TEXT(AI$5,"00") &amp; "." &amp; TEXT($A$1,"00"))</f>
        <v>0</v>
      </c>
      <c r="AJ31" s="297">
        <f>SUMIFS($G:$G,$H:$H,$P31,$F:$F,TEXT(AJ$5,"00") &amp; "." &amp; TEXT($A$1,"00"))</f>
        <v>0</v>
      </c>
      <c r="AK31" s="297">
        <f>SUMIFS($G:$G,$H:$H,$P31,$F:$F,TEXT(AK$5,"00") &amp; "." &amp; TEXT($A$1,"00"))</f>
        <v>0</v>
      </c>
      <c r="AL31" s="297">
        <f>SUMIFS($G:$G,$H:$H,$P31,$F:$F,TEXT(AL$5,"00") &amp; "." &amp; TEXT($A$1,"00"))</f>
        <v>0</v>
      </c>
      <c r="AM31" s="297">
        <f>SUMIFS($G:$G,$H:$H,$P31,$F:$F,TEXT(AM$5,"00") &amp; "." &amp; TEXT($A$1,"00"))</f>
        <v>0</v>
      </c>
      <c r="AN31" s="297">
        <f>SUMIFS($G:$G,$H:$H,$P31,$F:$F,TEXT(AN$5,"00") &amp; "." &amp; TEXT($A$1,"00"))</f>
        <v>0</v>
      </c>
      <c r="AO31" s="297">
        <f>SUMIFS($G:$G,$H:$H,$P31,$F:$F,TEXT(AO$5,"00") &amp; "." &amp; TEXT($A$1,"00"))</f>
        <v>0</v>
      </c>
      <c r="AP31" s="297">
        <f>SUMIFS($G:$G,$H:$H,$P31,$F:$F,TEXT(AP$5,"00") &amp; "." &amp; TEXT($A$1,"00"))</f>
        <v>0</v>
      </c>
      <c r="AQ31" s="297">
        <f>SUMIFS($G:$G,$H:$H,$P31,$F:$F,TEXT(AQ$5,"00") &amp; "." &amp; TEXT($A$1,"00"))</f>
        <v>0</v>
      </c>
      <c r="AR31" s="297">
        <f>SUMIFS($G:$G,$H:$H,$P31,$F:$F,TEXT(AR$5,"00") &amp; "." &amp; TEXT($A$1,"00"))</f>
        <v>0</v>
      </c>
      <c r="AS31" s="297">
        <f>SUMIFS($G:$G,$H:$H,$P31,$F:$F,TEXT(AS$5,"00") &amp; "." &amp; TEXT($A$1,"00"))</f>
        <v>0</v>
      </c>
      <c r="AT31" s="297">
        <f>SUMIFS($G:$G,$H:$H,$P31,$F:$F,TEXT(AT$5,"00") &amp; "." &amp; TEXT($A$1,"00"))</f>
        <v>0</v>
      </c>
      <c r="AU31" s="297">
        <f>SUMIFS($G:$G,$H:$H,$P31,$F:$F,TEXT(AU$5,"00") &amp; "." &amp; TEXT($A$1,"00"))</f>
        <v>0</v>
      </c>
      <c r="AV31" s="297">
        <f>SUMIFS($G:$G,$H:$H,$P31,$F:$F,TEXT(AV$5,"00") &amp; "." &amp; TEXT($A$1,"00"))</f>
        <v>0</v>
      </c>
      <c r="AW31" s="294">
        <f t="shared" si="1"/>
        <v>0</v>
      </c>
    </row>
    <row r="32" spans="1:49" ht="13.5" thickBot="1">
      <c r="A32" s="464"/>
      <c r="B32" s="245" t="s">
        <v>34</v>
      </c>
      <c r="C32" s="245">
        <f ca="1">C24-C18</f>
        <v>188412.06</v>
      </c>
      <c r="D32" s="246">
        <f ca="1">D24-D18</f>
        <v>-3566.0299999999988</v>
      </c>
      <c r="G32" s="204">
        <v>63.61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>SUMIFS($G:$G,$H:$H,$P32,$F:$F,"")</f>
        <v>0</v>
      </c>
      <c r="R32" s="297">
        <f>SUMIFS($G:$G,$H:$H,$P32,$F:$F,TEXT(R$5,"00") &amp; "." &amp; TEXT($A$1,"00"))</f>
        <v>0</v>
      </c>
      <c r="S32" s="297">
        <f>SUMIFS($G:$G,$H:$H,$P32,$F:$F,TEXT(S$5,"00") &amp; "." &amp; TEXT($A$1,"00"))</f>
        <v>0</v>
      </c>
      <c r="T32" s="297">
        <f>SUMIFS($G:$G,$H:$H,$P32,$F:$F,TEXT(T$5,"00") &amp; "." &amp; TEXT($A$1,"00"))</f>
        <v>0</v>
      </c>
      <c r="U32" s="297">
        <f>SUMIFS($G:$G,$H:$H,$P32,$F:$F,TEXT(U$5,"00") &amp; "." &amp; TEXT($A$1,"00"))</f>
        <v>0</v>
      </c>
      <c r="V32" s="297">
        <f>SUMIFS($G:$G,$H:$H,$P32,$F:$F,TEXT(V$5,"00") &amp; "." &amp; TEXT($A$1,"00"))</f>
        <v>0</v>
      </c>
      <c r="W32" s="297">
        <f>SUMIFS($G:$G,$H:$H,$P32,$F:$F,TEXT(W$5,"00") &amp; "." &amp; TEXT($A$1,"00"))</f>
        <v>0</v>
      </c>
      <c r="X32" s="297">
        <f>SUMIFS($G:$G,$H:$H,$P32,$F:$F,TEXT(X$5,"00") &amp; "." &amp; TEXT($A$1,"00"))</f>
        <v>0</v>
      </c>
      <c r="Y32" s="297">
        <f>SUMIFS($G:$G,$H:$H,$P32,$F:$F,TEXT(Y$5,"00") &amp; "." &amp; TEXT($A$1,"00"))</f>
        <v>0</v>
      </c>
      <c r="Z32" s="297">
        <f>SUMIFS($G:$G,$H:$H,$P32,$F:$F,TEXT(Z$5,"00") &amp; "." &amp; TEXT($A$1,"00"))</f>
        <v>0</v>
      </c>
      <c r="AA32" s="297">
        <f>SUMIFS($G:$G,$H:$H,$P32,$F:$F,TEXT(AA$5,"00") &amp; "." &amp; TEXT($A$1,"00"))</f>
        <v>0</v>
      </c>
      <c r="AB32" s="297">
        <f>SUMIFS($G:$G,$H:$H,$P32,$F:$F,TEXT(AB$5,"00") &amp; "." &amp; TEXT($A$1,"00"))</f>
        <v>0</v>
      </c>
      <c r="AC32" s="297">
        <f>SUMIFS($G:$G,$H:$H,$P32,$F:$F,TEXT(AC$5,"00") &amp; "." &amp; TEXT($A$1,"00"))</f>
        <v>0</v>
      </c>
      <c r="AD32" s="297">
        <f>SUMIFS($G:$G,$H:$H,$P32,$F:$F,TEXT(AD$5,"00") &amp; "." &amp; TEXT($A$1,"00"))</f>
        <v>0</v>
      </c>
      <c r="AE32" s="297">
        <f>SUMIFS($G:$G,$H:$H,$P32,$F:$F,TEXT(AE$5,"00") &amp; "." &amp; TEXT($A$1,"00"))</f>
        <v>0</v>
      </c>
      <c r="AF32" s="297">
        <f>SUMIFS($G:$G,$H:$H,$P32,$F:$F,TEXT(AF$5,"00") &amp; "." &amp; TEXT($A$1,"00"))</f>
        <v>0</v>
      </c>
      <c r="AG32" s="297">
        <f>SUMIFS($G:$G,$H:$H,$P32,$F:$F,TEXT(AG$5,"00") &amp; "." &amp; TEXT($A$1,"00"))</f>
        <v>0</v>
      </c>
      <c r="AH32" s="297">
        <f>SUMIFS($G:$G,$H:$H,$P32,$F:$F,TEXT(AH$5,"00") &amp; "." &amp; TEXT($A$1,"00"))</f>
        <v>0</v>
      </c>
      <c r="AI32" s="297">
        <f>SUMIFS($G:$G,$H:$H,$P32,$F:$F,TEXT(AI$5,"00") &amp; "." &amp; TEXT($A$1,"00"))</f>
        <v>0</v>
      </c>
      <c r="AJ32" s="297">
        <f>SUMIFS($G:$G,$H:$H,$P32,$F:$F,TEXT(AJ$5,"00") &amp; "." &amp; TEXT($A$1,"00"))</f>
        <v>0</v>
      </c>
      <c r="AK32" s="297">
        <f>SUMIFS($G:$G,$H:$H,$P32,$F:$F,TEXT(AK$5,"00") &amp; "." &amp; TEXT($A$1,"00"))</f>
        <v>0</v>
      </c>
      <c r="AL32" s="297">
        <f>SUMIFS($G:$G,$H:$H,$P32,$F:$F,TEXT(AL$5,"00") &amp; "." &amp; TEXT($A$1,"00"))</f>
        <v>0</v>
      </c>
      <c r="AM32" s="297">
        <f>SUMIFS($G:$G,$H:$H,$P32,$F:$F,TEXT(AM$5,"00") &amp; "." &amp; TEXT($A$1,"00"))</f>
        <v>0</v>
      </c>
      <c r="AN32" s="297">
        <f>SUMIFS($G:$G,$H:$H,$P32,$F:$F,TEXT(AN$5,"00") &amp; "." &amp; TEXT($A$1,"00"))</f>
        <v>0</v>
      </c>
      <c r="AO32" s="297">
        <f>SUMIFS($G:$G,$H:$H,$P32,$F:$F,TEXT(AO$5,"00") &amp; "." &amp; TEXT($A$1,"00"))</f>
        <v>0</v>
      </c>
      <c r="AP32" s="297">
        <f>SUMIFS($G:$G,$H:$H,$P32,$F:$F,TEXT(AP$5,"00") &amp; "." &amp; TEXT($A$1,"00"))</f>
        <v>0</v>
      </c>
      <c r="AQ32" s="297">
        <f>SUMIFS($G:$G,$H:$H,$P32,$F:$F,TEXT(AQ$5,"00") &amp; "." &amp; TEXT($A$1,"00"))</f>
        <v>0</v>
      </c>
      <c r="AR32" s="297">
        <f>SUMIFS($G:$G,$H:$H,$P32,$F:$F,TEXT(AR$5,"00") &amp; "." &amp; TEXT($A$1,"00"))</f>
        <v>0</v>
      </c>
      <c r="AS32" s="297">
        <f>SUMIFS($G:$G,$H:$H,$P32,$F:$F,TEXT(AS$5,"00") &amp; "." &amp; TEXT($A$1,"00"))</f>
        <v>0</v>
      </c>
      <c r="AT32" s="297">
        <f>SUMIFS($G:$G,$H:$H,$P32,$F:$F,TEXT(AT$5,"00") &amp; "." &amp; TEXT($A$1,"00"))</f>
        <v>0</v>
      </c>
      <c r="AU32" s="297">
        <f>SUMIFS($G:$G,$H:$H,$P32,$F:$F,TEXT(AU$5,"00") &amp; "." &amp; TEXT($A$1,"00"))</f>
        <v>0</v>
      </c>
      <c r="AV32" s="297">
        <f>SUMIFS($G:$G,$H:$H,$P32,$F:$F,TEXT(AV$5,"00") &amp; "." &amp; TEXT($A$1,"00"))</f>
        <v>0</v>
      </c>
      <c r="AW32" s="294">
        <f t="shared" si="1"/>
        <v>0</v>
      </c>
    </row>
    <row r="33" spans="1:49" ht="13.5" thickBot="1">
      <c r="A33" s="247"/>
      <c r="B33" s="248"/>
      <c r="C33" s="248"/>
      <c r="D33" s="248"/>
      <c r="G33" s="204">
        <v>71.41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>SUMIFS($G:$G,$H:$H,$P33,$F:$F,"")</f>
        <v>0</v>
      </c>
      <c r="R33" s="297">
        <f>SUMIFS($G:$G,$H:$H,$P33,$F:$F,TEXT(R$5,"00") &amp; "." &amp; TEXT($A$1,"00"))</f>
        <v>0</v>
      </c>
      <c r="S33" s="297">
        <f>SUMIFS($G:$G,$H:$H,$P33,$F:$F,TEXT(S$5,"00") &amp; "." &amp; TEXT($A$1,"00"))</f>
        <v>0</v>
      </c>
      <c r="T33" s="297">
        <f>SUMIFS($G:$G,$H:$H,$P33,$F:$F,TEXT(T$5,"00") &amp; "." &amp; TEXT($A$1,"00"))</f>
        <v>0</v>
      </c>
      <c r="U33" s="297">
        <f>SUMIFS($G:$G,$H:$H,$P33,$F:$F,TEXT(U$5,"00") &amp; "." &amp; TEXT($A$1,"00"))</f>
        <v>0</v>
      </c>
      <c r="V33" s="297">
        <f>SUMIFS($G:$G,$H:$H,$P33,$F:$F,TEXT(V$5,"00") &amp; "." &amp; TEXT($A$1,"00"))</f>
        <v>0</v>
      </c>
      <c r="W33" s="297">
        <f>SUMIFS($G:$G,$H:$H,$P33,$F:$F,TEXT(W$5,"00") &amp; "." &amp; TEXT($A$1,"00"))</f>
        <v>0</v>
      </c>
      <c r="X33" s="297">
        <f>SUMIFS($G:$G,$H:$H,$P33,$F:$F,TEXT(X$5,"00") &amp; "." &amp; TEXT($A$1,"00"))</f>
        <v>0</v>
      </c>
      <c r="Y33" s="297">
        <f>SUMIFS($G:$G,$H:$H,$P33,$F:$F,TEXT(Y$5,"00") &amp; "." &amp; TEXT($A$1,"00"))</f>
        <v>0</v>
      </c>
      <c r="Z33" s="297">
        <f>SUMIFS($G:$G,$H:$H,$P33,$F:$F,TEXT(Z$5,"00") &amp; "." &amp; TEXT($A$1,"00"))</f>
        <v>0</v>
      </c>
      <c r="AA33" s="297">
        <f>SUMIFS($G:$G,$H:$H,$P33,$F:$F,TEXT(AA$5,"00") &amp; "." &amp; TEXT($A$1,"00"))</f>
        <v>0</v>
      </c>
      <c r="AB33" s="297">
        <f>SUMIFS($G:$G,$H:$H,$P33,$F:$F,TEXT(AB$5,"00") &amp; "." &amp; TEXT($A$1,"00"))</f>
        <v>0</v>
      </c>
      <c r="AC33" s="297">
        <f>SUMIFS($G:$G,$H:$H,$P33,$F:$F,TEXT(AC$5,"00") &amp; "." &amp; TEXT($A$1,"00"))</f>
        <v>0</v>
      </c>
      <c r="AD33" s="297">
        <f>SUMIFS($G:$G,$H:$H,$P33,$F:$F,TEXT(AD$5,"00") &amp; "." &amp; TEXT($A$1,"00"))</f>
        <v>0</v>
      </c>
      <c r="AE33" s="297">
        <f>SUMIFS($G:$G,$H:$H,$P33,$F:$F,TEXT(AE$5,"00") &amp; "." &amp; TEXT($A$1,"00"))</f>
        <v>0</v>
      </c>
      <c r="AF33" s="297">
        <f>SUMIFS($G:$G,$H:$H,$P33,$F:$F,TEXT(AF$5,"00") &amp; "." &amp; TEXT($A$1,"00"))</f>
        <v>0</v>
      </c>
      <c r="AG33" s="297">
        <f>SUMIFS($G:$G,$H:$H,$P33,$F:$F,TEXT(AG$5,"00") &amp; "." &amp; TEXT($A$1,"00"))</f>
        <v>0</v>
      </c>
      <c r="AH33" s="297">
        <f>SUMIFS($G:$G,$H:$H,$P33,$F:$F,TEXT(AH$5,"00") &amp; "." &amp; TEXT($A$1,"00"))</f>
        <v>0</v>
      </c>
      <c r="AI33" s="297">
        <f>SUMIFS($G:$G,$H:$H,$P33,$F:$F,TEXT(AI$5,"00") &amp; "." &amp; TEXT($A$1,"00"))</f>
        <v>0</v>
      </c>
      <c r="AJ33" s="297">
        <f>SUMIFS($G:$G,$H:$H,$P33,$F:$F,TEXT(AJ$5,"00") &amp; "." &amp; TEXT($A$1,"00"))</f>
        <v>0</v>
      </c>
      <c r="AK33" s="297">
        <f>SUMIFS($G:$G,$H:$H,$P33,$F:$F,TEXT(AK$5,"00") &amp; "." &amp; TEXT($A$1,"00"))</f>
        <v>0</v>
      </c>
      <c r="AL33" s="297">
        <f>SUMIFS($G:$G,$H:$H,$P33,$F:$F,TEXT(AL$5,"00") &amp; "." &amp; TEXT($A$1,"00"))</f>
        <v>0</v>
      </c>
      <c r="AM33" s="297">
        <f>SUMIFS($G:$G,$H:$H,$P33,$F:$F,TEXT(AM$5,"00") &amp; "." &amp; TEXT($A$1,"00"))</f>
        <v>0</v>
      </c>
      <c r="AN33" s="297">
        <f>SUMIFS($G:$G,$H:$H,$P33,$F:$F,TEXT(AN$5,"00") &amp; "." &amp; TEXT($A$1,"00"))</f>
        <v>0</v>
      </c>
      <c r="AO33" s="297">
        <f>SUMIFS($G:$G,$H:$H,$P33,$F:$F,TEXT(AO$5,"00") &amp; "." &amp; TEXT($A$1,"00"))</f>
        <v>0</v>
      </c>
      <c r="AP33" s="297">
        <f>SUMIFS($G:$G,$H:$H,$P33,$F:$F,TEXT(AP$5,"00") &amp; "." &amp; TEXT($A$1,"00"))</f>
        <v>0</v>
      </c>
      <c r="AQ33" s="297">
        <f>SUMIFS($G:$G,$H:$H,$P33,$F:$F,TEXT(AQ$5,"00") &amp; "." &amp; TEXT($A$1,"00"))</f>
        <v>0</v>
      </c>
      <c r="AR33" s="297">
        <f>SUMIFS($G:$G,$H:$H,$P33,$F:$F,TEXT(AR$5,"00") &amp; "." &amp; TEXT($A$1,"00"))</f>
        <v>0</v>
      </c>
      <c r="AS33" s="297">
        <f>SUMIFS($G:$G,$H:$H,$P33,$F:$F,TEXT(AS$5,"00") &amp; "." &amp; TEXT($A$1,"00"))</f>
        <v>0</v>
      </c>
      <c r="AT33" s="297">
        <f>SUMIFS($G:$G,$H:$H,$P33,$F:$F,TEXT(AT$5,"00") &amp; "." &amp; TEXT($A$1,"00"))</f>
        <v>0</v>
      </c>
      <c r="AU33" s="297">
        <f>SUMIFS($G:$G,$H:$H,$P33,$F:$F,TEXT(AU$5,"00") &amp; "." &amp; TEXT($A$1,"00"))</f>
        <v>0</v>
      </c>
      <c r="AV33" s="297">
        <f>SUMIFS($G:$G,$H:$H,$P33,$F:$F,TEXT(AV$5,"00") &amp; "." &amp; TEXT($A$1,"00"))</f>
        <v>0</v>
      </c>
      <c r="AW33" s="294">
        <f t="shared" si="1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04">
        <v>98.34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>SUMIFS($G:$G,$H:$H,$P34,$F:$F,"")</f>
        <v>0</v>
      </c>
      <c r="R34" s="297">
        <f>SUMIFS($G:$G,$H:$H,$P34,$F:$F,TEXT(R$5,"00") &amp; "." &amp; TEXT($A$1,"00"))</f>
        <v>0</v>
      </c>
      <c r="S34" s="297">
        <f>SUMIFS($G:$G,$H:$H,$P34,$F:$F,TEXT(S$5,"00") &amp; "." &amp; TEXT($A$1,"00"))</f>
        <v>0</v>
      </c>
      <c r="T34" s="297">
        <f>SUMIFS($G:$G,$H:$H,$P34,$F:$F,TEXT(T$5,"00") &amp; "." &amp; TEXT($A$1,"00"))</f>
        <v>0</v>
      </c>
      <c r="U34" s="297">
        <f>SUMIFS($G:$G,$H:$H,$P34,$F:$F,TEXT(U$5,"00") &amp; "." &amp; TEXT($A$1,"00"))</f>
        <v>0</v>
      </c>
      <c r="V34" s="297">
        <f>SUMIFS($G:$G,$H:$H,$P34,$F:$F,TEXT(V$5,"00") &amp; "." &amp; TEXT($A$1,"00"))</f>
        <v>0</v>
      </c>
      <c r="W34" s="297">
        <f>SUMIFS($G:$G,$H:$H,$P34,$F:$F,TEXT(W$5,"00") &amp; "." &amp; TEXT($A$1,"00"))</f>
        <v>0</v>
      </c>
      <c r="X34" s="297">
        <f>SUMIFS($G:$G,$H:$H,$P34,$F:$F,TEXT(X$5,"00") &amp; "." &amp; TEXT($A$1,"00"))</f>
        <v>0</v>
      </c>
      <c r="Y34" s="297">
        <f>SUMIFS($G:$G,$H:$H,$P34,$F:$F,TEXT(Y$5,"00") &amp; "." &amp; TEXT($A$1,"00"))</f>
        <v>0</v>
      </c>
      <c r="Z34" s="297">
        <f>SUMIFS($G:$G,$H:$H,$P34,$F:$F,TEXT(Z$5,"00") &amp; "." &amp; TEXT($A$1,"00"))</f>
        <v>0</v>
      </c>
      <c r="AA34" s="297">
        <f>SUMIFS($G:$G,$H:$H,$P34,$F:$F,TEXT(AA$5,"00") &amp; "." &amp; TEXT($A$1,"00"))</f>
        <v>0</v>
      </c>
      <c r="AB34" s="297">
        <f>SUMIFS($G:$G,$H:$H,$P34,$F:$F,TEXT(AB$5,"00") &amp; "." &amp; TEXT($A$1,"00"))</f>
        <v>0</v>
      </c>
      <c r="AC34" s="297">
        <f>SUMIFS($G:$G,$H:$H,$P34,$F:$F,TEXT(AC$5,"00") &amp; "." &amp; TEXT($A$1,"00"))</f>
        <v>0</v>
      </c>
      <c r="AD34" s="297">
        <f>SUMIFS($G:$G,$H:$H,$P34,$F:$F,TEXT(AD$5,"00") &amp; "." &amp; TEXT($A$1,"00"))</f>
        <v>0</v>
      </c>
      <c r="AE34" s="297">
        <f>SUMIFS($G:$G,$H:$H,$P34,$F:$F,TEXT(AE$5,"00") &amp; "." &amp; TEXT($A$1,"00"))</f>
        <v>0</v>
      </c>
      <c r="AF34" s="297">
        <f>SUMIFS($G:$G,$H:$H,$P34,$F:$F,TEXT(AF$5,"00") &amp; "." &amp; TEXT($A$1,"00"))</f>
        <v>0</v>
      </c>
      <c r="AG34" s="297">
        <f>SUMIFS($G:$G,$H:$H,$P34,$F:$F,TEXT(AG$5,"00") &amp; "." &amp; TEXT($A$1,"00"))</f>
        <v>0</v>
      </c>
      <c r="AH34" s="297">
        <f>SUMIFS($G:$G,$H:$H,$P34,$F:$F,TEXT(AH$5,"00") &amp; "." &amp; TEXT($A$1,"00"))</f>
        <v>0</v>
      </c>
      <c r="AI34" s="297">
        <f>SUMIFS($G:$G,$H:$H,$P34,$F:$F,TEXT(AI$5,"00") &amp; "." &amp; TEXT($A$1,"00"))</f>
        <v>0</v>
      </c>
      <c r="AJ34" s="297">
        <f>SUMIFS($G:$G,$H:$H,$P34,$F:$F,TEXT(AJ$5,"00") &amp; "." &amp; TEXT($A$1,"00"))</f>
        <v>0</v>
      </c>
      <c r="AK34" s="297">
        <f>SUMIFS($G:$G,$H:$H,$P34,$F:$F,TEXT(AK$5,"00") &amp; "." &amp; TEXT($A$1,"00"))</f>
        <v>0</v>
      </c>
      <c r="AL34" s="297">
        <f>SUMIFS($G:$G,$H:$H,$P34,$F:$F,TEXT(AL$5,"00") &amp; "." &amp; TEXT($A$1,"00"))</f>
        <v>0</v>
      </c>
      <c r="AM34" s="297">
        <f>SUMIFS($G:$G,$H:$H,$P34,$F:$F,TEXT(AM$5,"00") &amp; "." &amp; TEXT($A$1,"00"))</f>
        <v>0</v>
      </c>
      <c r="AN34" s="297">
        <f>SUMIFS($G:$G,$H:$H,$P34,$F:$F,TEXT(AN$5,"00") &amp; "." &amp; TEXT($A$1,"00"))</f>
        <v>0</v>
      </c>
      <c r="AO34" s="297">
        <f>SUMIFS($G:$G,$H:$H,$P34,$F:$F,TEXT(AO$5,"00") &amp; "." &amp; TEXT($A$1,"00"))</f>
        <v>0</v>
      </c>
      <c r="AP34" s="297">
        <f>SUMIFS($G:$G,$H:$H,$P34,$F:$F,TEXT(AP$5,"00") &amp; "." &amp; TEXT($A$1,"00"))</f>
        <v>0</v>
      </c>
      <c r="AQ34" s="297">
        <f>SUMIFS($G:$G,$H:$H,$P34,$F:$F,TEXT(AQ$5,"00") &amp; "." &amp; TEXT($A$1,"00"))</f>
        <v>0</v>
      </c>
      <c r="AR34" s="297">
        <f>SUMIFS($G:$G,$H:$H,$P34,$F:$F,TEXT(AR$5,"00") &amp; "." &amp; TEXT($A$1,"00"))</f>
        <v>0</v>
      </c>
      <c r="AS34" s="297">
        <f>SUMIFS($G:$G,$H:$H,$P34,$F:$F,TEXT(AS$5,"00") &amp; "." &amp; TEXT($A$1,"00"))</f>
        <v>0</v>
      </c>
      <c r="AT34" s="297">
        <f>SUMIFS($G:$G,$H:$H,$P34,$F:$F,TEXT(AT$5,"00") &amp; "." &amp; TEXT($A$1,"00"))</f>
        <v>0</v>
      </c>
      <c r="AU34" s="297">
        <f>SUMIFS($G:$G,$H:$H,$P34,$F:$F,TEXT(AU$5,"00") &amp; "." &amp; TEXT($A$1,"00"))</f>
        <v>0</v>
      </c>
      <c r="AV34" s="297">
        <f>SUMIFS($G:$G,$H:$H,$P34,$F:$F,TEXT(AV$5,"00") &amp; "." &amp; TEXT($A$1,"00"))</f>
        <v>0</v>
      </c>
      <c r="AW34" s="294">
        <f t="shared" si="1"/>
        <v>0</v>
      </c>
    </row>
    <row r="35" spans="1:49">
      <c r="A35" s="457" t="s">
        <v>36</v>
      </c>
      <c r="B35" s="223" t="s">
        <v>288</v>
      </c>
      <c r="C35" s="249"/>
      <c r="D35" s="205">
        <f>'3'!D35-C35</f>
        <v>58550</v>
      </c>
      <c r="E35" s="277"/>
      <c r="G35" s="204">
        <v>128.79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166</v>
      </c>
      <c r="M35" s="275" t="s">
        <v>456</v>
      </c>
      <c r="P35" s="295"/>
      <c r="Q35" s="297">
        <f>SUMIFS($G:$G,$H:$H,$P35,$F:$F,"")</f>
        <v>0</v>
      </c>
      <c r="R35" s="297">
        <f>SUMIFS($G:$G,$H:$H,$P35,$F:$F,TEXT(R$5,"00") &amp; "." &amp; TEXT($A$1,"00"))</f>
        <v>0</v>
      </c>
      <c r="S35" s="297">
        <f>SUMIFS($G:$G,$H:$H,$P35,$F:$F,TEXT(S$5,"00") &amp; "." &amp; TEXT($A$1,"00"))</f>
        <v>0</v>
      </c>
      <c r="T35" s="297">
        <f>SUMIFS($G:$G,$H:$H,$P35,$F:$F,TEXT(T$5,"00") &amp; "." &amp; TEXT($A$1,"00"))</f>
        <v>0</v>
      </c>
      <c r="U35" s="297">
        <f>SUMIFS($G:$G,$H:$H,$P35,$F:$F,TEXT(U$5,"00") &amp; "." &amp; TEXT($A$1,"00"))</f>
        <v>0</v>
      </c>
      <c r="V35" s="297">
        <f>SUMIFS($G:$G,$H:$H,$P35,$F:$F,TEXT(V$5,"00") &amp; "." &amp; TEXT($A$1,"00"))</f>
        <v>0</v>
      </c>
      <c r="W35" s="297">
        <f>SUMIFS($G:$G,$H:$H,$P35,$F:$F,TEXT(W$5,"00") &amp; "." &amp; TEXT($A$1,"00"))</f>
        <v>0</v>
      </c>
      <c r="X35" s="297">
        <f>SUMIFS($G:$G,$H:$H,$P35,$F:$F,TEXT(X$5,"00") &amp; "." &amp; TEXT($A$1,"00"))</f>
        <v>0</v>
      </c>
      <c r="Y35" s="297">
        <f>SUMIFS($G:$G,$H:$H,$P35,$F:$F,TEXT(Y$5,"00") &amp; "." &amp; TEXT($A$1,"00"))</f>
        <v>0</v>
      </c>
      <c r="Z35" s="297">
        <f>SUMIFS($G:$G,$H:$H,$P35,$F:$F,TEXT(Z$5,"00") &amp; "." &amp; TEXT($A$1,"00"))</f>
        <v>0</v>
      </c>
      <c r="AA35" s="297">
        <f>SUMIFS($G:$G,$H:$H,$P35,$F:$F,TEXT(AA$5,"00") &amp; "." &amp; TEXT($A$1,"00"))</f>
        <v>0</v>
      </c>
      <c r="AB35" s="297">
        <f>SUMIFS($G:$G,$H:$H,$P35,$F:$F,TEXT(AB$5,"00") &amp; "." &amp; TEXT($A$1,"00"))</f>
        <v>0</v>
      </c>
      <c r="AC35" s="297">
        <f>SUMIFS($G:$G,$H:$H,$P35,$F:$F,TEXT(AC$5,"00") &amp; "." &amp; TEXT($A$1,"00"))</f>
        <v>0</v>
      </c>
      <c r="AD35" s="297">
        <f>SUMIFS($G:$G,$H:$H,$P35,$F:$F,TEXT(AD$5,"00") &amp; "." &amp; TEXT($A$1,"00"))</f>
        <v>0</v>
      </c>
      <c r="AE35" s="297">
        <f>SUMIFS($G:$G,$H:$H,$P35,$F:$F,TEXT(AE$5,"00") &amp; "." &amp; TEXT($A$1,"00"))</f>
        <v>0</v>
      </c>
      <c r="AF35" s="297">
        <f>SUMIFS($G:$G,$H:$H,$P35,$F:$F,TEXT(AF$5,"00") &amp; "." &amp; TEXT($A$1,"00"))</f>
        <v>0</v>
      </c>
      <c r="AG35" s="297">
        <f>SUMIFS($G:$G,$H:$H,$P35,$F:$F,TEXT(AG$5,"00") &amp; "." &amp; TEXT($A$1,"00"))</f>
        <v>0</v>
      </c>
      <c r="AH35" s="297">
        <f>SUMIFS($G:$G,$H:$H,$P35,$F:$F,TEXT(AH$5,"00") &amp; "." &amp; TEXT($A$1,"00"))</f>
        <v>0</v>
      </c>
      <c r="AI35" s="297">
        <f>SUMIFS($G:$G,$H:$H,$P35,$F:$F,TEXT(AI$5,"00") &amp; "." &amp; TEXT($A$1,"00"))</f>
        <v>0</v>
      </c>
      <c r="AJ35" s="297">
        <f>SUMIFS($G:$G,$H:$H,$P35,$F:$F,TEXT(AJ$5,"00") &amp; "." &amp; TEXT($A$1,"00"))</f>
        <v>0</v>
      </c>
      <c r="AK35" s="297">
        <f>SUMIFS($G:$G,$H:$H,$P35,$F:$F,TEXT(AK$5,"00") &amp; "." &amp; TEXT($A$1,"00"))</f>
        <v>0</v>
      </c>
      <c r="AL35" s="297">
        <f>SUMIFS($G:$G,$H:$H,$P35,$F:$F,TEXT(AL$5,"00") &amp; "." &amp; TEXT($A$1,"00"))</f>
        <v>0</v>
      </c>
      <c r="AM35" s="297">
        <f>SUMIFS($G:$G,$H:$H,$P35,$F:$F,TEXT(AM$5,"00") &amp; "." &amp; TEXT($A$1,"00"))</f>
        <v>0</v>
      </c>
      <c r="AN35" s="297">
        <f>SUMIFS($G:$G,$H:$H,$P35,$F:$F,TEXT(AN$5,"00") &amp; "." &amp; TEXT($A$1,"00"))</f>
        <v>0</v>
      </c>
      <c r="AO35" s="297">
        <f>SUMIFS($G:$G,$H:$H,$P35,$F:$F,TEXT(AO$5,"00") &amp; "." &amp; TEXT($A$1,"00"))</f>
        <v>0</v>
      </c>
      <c r="AP35" s="297">
        <f>SUMIFS($G:$G,$H:$H,$P35,$F:$F,TEXT(AP$5,"00") &amp; "." &amp; TEXT($A$1,"00"))</f>
        <v>0</v>
      </c>
      <c r="AQ35" s="297">
        <f>SUMIFS($G:$G,$H:$H,$P35,$F:$F,TEXT(AQ$5,"00") &amp; "." &amp; TEXT($A$1,"00"))</f>
        <v>0</v>
      </c>
      <c r="AR35" s="297">
        <f>SUMIFS($G:$G,$H:$H,$P35,$F:$F,TEXT(AR$5,"00") &amp; "." &amp; TEXT($A$1,"00"))</f>
        <v>0</v>
      </c>
      <c r="AS35" s="297">
        <f>SUMIFS($G:$G,$H:$H,$P35,$F:$F,TEXT(AS$5,"00") &amp; "." &amp; TEXT($A$1,"00"))</f>
        <v>0</v>
      </c>
      <c r="AT35" s="297">
        <f>SUMIFS($G:$G,$H:$H,$P35,$F:$F,TEXT(AT$5,"00") &amp; "." &amp; TEXT($A$1,"00"))</f>
        <v>0</v>
      </c>
      <c r="AU35" s="297">
        <f>SUMIFS($G:$G,$H:$H,$P35,$F:$F,TEXT(AU$5,"00") &amp; "." &amp; TEXT($A$1,"00"))</f>
        <v>0</v>
      </c>
      <c r="AV35" s="297">
        <f>SUMIFS($G:$G,$H:$H,$P35,$F:$F,TEXT(AV$5,"00") &amp; "." &amp; TEXT($A$1,"00"))</f>
        <v>0</v>
      </c>
      <c r="AW35" s="294">
        <f t="shared" si="1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77"/>
      <c r="G36" s="204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>SUMIFS($G:$G,$H:$H,$P36,$F:$F,"")</f>
        <v>0</v>
      </c>
      <c r="R36" s="297">
        <f>SUMIFS($G:$G,$H:$H,$P36,$F:$F,TEXT(R$5,"00") &amp; "." &amp; TEXT($A$1,"00"))</f>
        <v>0</v>
      </c>
      <c r="S36" s="297">
        <f>SUMIFS($G:$G,$H:$H,$P36,$F:$F,TEXT(S$5,"00") &amp; "." &amp; TEXT($A$1,"00"))</f>
        <v>0</v>
      </c>
      <c r="T36" s="297">
        <f>SUMIFS($G:$G,$H:$H,$P36,$F:$F,TEXT(T$5,"00") &amp; "." &amp; TEXT($A$1,"00"))</f>
        <v>0</v>
      </c>
      <c r="U36" s="297">
        <f>SUMIFS($G:$G,$H:$H,$P36,$F:$F,TEXT(U$5,"00") &amp; "." &amp; TEXT($A$1,"00"))</f>
        <v>0</v>
      </c>
      <c r="V36" s="297">
        <f>SUMIFS($G:$G,$H:$H,$P36,$F:$F,TEXT(V$5,"00") &amp; "." &amp; TEXT($A$1,"00"))</f>
        <v>0</v>
      </c>
      <c r="W36" s="297">
        <f>SUMIFS($G:$G,$H:$H,$P36,$F:$F,TEXT(W$5,"00") &amp; "." &amp; TEXT($A$1,"00"))</f>
        <v>0</v>
      </c>
      <c r="X36" s="297">
        <f>SUMIFS($G:$G,$H:$H,$P36,$F:$F,TEXT(X$5,"00") &amp; "." &amp; TEXT($A$1,"00"))</f>
        <v>0</v>
      </c>
      <c r="Y36" s="297">
        <f>SUMIFS($G:$G,$H:$H,$P36,$F:$F,TEXT(Y$5,"00") &amp; "." &amp; TEXT($A$1,"00"))</f>
        <v>0</v>
      </c>
      <c r="Z36" s="297">
        <f>SUMIFS($G:$G,$H:$H,$P36,$F:$F,TEXT(Z$5,"00") &amp; "." &amp; TEXT($A$1,"00"))</f>
        <v>0</v>
      </c>
      <c r="AA36" s="297">
        <f>SUMIFS($G:$G,$H:$H,$P36,$F:$F,TEXT(AA$5,"00") &amp; "." &amp; TEXT($A$1,"00"))</f>
        <v>0</v>
      </c>
      <c r="AB36" s="297">
        <f>SUMIFS($G:$G,$H:$H,$P36,$F:$F,TEXT(AB$5,"00") &amp; "." &amp; TEXT($A$1,"00"))</f>
        <v>0</v>
      </c>
      <c r="AC36" s="297">
        <f>SUMIFS($G:$G,$H:$H,$P36,$F:$F,TEXT(AC$5,"00") &amp; "." &amp; TEXT($A$1,"00"))</f>
        <v>0</v>
      </c>
      <c r="AD36" s="297">
        <f>SUMIFS($G:$G,$H:$H,$P36,$F:$F,TEXT(AD$5,"00") &amp; "." &amp; TEXT($A$1,"00"))</f>
        <v>0</v>
      </c>
      <c r="AE36" s="297">
        <f>SUMIFS($G:$G,$H:$H,$P36,$F:$F,TEXT(AE$5,"00") &amp; "." &amp; TEXT($A$1,"00"))</f>
        <v>0</v>
      </c>
      <c r="AF36" s="297">
        <f>SUMIFS($G:$G,$H:$H,$P36,$F:$F,TEXT(AF$5,"00") &amp; "." &amp; TEXT($A$1,"00"))</f>
        <v>0</v>
      </c>
      <c r="AG36" s="297">
        <f>SUMIFS($G:$G,$H:$H,$P36,$F:$F,TEXT(AG$5,"00") &amp; "." &amp; TEXT($A$1,"00"))</f>
        <v>0</v>
      </c>
      <c r="AH36" s="297">
        <f>SUMIFS($G:$G,$H:$H,$P36,$F:$F,TEXT(AH$5,"00") &amp; "." &amp; TEXT($A$1,"00"))</f>
        <v>0</v>
      </c>
      <c r="AI36" s="297">
        <f>SUMIFS($G:$G,$H:$H,$P36,$F:$F,TEXT(AI$5,"00") &amp; "." &amp; TEXT($A$1,"00"))</f>
        <v>0</v>
      </c>
      <c r="AJ36" s="297">
        <f>SUMIFS($G:$G,$H:$H,$P36,$F:$F,TEXT(AJ$5,"00") &amp; "." &amp; TEXT($A$1,"00"))</f>
        <v>0</v>
      </c>
      <c r="AK36" s="297">
        <f>SUMIFS($G:$G,$H:$H,$P36,$F:$F,TEXT(AK$5,"00") &amp; "." &amp; TEXT($A$1,"00"))</f>
        <v>0</v>
      </c>
      <c r="AL36" s="297">
        <f>SUMIFS($G:$G,$H:$H,$P36,$F:$F,TEXT(AL$5,"00") &amp; "." &amp; TEXT($A$1,"00"))</f>
        <v>0</v>
      </c>
      <c r="AM36" s="297">
        <f>SUMIFS($G:$G,$H:$H,$P36,$F:$F,TEXT(AM$5,"00") &amp; "." &amp; TEXT($A$1,"00"))</f>
        <v>0</v>
      </c>
      <c r="AN36" s="297">
        <f>SUMIFS($G:$G,$H:$H,$P36,$F:$F,TEXT(AN$5,"00") &amp; "." &amp; TEXT($A$1,"00"))</f>
        <v>0</v>
      </c>
      <c r="AO36" s="297">
        <f>SUMIFS($G:$G,$H:$H,$P36,$F:$F,TEXT(AO$5,"00") &amp; "." &amp; TEXT($A$1,"00"))</f>
        <v>0</v>
      </c>
      <c r="AP36" s="297">
        <f>SUMIFS($G:$G,$H:$H,$P36,$F:$F,TEXT(AP$5,"00") &amp; "." &amp; TEXT($A$1,"00"))</f>
        <v>0</v>
      </c>
      <c r="AQ36" s="297">
        <f>SUMIFS($G:$G,$H:$H,$P36,$F:$F,TEXT(AQ$5,"00") &amp; "." &amp; TEXT($A$1,"00"))</f>
        <v>0</v>
      </c>
      <c r="AR36" s="297">
        <f>SUMIFS($G:$G,$H:$H,$P36,$F:$F,TEXT(AR$5,"00") &amp; "." &amp; TEXT($A$1,"00"))</f>
        <v>0</v>
      </c>
      <c r="AS36" s="297">
        <f>SUMIFS($G:$G,$H:$H,$P36,$F:$F,TEXT(AS$5,"00") &amp; "." &amp; TEXT($A$1,"00"))</f>
        <v>0</v>
      </c>
      <c r="AT36" s="297">
        <f>SUMIFS($G:$G,$H:$H,$P36,$F:$F,TEXT(AT$5,"00") &amp; "." &amp; TEXT($A$1,"00"))</f>
        <v>0</v>
      </c>
      <c r="AU36" s="297">
        <f>SUMIFS($G:$G,$H:$H,$P36,$F:$F,TEXT(AU$5,"00") &amp; "." &amp; TEXT($A$1,"00"))</f>
        <v>0</v>
      </c>
      <c r="AV36" s="297">
        <f>SUMIFS($G:$G,$H:$H,$P36,$F:$F,TEXT(AV$5,"00") &amp; "." &amp; TEXT($A$1,"00"))</f>
        <v>0</v>
      </c>
      <c r="AW36" s="294">
        <f t="shared" si="1"/>
        <v>0</v>
      </c>
    </row>
    <row r="37" spans="1:49">
      <c r="A37" s="458"/>
      <c r="B37" s="150"/>
      <c r="C37" s="150"/>
      <c r="D37" s="205"/>
      <c r="E37" s="277"/>
      <c r="G37" s="204">
        <v>0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>SUMIFS($G:$G,$H:$H,$P37,$F:$F,"")</f>
        <v>0</v>
      </c>
      <c r="R37" s="297">
        <f>SUMIFS($G:$G,$H:$H,$P37,$F:$F,TEXT(R$5,"00") &amp; "." &amp; TEXT($A$1,"00"))</f>
        <v>0</v>
      </c>
      <c r="S37" s="297">
        <f>SUMIFS($G:$G,$H:$H,$P37,$F:$F,TEXT(S$5,"00") &amp; "." &amp; TEXT($A$1,"00"))</f>
        <v>0</v>
      </c>
      <c r="T37" s="297">
        <f>SUMIFS($G:$G,$H:$H,$P37,$F:$F,TEXT(T$5,"00") &amp; "." &amp; TEXT($A$1,"00"))</f>
        <v>0</v>
      </c>
      <c r="U37" s="297">
        <f>SUMIFS($G:$G,$H:$H,$P37,$F:$F,TEXT(U$5,"00") &amp; "." &amp; TEXT($A$1,"00"))</f>
        <v>0</v>
      </c>
      <c r="V37" s="297">
        <f>SUMIFS($G:$G,$H:$H,$P37,$F:$F,TEXT(V$5,"00") &amp; "." &amp; TEXT($A$1,"00"))</f>
        <v>0</v>
      </c>
      <c r="W37" s="297">
        <f>SUMIFS($G:$G,$H:$H,$P37,$F:$F,TEXT(W$5,"00") &amp; "." &amp; TEXT($A$1,"00"))</f>
        <v>0</v>
      </c>
      <c r="X37" s="297">
        <f>SUMIFS($G:$G,$H:$H,$P37,$F:$F,TEXT(X$5,"00") &amp; "." &amp; TEXT($A$1,"00"))</f>
        <v>0</v>
      </c>
      <c r="Y37" s="297">
        <f>SUMIFS($G:$G,$H:$H,$P37,$F:$F,TEXT(Y$5,"00") &amp; "." &amp; TEXT($A$1,"00"))</f>
        <v>0</v>
      </c>
      <c r="Z37" s="297">
        <f>SUMIFS($G:$G,$H:$H,$P37,$F:$F,TEXT(Z$5,"00") &amp; "." &amp; TEXT($A$1,"00"))</f>
        <v>0</v>
      </c>
      <c r="AA37" s="297">
        <f>SUMIFS($G:$G,$H:$H,$P37,$F:$F,TEXT(AA$5,"00") &amp; "." &amp; TEXT($A$1,"00"))</f>
        <v>0</v>
      </c>
      <c r="AB37" s="297">
        <f>SUMIFS($G:$G,$H:$H,$P37,$F:$F,TEXT(AB$5,"00") &amp; "." &amp; TEXT($A$1,"00"))</f>
        <v>0</v>
      </c>
      <c r="AC37" s="297">
        <f>SUMIFS($G:$G,$H:$H,$P37,$F:$F,TEXT(AC$5,"00") &amp; "." &amp; TEXT($A$1,"00"))</f>
        <v>0</v>
      </c>
      <c r="AD37" s="297">
        <f>SUMIFS($G:$G,$H:$H,$P37,$F:$F,TEXT(AD$5,"00") &amp; "." &amp; TEXT($A$1,"00"))</f>
        <v>0</v>
      </c>
      <c r="AE37" s="297">
        <f>SUMIFS($G:$G,$H:$H,$P37,$F:$F,TEXT(AE$5,"00") &amp; "." &amp; TEXT($A$1,"00"))</f>
        <v>0</v>
      </c>
      <c r="AF37" s="297">
        <f>SUMIFS($G:$G,$H:$H,$P37,$F:$F,TEXT(AF$5,"00") &amp; "." &amp; TEXT($A$1,"00"))</f>
        <v>0</v>
      </c>
      <c r="AG37" s="297">
        <f>SUMIFS($G:$G,$H:$H,$P37,$F:$F,TEXT(AG$5,"00") &amp; "." &amp; TEXT($A$1,"00"))</f>
        <v>0</v>
      </c>
      <c r="AH37" s="297">
        <f>SUMIFS($G:$G,$H:$H,$P37,$F:$F,TEXT(AH$5,"00") &amp; "." &amp; TEXT($A$1,"00"))</f>
        <v>0</v>
      </c>
      <c r="AI37" s="297">
        <f>SUMIFS($G:$G,$H:$H,$P37,$F:$F,TEXT(AI$5,"00") &amp; "." &amp; TEXT($A$1,"00"))</f>
        <v>0</v>
      </c>
      <c r="AJ37" s="297">
        <f>SUMIFS($G:$G,$H:$H,$P37,$F:$F,TEXT(AJ$5,"00") &amp; "." &amp; TEXT($A$1,"00"))</f>
        <v>0</v>
      </c>
      <c r="AK37" s="297">
        <f>SUMIFS($G:$G,$H:$H,$P37,$F:$F,TEXT(AK$5,"00") &amp; "." &amp; TEXT($A$1,"00"))</f>
        <v>0</v>
      </c>
      <c r="AL37" s="297">
        <f>SUMIFS($G:$G,$H:$H,$P37,$F:$F,TEXT(AL$5,"00") &amp; "." &amp; TEXT($A$1,"00"))</f>
        <v>0</v>
      </c>
      <c r="AM37" s="297">
        <f>SUMIFS($G:$G,$H:$H,$P37,$F:$F,TEXT(AM$5,"00") &amp; "." &amp; TEXT($A$1,"00"))</f>
        <v>0</v>
      </c>
      <c r="AN37" s="297">
        <f>SUMIFS($G:$G,$H:$H,$P37,$F:$F,TEXT(AN$5,"00") &amp; "." &amp; TEXT($A$1,"00"))</f>
        <v>0</v>
      </c>
      <c r="AO37" s="297">
        <f>SUMIFS($G:$G,$H:$H,$P37,$F:$F,TEXT(AO$5,"00") &amp; "." &amp; TEXT($A$1,"00"))</f>
        <v>0</v>
      </c>
      <c r="AP37" s="297">
        <f>SUMIFS($G:$G,$H:$H,$P37,$F:$F,TEXT(AP$5,"00") &amp; "." &amp; TEXT($A$1,"00"))</f>
        <v>0</v>
      </c>
      <c r="AQ37" s="297">
        <f>SUMIFS($G:$G,$H:$H,$P37,$F:$F,TEXT(AQ$5,"00") &amp; "." &amp; TEXT($A$1,"00"))</f>
        <v>0</v>
      </c>
      <c r="AR37" s="297">
        <f>SUMIFS($G:$G,$H:$H,$P37,$F:$F,TEXT(AR$5,"00") &amp; "." &amp; TEXT($A$1,"00"))</f>
        <v>0</v>
      </c>
      <c r="AS37" s="297">
        <f>SUMIFS($G:$G,$H:$H,$P37,$F:$F,TEXT(AS$5,"00") &amp; "." &amp; TEXT($A$1,"00"))</f>
        <v>0</v>
      </c>
      <c r="AT37" s="297">
        <f>SUMIFS($G:$G,$H:$H,$P37,$F:$F,TEXT(AT$5,"00") &amp; "." &amp; TEXT($A$1,"00"))</f>
        <v>0</v>
      </c>
      <c r="AU37" s="297">
        <f>SUMIFS($G:$G,$H:$H,$P37,$F:$F,TEXT(AU$5,"00") &amp; "." &amp; TEXT($A$1,"00"))</f>
        <v>0</v>
      </c>
      <c r="AV37" s="297">
        <f>SUMIFS($G:$G,$H:$H,$P37,$F:$F,TEXT(AV$5,"00") &amp; "." &amp; TEXT($A$1,"00"))</f>
        <v>0</v>
      </c>
      <c r="AW37" s="294">
        <f t="shared" si="1"/>
        <v>0</v>
      </c>
    </row>
    <row r="38" spans="1:49">
      <c r="A38" s="459"/>
      <c r="B38" s="150"/>
      <c r="C38" s="150"/>
      <c r="D38" s="202"/>
      <c r="E38" s="277"/>
      <c r="G38" s="204">
        <v>10000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77"/>
      <c r="G39" s="204">
        <v>3217.61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04">
        <v>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04">
        <v>6327</v>
      </c>
      <c r="H41" s="204" t="s">
        <v>327</v>
      </c>
      <c r="I41" s="204" t="str">
        <f>_xlfn.XLOOKUP(H41,Dropdown!B:B,Dropdown!C:C)</f>
        <v>עסק</v>
      </c>
      <c r="J41" s="204" t="s">
        <v>399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31887.510000000002</v>
      </c>
      <c r="G42" s="204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10836.85</v>
      </c>
      <c r="C43" s="269" t="s">
        <v>451</v>
      </c>
      <c r="D43" s="205">
        <f ca="1">50000-C4</f>
        <v>37042.82</v>
      </c>
      <c r="G43" s="204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  <c r="P43" s="204" t="s">
        <v>639</v>
      </c>
      <c r="Q43" s="352">
        <f ca="1">'3'!Q46</f>
        <v>-18787.73000000001</v>
      </c>
      <c r="R43" s="352">
        <f ca="1">'3'!R46</f>
        <v>188745.61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8650.5800000000017</v>
      </c>
      <c r="G44" s="204">
        <v>1713</v>
      </c>
      <c r="H44" s="204" t="s">
        <v>236</v>
      </c>
      <c r="I44" s="204" t="str">
        <f>_xlfn.XLOOKUP(H44,Dropdown!B:B,Dropdown!C:C)</f>
        <v>עסק</v>
      </c>
      <c r="J44" s="204" t="s">
        <v>352</v>
      </c>
      <c r="P44" s="204" t="s">
        <v>25</v>
      </c>
      <c r="Q44" s="352">
        <f ca="1">C24</f>
        <v>45009.95</v>
      </c>
      <c r="R44" s="352">
        <f>177315+354630</f>
        <v>531945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04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  <c r="P45" s="204" t="s">
        <v>49</v>
      </c>
      <c r="Q45" s="352">
        <f ca="1">C18-R45+R44+SUMIFS((INDIRECT("'"&amp;$A$1&amp;"'!"&amp;"G:G")), (INDIRECT("'"&amp;$A$1&amp;"'!"&amp;"H:H")), R42, (INDIRECT("'"&amp;$A$1&amp;"'!"&amp;"J:J")), "ל-פ 1")+SUMIFS((INDIRECT("'"&amp;$B$1&amp;"'!"&amp;"G:G")),(INDIRECT("'"&amp;$B$1&amp;"'!"&amp;"H:H")), R42,(INDIRECT("'"&amp;$B$1&amp;"'!"&amp;"J:J")), "ל-פ 2")</f>
        <v>30042.890000000014</v>
      </c>
      <c r="R45" s="352">
        <f ca="1">SUMIFS(G:G,H:H,R42,J:J,"העברה")+SUMIFS((INDIRECT("'"&amp;$A$1&amp;"'!"&amp;"G:G")), (INDIRECT("'"&amp;$A$1&amp;"'!"&amp;"H:H")), R42, (INDIRECT("'"&amp;$A$1&amp;"'!"&amp;"J:J")), "*1*")+SUMIFS((INDIRECT("'"&amp;$B$1&amp;"'!"&amp;"G:G")),(INDIRECT("'"&amp;$B$1&amp;"'!"&amp;"H:H")), R42,(INDIRECT("'"&amp;$B$1&amp;"'!"&amp;"J:J")), "*2*")</f>
        <v>360500</v>
      </c>
    </row>
    <row r="46" spans="1:49" ht="13.5" thickBot="1">
      <c r="B46" s="268"/>
      <c r="C46" s="272"/>
      <c r="D46" s="257">
        <f ca="1">SUM(D42:D45)</f>
        <v>77580.91</v>
      </c>
      <c r="G46" s="204">
        <v>64.44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  <c r="P46" s="204" t="s">
        <v>273</v>
      </c>
      <c r="Q46" s="352">
        <f ca="1">Q43+Q44-Q45</f>
        <v>-3820.6700000000274</v>
      </c>
      <c r="R46" s="352">
        <f ca="1">R43+R44-R45</f>
        <v>360190.61</v>
      </c>
    </row>
    <row r="47" spans="1:49">
      <c r="D47" s="136"/>
      <c r="G47" s="204">
        <v>67</v>
      </c>
      <c r="H47" s="204" t="s">
        <v>406</v>
      </c>
      <c r="I47" s="204" t="str">
        <f>_xlfn.XLOOKUP(H47,Dropdown!B:B,Dropdown!C:C)</f>
        <v>מזון וקניות</v>
      </c>
      <c r="J47" s="204" t="s">
        <v>166</v>
      </c>
      <c r="M47" t="s">
        <v>577</v>
      </c>
    </row>
    <row r="48" spans="1:49">
      <c r="D48" s="136"/>
      <c r="G48" s="279">
        <v>600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409</v>
      </c>
    </row>
    <row r="49" spans="1:14">
      <c r="D49" s="136"/>
      <c r="G49" s="204">
        <v>700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383</v>
      </c>
    </row>
    <row r="50" spans="1:14">
      <c r="D50" s="136"/>
      <c r="G50" s="279">
        <v>450</v>
      </c>
      <c r="H50" s="204" t="s">
        <v>111</v>
      </c>
      <c r="I50" s="204" t="str">
        <f>_xlfn.XLOOKUP(H50,Dropdown!B:B,Dropdown!C:C)</f>
        <v>ילדים וחינוך</v>
      </c>
      <c r="J50" s="204" t="s">
        <v>166</v>
      </c>
      <c r="M50" s="275" t="s">
        <v>382</v>
      </c>
    </row>
    <row r="51" spans="1:14">
      <c r="D51" s="136"/>
      <c r="G51" s="204">
        <v>45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410</v>
      </c>
    </row>
    <row r="52" spans="1:14" ht="13.5" thickBot="1">
      <c r="D52" s="136"/>
      <c r="G52" s="204">
        <v>0</v>
      </c>
      <c r="H52" s="204" t="s">
        <v>111</v>
      </c>
      <c r="I52" s="204" t="str">
        <f>_xlfn.XLOOKUP(H52,Dropdown!B:B,Dropdown!C:C)</f>
        <v>ילדים וחינוך</v>
      </c>
      <c r="J52" s="204" t="s">
        <v>165</v>
      </c>
      <c r="M52" s="275" t="s">
        <v>411</v>
      </c>
    </row>
    <row r="53" spans="1:14">
      <c r="D53" s="136"/>
      <c r="F53" s="219" t="s">
        <v>404</v>
      </c>
      <c r="G53" s="225"/>
      <c r="H53" s="225"/>
      <c r="I53" s="225"/>
      <c r="J53" s="225"/>
      <c r="K53" s="225"/>
      <c r="L53" s="225"/>
      <c r="M53" s="274"/>
      <c r="N53" s="274"/>
    </row>
    <row r="54" spans="1:14">
      <c r="G54" s="204">
        <f>1810/4</f>
        <v>452.5</v>
      </c>
      <c r="H54" s="204" t="s">
        <v>102</v>
      </c>
      <c r="I54" s="204" t="str">
        <f>_xlfn.XLOOKUP(H54,[2]Dropdown!B:B,[2]Dropdown!C:C)</f>
        <v>רכב ונסיעות</v>
      </c>
      <c r="J54" s="204" t="s">
        <v>399</v>
      </c>
      <c r="K54" s="227">
        <v>2</v>
      </c>
      <c r="L54" s="228" t="s">
        <v>620</v>
      </c>
      <c r="M54" s="228" t="s">
        <v>405</v>
      </c>
      <c r="N54" s="228"/>
    </row>
    <row r="55" spans="1:14">
      <c r="G55" s="204">
        <v>735.08</v>
      </c>
      <c r="H55" s="204" t="s">
        <v>102</v>
      </c>
      <c r="I55" s="204" t="str">
        <f>_xlfn.XLOOKUP(H55,[2]Dropdown!B:B,[2]Dropdown!C:C)</f>
        <v>רכב ונסיעות</v>
      </c>
      <c r="J55" s="204" t="s">
        <v>400</v>
      </c>
      <c r="K55" s="227">
        <v>2</v>
      </c>
      <c r="L55" s="228" t="s">
        <v>620</v>
      </c>
      <c r="M55" s="228" t="s">
        <v>405</v>
      </c>
      <c r="N55" s="228"/>
    </row>
    <row r="56" spans="1:14">
      <c r="G56" s="204">
        <v>2000</v>
      </c>
      <c r="H56" s="204" t="s">
        <v>374</v>
      </c>
      <c r="I56" s="204" t="str">
        <f>_xlfn.XLOOKUP(H56,Dropdown!B:B,Dropdown!C:C)</f>
        <v>תחזוקת דירה ותקשורת</v>
      </c>
      <c r="J56" s="204" t="s">
        <v>399</v>
      </c>
      <c r="K56" s="227">
        <v>0</v>
      </c>
      <c r="L56" s="253" t="s">
        <v>553</v>
      </c>
    </row>
    <row r="57" spans="1:14">
      <c r="G57" s="204">
        <v>1106.25</v>
      </c>
      <c r="H57" s="204" t="s">
        <v>124</v>
      </c>
      <c r="I57" s="204" t="str">
        <f>_xlfn.XLOOKUP(H57,Dropdown!B:B,Dropdown!C:C)</f>
        <v>תרבות ופנאי</v>
      </c>
      <c r="J57" s="204" t="s">
        <v>165</v>
      </c>
      <c r="K57" s="227">
        <v>1</v>
      </c>
      <c r="L57" s="253" t="s">
        <v>588</v>
      </c>
      <c r="M57" s="275" t="s">
        <v>589</v>
      </c>
    </row>
    <row r="58" spans="1:14">
      <c r="G58" s="204">
        <v>1500.99</v>
      </c>
      <c r="H58" s="204" t="s">
        <v>118</v>
      </c>
      <c r="I58" s="204" t="str">
        <f>_xlfn.XLOOKUP(H58,[2]Dropdown!B:B,[2]Dropdown!C:C)</f>
        <v>תרבות ופנאי</v>
      </c>
      <c r="J58" s="204" t="s">
        <v>400</v>
      </c>
      <c r="K58" s="227">
        <v>2</v>
      </c>
      <c r="L58" s="253" t="s">
        <v>612</v>
      </c>
      <c r="M58" s="275" t="s">
        <v>613</v>
      </c>
    </row>
    <row r="59" spans="1:14">
      <c r="G59" s="204">
        <v>2000</v>
      </c>
      <c r="H59" s="204" t="s">
        <v>374</v>
      </c>
      <c r="I59" s="204" t="str">
        <f>_xlfn.XLOOKUP(H59,[2]Dropdown!B:B,[2]Dropdown!C:C)</f>
        <v>תחזוקת דירה ותקשורת</v>
      </c>
      <c r="J59" s="204" t="s">
        <v>168</v>
      </c>
      <c r="K59" s="227">
        <v>9</v>
      </c>
      <c r="L59" s="253" t="s">
        <v>610</v>
      </c>
      <c r="M59" s="275" t="s">
        <v>609</v>
      </c>
    </row>
    <row r="60" spans="1:14">
      <c r="G60" s="204">
        <v>587.72</v>
      </c>
      <c r="H60" s="204" t="s">
        <v>111</v>
      </c>
      <c r="I60" s="204" t="str">
        <f>_xlfn.XLOOKUP(H60,Dropdown!B:B,Dropdown!C:C)</f>
        <v>ילדים וחינוך</v>
      </c>
      <c r="J60" s="204" t="s">
        <v>165</v>
      </c>
      <c r="K60" s="227">
        <v>3</v>
      </c>
      <c r="M60" s="275" t="s">
        <v>412</v>
      </c>
    </row>
    <row r="61" spans="1:14">
      <c r="G61" s="204">
        <v>1079.6099999999999</v>
      </c>
      <c r="H61" s="204" t="s">
        <v>118</v>
      </c>
      <c r="I61" s="204" t="str">
        <f>_xlfn.XLOOKUP(H61,Dropdown!B:B,Dropdown!C:C)</f>
        <v>תרבות ופנאי</v>
      </c>
      <c r="J61" s="204" t="s">
        <v>166</v>
      </c>
      <c r="K61" s="227">
        <v>2</v>
      </c>
      <c r="L61" s="253" t="s">
        <v>719</v>
      </c>
      <c r="M61" s="275" t="s">
        <v>724</v>
      </c>
    </row>
    <row r="62" spans="1:14">
      <c r="G62" s="204">
        <v>300</v>
      </c>
      <c r="H62" s="204" t="s">
        <v>279</v>
      </c>
      <c r="I62" s="204" t="str">
        <f>_xlfn.XLOOKUP(H62,Dropdown!B:B,Dropdown!C:C)</f>
        <v>מזון וקניות</v>
      </c>
      <c r="J62" s="204" t="s">
        <v>166</v>
      </c>
      <c r="K62" s="227">
        <v>1</v>
      </c>
      <c r="L62" s="253" t="s">
        <v>722</v>
      </c>
      <c r="M62" s="275" t="s">
        <v>723</v>
      </c>
    </row>
    <row r="63" spans="1:14">
      <c r="G63" s="204">
        <v>600</v>
      </c>
      <c r="H63" s="204" t="s">
        <v>100</v>
      </c>
      <c r="I63" s="204" t="str">
        <f>_xlfn.XLOOKUP(H63,Dropdown!B:B,Dropdown!C:C)</f>
        <v>רכב ונסיעות</v>
      </c>
      <c r="J63" s="204" t="s">
        <v>400</v>
      </c>
      <c r="K63" s="227">
        <v>1</v>
      </c>
      <c r="L63" s="253" t="s">
        <v>737</v>
      </c>
      <c r="M63" s="275" t="s">
        <v>738</v>
      </c>
    </row>
    <row r="64" spans="1:14" ht="13.5" thickBot="1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04">
        <v>474.7</v>
      </c>
      <c r="H64" s="204" t="s">
        <v>87</v>
      </c>
      <c r="I64" s="204" t="str">
        <f>_xlfn.XLOOKUP(H64,Dropdown!B:B,Dropdown!C:C)</f>
        <v>תחזוקת דירה ותקשורת</v>
      </c>
      <c r="J64" s="204" t="s">
        <v>166</v>
      </c>
      <c r="K64" s="227">
        <v>0</v>
      </c>
      <c r="L64" s="253" t="s">
        <v>657</v>
      </c>
    </row>
    <row r="65" spans="1:14">
      <c r="A65" s="204" t="s">
        <v>426</v>
      </c>
      <c r="B65" s="204">
        <f>SUMIF(I:I,A65,G:G)-SUMIF(H:H,"הוצאות על הבנייה",G:G)</f>
        <v>372042.95999999996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359220.95999999996</v>
      </c>
      <c r="F65" s="219" t="s">
        <v>287</v>
      </c>
      <c r="G65" s="225"/>
      <c r="H65" s="225"/>
      <c r="I65" s="225"/>
      <c r="J65" s="225"/>
      <c r="K65" s="225"/>
      <c r="L65" s="225"/>
      <c r="M65" s="274"/>
      <c r="N65" s="274"/>
    </row>
    <row r="66" spans="1:14">
      <c r="A66" s="227" t="s">
        <v>425</v>
      </c>
      <c r="B66" s="251">
        <f>SUMIF(I:I,A66,G:G)</f>
        <v>11791.089999999995</v>
      </c>
      <c r="C66" s="204">
        <f>'ממוצע ורצוי'!$N$38</f>
        <v>9000</v>
      </c>
      <c r="D66" s="204">
        <f t="shared" ref="D66:D71" si="2">IF(C66-B66&lt;0,0,C66-B66)</f>
        <v>0</v>
      </c>
      <c r="E66" s="204">
        <f t="shared" ref="E66:E71" si="3">IF(C66-B66&lt;0,(C66-B66)*-1,0)</f>
        <v>2791.0899999999947</v>
      </c>
      <c r="F66" s="226" t="s">
        <v>658</v>
      </c>
      <c r="G66" s="250">
        <v>58.64</v>
      </c>
      <c r="H66" s="204" t="s">
        <v>91</v>
      </c>
      <c r="I66" s="204" t="str">
        <f>_xlfn.XLOOKUP(H66,Dropdown!B:B,Dropdown!C:C)</f>
        <v>מזון וקניות</v>
      </c>
      <c r="J66" s="204" t="s">
        <v>167</v>
      </c>
    </row>
    <row r="67" spans="1:14">
      <c r="A67" s="227" t="s">
        <v>424</v>
      </c>
      <c r="B67" s="136">
        <f>SUMIF(I:I,A67,G:G)</f>
        <v>4022.6400000000003</v>
      </c>
      <c r="C67" s="204">
        <f>'ממוצע ורצוי'!$N$54</f>
        <v>3240</v>
      </c>
      <c r="D67" s="204">
        <f t="shared" si="2"/>
        <v>0</v>
      </c>
      <c r="E67" s="204">
        <f t="shared" si="3"/>
        <v>782.64000000000033</v>
      </c>
      <c r="F67" s="226" t="s">
        <v>654</v>
      </c>
      <c r="G67" s="204">
        <v>29</v>
      </c>
      <c r="H67" s="204" t="s">
        <v>276</v>
      </c>
      <c r="I67" s="204" t="str">
        <f>_xlfn.XLOOKUP(H67,Dropdown!B:B,Dropdown!C:C)</f>
        <v>תרבות ופנאי</v>
      </c>
      <c r="J67" s="204" t="s">
        <v>165</v>
      </c>
    </row>
    <row r="68" spans="1:14">
      <c r="A68" s="227" t="s">
        <v>423</v>
      </c>
      <c r="B68" s="136">
        <f>SUMIF(I:I,A68,G:G)</f>
        <v>3635.7200000000003</v>
      </c>
      <c r="C68" s="204">
        <f>'ממוצע ורצוי'!$N$71</f>
        <v>4900</v>
      </c>
      <c r="D68" s="204">
        <f t="shared" si="2"/>
        <v>1264.2799999999997</v>
      </c>
      <c r="E68" s="204">
        <f t="shared" si="3"/>
        <v>0</v>
      </c>
      <c r="F68" s="226" t="s">
        <v>654</v>
      </c>
      <c r="G68" s="250">
        <v>599</v>
      </c>
      <c r="H68" s="204" t="s">
        <v>109</v>
      </c>
      <c r="I68" s="204" t="str">
        <f>_xlfn.XLOOKUP(H68,Dropdown!B:B,Dropdown!C:C)</f>
        <v>ילדים וחינוך</v>
      </c>
      <c r="J68" s="204" t="s">
        <v>399</v>
      </c>
    </row>
    <row r="69" spans="1:14">
      <c r="A69" s="252" t="s">
        <v>422</v>
      </c>
      <c r="B69" s="136">
        <f>SUMIF(I:I,A69,G:G)</f>
        <v>9483.65</v>
      </c>
      <c r="C69" s="204">
        <f>'ממוצע ורצוי'!$N$88</f>
        <v>2600</v>
      </c>
      <c r="D69" s="204">
        <f t="shared" si="2"/>
        <v>0</v>
      </c>
      <c r="E69" s="204">
        <f t="shared" si="3"/>
        <v>6883.65</v>
      </c>
      <c r="F69" s="226" t="s">
        <v>654</v>
      </c>
      <c r="G69" s="250">
        <v>299</v>
      </c>
      <c r="H69" s="204" t="s">
        <v>109</v>
      </c>
      <c r="I69" s="204" t="str">
        <f>_xlfn.XLOOKUP(H69,Dropdown!B:B,Dropdown!C:C)</f>
        <v>ילדים וחינוך</v>
      </c>
      <c r="J69" s="204" t="s">
        <v>399</v>
      </c>
    </row>
    <row r="70" spans="1:14">
      <c r="A70" s="227" t="s">
        <v>421</v>
      </c>
      <c r="B70" s="136">
        <f>SUMIF(I:I,A70,G:G)</f>
        <v>1712.45</v>
      </c>
      <c r="C70" s="204">
        <f>'ממוצע ורצוי'!$N$98</f>
        <v>980</v>
      </c>
      <c r="D70" s="204">
        <f t="shared" si="2"/>
        <v>0</v>
      </c>
      <c r="E70" s="204">
        <f t="shared" si="3"/>
        <v>732.45</v>
      </c>
      <c r="F70" s="226" t="s">
        <v>659</v>
      </c>
      <c r="G70" s="250">
        <v>1856</v>
      </c>
      <c r="H70" s="204" t="s">
        <v>87</v>
      </c>
      <c r="I70" s="204" t="str">
        <f>_xlfn.XLOOKUP(H70,Dropdown!B:B,Dropdown!C:C)</f>
        <v>תחזוקת דירה ותקשורת</v>
      </c>
      <c r="J70" s="204" t="s">
        <v>167</v>
      </c>
    </row>
    <row r="71" spans="1:14">
      <c r="A71" s="227" t="s">
        <v>420</v>
      </c>
      <c r="B71" s="136">
        <f ca="1">SUMIF(I:I,A71,G:G)</f>
        <v>1460.27</v>
      </c>
      <c r="C71" s="204">
        <f>'ממוצע ורצוי'!$N$111</f>
        <v>1330</v>
      </c>
      <c r="D71" s="204">
        <f t="shared" ca="1" si="2"/>
        <v>0</v>
      </c>
      <c r="E71" s="204">
        <f t="shared" ca="1" si="3"/>
        <v>130.26999999999998</v>
      </c>
      <c r="F71" s="226" t="s">
        <v>655</v>
      </c>
      <c r="G71" s="204">
        <v>35</v>
      </c>
      <c r="H71" s="204" t="s">
        <v>91</v>
      </c>
      <c r="I71" s="204" t="str">
        <f>_xlfn.XLOOKUP(H71,Dropdown!B:B,Dropdown!C:C)</f>
        <v>מזון וקניות</v>
      </c>
      <c r="J71" s="204" t="s">
        <v>165</v>
      </c>
    </row>
    <row r="72" spans="1:14">
      <c r="A72" s="227"/>
      <c r="B72" s="136"/>
      <c r="F72" s="226" t="s">
        <v>655</v>
      </c>
      <c r="G72" s="204">
        <v>754</v>
      </c>
      <c r="H72" s="204" t="s">
        <v>276</v>
      </c>
      <c r="I72" s="204" t="str">
        <f>_xlfn.XLOOKUP(H72,Dropdown!B:B,Dropdown!C:C)</f>
        <v>תרבות ופנאי</v>
      </c>
      <c r="J72" s="204" t="s">
        <v>165</v>
      </c>
    </row>
    <row r="73" spans="1:14">
      <c r="A73" s="227"/>
      <c r="B73" s="136"/>
      <c r="F73" s="226" t="s">
        <v>655</v>
      </c>
      <c r="G73" s="250">
        <v>32</v>
      </c>
      <c r="H73" s="204" t="s">
        <v>91</v>
      </c>
      <c r="I73" s="204" t="str">
        <f>_xlfn.XLOOKUP(H73,Dropdown!B:B,Dropdown!C:C)</f>
        <v>מזון וקניות</v>
      </c>
      <c r="J73" s="204" t="s">
        <v>165</v>
      </c>
    </row>
    <row r="74" spans="1:14">
      <c r="F74" s="226" t="s">
        <v>655</v>
      </c>
      <c r="G74" s="250">
        <v>32.799999999999997</v>
      </c>
      <c r="H74" s="204" t="s">
        <v>91</v>
      </c>
      <c r="I74" s="204" t="str">
        <f>_xlfn.XLOOKUP(H74,Dropdown!B:B,Dropdown!C:C)</f>
        <v>מזון וקניות</v>
      </c>
      <c r="J74" s="204" t="s">
        <v>167</v>
      </c>
    </row>
    <row r="75" spans="1:14">
      <c r="F75" s="226" t="s">
        <v>655</v>
      </c>
      <c r="G75" s="250">
        <v>248.65</v>
      </c>
      <c r="H75" s="204" t="s">
        <v>99</v>
      </c>
      <c r="I75" s="204" t="str">
        <f>_xlfn.XLOOKUP(H75,Dropdown!B:B,Dropdown!C:C)</f>
        <v>רכב ונסיעות</v>
      </c>
      <c r="J75" s="204" t="s">
        <v>167</v>
      </c>
    </row>
    <row r="76" spans="1:14">
      <c r="F76" s="226" t="s">
        <v>656</v>
      </c>
      <c r="G76" s="250">
        <v>175.89</v>
      </c>
      <c r="H76" s="204" t="s">
        <v>91</v>
      </c>
      <c r="I76" s="204" t="str">
        <f>_xlfn.XLOOKUP(H76,Dropdown!B:B,Dropdown!C:C)</f>
        <v>מזון וקניות</v>
      </c>
      <c r="J76" s="204" t="s">
        <v>165</v>
      </c>
    </row>
    <row r="77" spans="1:14">
      <c r="F77" s="226" t="s">
        <v>656</v>
      </c>
      <c r="G77" s="250">
        <v>519.6</v>
      </c>
      <c r="H77" s="204" t="s">
        <v>96</v>
      </c>
      <c r="I77" s="204" t="str">
        <f>_xlfn.XLOOKUP(H77,Dropdown!B:B,Dropdown!C:C)</f>
        <v>מזון וקניות</v>
      </c>
      <c r="J77" s="204" t="s">
        <v>399</v>
      </c>
    </row>
    <row r="78" spans="1:14">
      <c r="F78" s="226" t="s">
        <v>653</v>
      </c>
      <c r="G78" s="250">
        <v>24</v>
      </c>
      <c r="H78" s="204" t="s">
        <v>139</v>
      </c>
      <c r="I78" s="204" t="str">
        <f>_xlfn.XLOOKUP(H78,Dropdown!B:B,Dropdown!C:C)</f>
        <v>תרבות ופנאי</v>
      </c>
      <c r="J78" s="204" t="s">
        <v>167</v>
      </c>
    </row>
    <row r="79" spans="1:14">
      <c r="F79" s="226" t="s">
        <v>653</v>
      </c>
      <c r="G79" s="250">
        <v>32</v>
      </c>
      <c r="H79" s="204" t="s">
        <v>139</v>
      </c>
      <c r="I79" s="204" t="str">
        <f>_xlfn.XLOOKUP(H79,Dropdown!B:B,Dropdown!C:C)</f>
        <v>תרבות ופנאי</v>
      </c>
      <c r="J79" s="204" t="s">
        <v>167</v>
      </c>
    </row>
    <row r="80" spans="1:14">
      <c r="F80" s="226" t="s">
        <v>653</v>
      </c>
      <c r="G80" s="250">
        <v>141600</v>
      </c>
      <c r="H80" s="204" t="s">
        <v>374</v>
      </c>
      <c r="I80" s="204" t="str">
        <f>_xlfn.XLOOKUP(H80,Dropdown!B:B,Dropdown!C:C)</f>
        <v>תחזוקת דירה ותקשורת</v>
      </c>
      <c r="J80" s="204" t="s">
        <v>20</v>
      </c>
      <c r="N80" s="350"/>
    </row>
    <row r="81" spans="6:10">
      <c r="F81" s="226" t="s">
        <v>653</v>
      </c>
      <c r="G81" s="250">
        <v>60</v>
      </c>
      <c r="H81" s="204" t="s">
        <v>126</v>
      </c>
      <c r="I81" s="204" t="str">
        <f>_xlfn.XLOOKUP(H81,Dropdown!B:B,Dropdown!C:C)</f>
        <v>בריאות וטיפולים</v>
      </c>
      <c r="J81" s="204" t="s">
        <v>165</v>
      </c>
    </row>
    <row r="82" spans="6:10">
      <c r="F82" s="226" t="s">
        <v>653</v>
      </c>
      <c r="G82" s="250">
        <v>68.5</v>
      </c>
      <c r="H82" s="204" t="s">
        <v>91</v>
      </c>
      <c r="I82" s="204" t="str">
        <f>_xlfn.XLOOKUP(H82,Dropdown!B:B,Dropdown!C:C)</f>
        <v>מזון וקניות</v>
      </c>
      <c r="J82" s="204" t="s">
        <v>165</v>
      </c>
    </row>
    <row r="83" spans="6:10">
      <c r="F83" s="226" t="s">
        <v>653</v>
      </c>
      <c r="G83" s="250">
        <v>322.66000000000003</v>
      </c>
      <c r="H83" s="204" t="s">
        <v>91</v>
      </c>
      <c r="I83" s="204" t="str">
        <f>_xlfn.XLOOKUP(H83,Dropdown!B:B,Dropdown!C:C)</f>
        <v>מזון וקניות</v>
      </c>
      <c r="J83" s="204" t="s">
        <v>167</v>
      </c>
    </row>
    <row r="84" spans="6:10">
      <c r="F84" s="226" t="s">
        <v>653</v>
      </c>
      <c r="G84" s="250">
        <v>7</v>
      </c>
      <c r="H84" s="204" t="s">
        <v>276</v>
      </c>
      <c r="I84" s="204" t="str">
        <f>_xlfn.XLOOKUP(H84,Dropdown!B:B,Dropdown!C:C)</f>
        <v>תרבות ופנאי</v>
      </c>
      <c r="J84" s="204" t="s">
        <v>167</v>
      </c>
    </row>
    <row r="85" spans="6:10">
      <c r="F85" s="226" t="s">
        <v>661</v>
      </c>
      <c r="G85" s="250">
        <v>52</v>
      </c>
      <c r="H85" s="204" t="s">
        <v>128</v>
      </c>
      <c r="I85" s="204" t="str">
        <f>_xlfn.XLOOKUP(H85,Dropdown!B:B,Dropdown!C:C)</f>
        <v>בריאות וטיפולים</v>
      </c>
      <c r="J85" s="204" t="s">
        <v>167</v>
      </c>
    </row>
    <row r="86" spans="6:10">
      <c r="F86" s="226" t="s">
        <v>661</v>
      </c>
      <c r="G86" s="250">
        <v>42.62</v>
      </c>
      <c r="H86" s="204" t="s">
        <v>91</v>
      </c>
      <c r="I86" s="204" t="str">
        <f>_xlfn.XLOOKUP(H86,Dropdown!B:B,Dropdown!C:C)</f>
        <v>מזון וקניות</v>
      </c>
      <c r="J86" s="204" t="s">
        <v>167</v>
      </c>
    </row>
    <row r="87" spans="6:10">
      <c r="F87" s="226" t="s">
        <v>661</v>
      </c>
      <c r="G87" s="250">
        <v>29.8</v>
      </c>
      <c r="H87" s="204" t="s">
        <v>91</v>
      </c>
      <c r="I87" s="204" t="str">
        <f>_xlfn.XLOOKUP(H87,Dropdown!B:B,Dropdown!C:C)</f>
        <v>מזון וקניות</v>
      </c>
      <c r="J87" s="204" t="s">
        <v>167</v>
      </c>
    </row>
    <row r="88" spans="6:10">
      <c r="F88" s="226" t="s">
        <v>660</v>
      </c>
      <c r="G88" s="250">
        <v>225</v>
      </c>
      <c r="H88" s="204" t="s">
        <v>317</v>
      </c>
      <c r="I88" s="204" t="str">
        <f>_xlfn.XLOOKUP(H88,Dropdown!B:B,Dropdown!C:C)</f>
        <v>בריאות וטיפולים</v>
      </c>
      <c r="J88" s="204" t="s">
        <v>165</v>
      </c>
    </row>
    <row r="89" spans="6:10">
      <c r="F89" s="226" t="s">
        <v>660</v>
      </c>
      <c r="G89" s="250">
        <v>198</v>
      </c>
      <c r="H89" s="204" t="s">
        <v>95</v>
      </c>
      <c r="I89" s="204" t="str">
        <f>_xlfn.XLOOKUP(H89,Dropdown!B:B,Dropdown!C:C)</f>
        <v>מזון וקניות</v>
      </c>
      <c r="J89" s="204" t="s">
        <v>165</v>
      </c>
    </row>
    <row r="90" spans="6:10">
      <c r="F90" s="226" t="s">
        <v>660</v>
      </c>
      <c r="G90" s="250">
        <v>30</v>
      </c>
      <c r="H90" s="204" t="s">
        <v>276</v>
      </c>
      <c r="I90" s="204" t="str">
        <f>_xlfn.XLOOKUP(H90,Dropdown!B:B,Dropdown!C:C)</f>
        <v>תרבות ופנאי</v>
      </c>
      <c r="J90" s="204" t="s">
        <v>165</v>
      </c>
    </row>
    <row r="91" spans="6:10">
      <c r="F91" s="226" t="s">
        <v>660</v>
      </c>
      <c r="G91" s="250">
        <v>432.35</v>
      </c>
      <c r="H91" s="204" t="s">
        <v>91</v>
      </c>
      <c r="I91" s="204" t="str">
        <f>_xlfn.XLOOKUP(H91,Dropdown!B:B,Dropdown!C:C)</f>
        <v>מזון וקניות</v>
      </c>
      <c r="J91" s="204" t="s">
        <v>165</v>
      </c>
    </row>
    <row r="92" spans="6:10">
      <c r="F92" s="226" t="s">
        <v>660</v>
      </c>
      <c r="G92" s="250">
        <v>746.12</v>
      </c>
      <c r="H92" s="204" t="s">
        <v>91</v>
      </c>
      <c r="I92" s="204" t="str">
        <f>_xlfn.XLOOKUP(H92,Dropdown!B:B,Dropdown!C:C)</f>
        <v>מזון וקניות</v>
      </c>
      <c r="J92" s="204" t="s">
        <v>166</v>
      </c>
    </row>
    <row r="93" spans="6:10">
      <c r="F93" s="226" t="s">
        <v>660</v>
      </c>
      <c r="G93" s="250">
        <v>148</v>
      </c>
      <c r="H93" s="204" t="s">
        <v>121</v>
      </c>
      <c r="I93" s="204" t="str">
        <f>_xlfn.XLOOKUP(H93,Dropdown!B:B,Dropdown!C:C)</f>
        <v>תרבות ופנאי</v>
      </c>
      <c r="J93" s="204" t="s">
        <v>167</v>
      </c>
    </row>
    <row r="94" spans="6:10">
      <c r="F94" s="226" t="s">
        <v>662</v>
      </c>
      <c r="G94" s="250">
        <v>70</v>
      </c>
      <c r="H94" s="204" t="s">
        <v>139</v>
      </c>
      <c r="I94" s="204" t="str">
        <f>_xlfn.XLOOKUP(H94,Dropdown!B:B,Dropdown!C:C)</f>
        <v>תרבות ופנאי</v>
      </c>
      <c r="J94" s="204" t="s">
        <v>167</v>
      </c>
    </row>
    <row r="95" spans="6:10">
      <c r="F95" s="226" t="s">
        <v>662</v>
      </c>
      <c r="G95" s="250">
        <v>45</v>
      </c>
      <c r="H95" s="204" t="s">
        <v>139</v>
      </c>
      <c r="I95" s="204" t="str">
        <f>_xlfn.XLOOKUP(H95,Dropdown!B:B,Dropdown!C:C)</f>
        <v>תרבות ופנאי</v>
      </c>
      <c r="J95" s="204" t="s">
        <v>167</v>
      </c>
    </row>
    <row r="96" spans="6:10">
      <c r="F96" s="226" t="s">
        <v>662</v>
      </c>
      <c r="G96" s="250">
        <v>25.4</v>
      </c>
      <c r="H96" s="204" t="s">
        <v>91</v>
      </c>
      <c r="I96" s="204" t="str">
        <f>_xlfn.XLOOKUP(H96,Dropdown!B:B,Dropdown!C:C)</f>
        <v>מזון וקניות</v>
      </c>
      <c r="J96" s="204" t="s">
        <v>167</v>
      </c>
    </row>
    <row r="97" spans="6:10">
      <c r="F97" s="226" t="s">
        <v>662</v>
      </c>
      <c r="G97" s="250">
        <v>8</v>
      </c>
      <c r="H97" s="204" t="s">
        <v>91</v>
      </c>
      <c r="I97" s="204" t="str">
        <f>_xlfn.XLOOKUP(H97,Dropdown!B:B,Dropdown!C:C)</f>
        <v>מזון וקניות</v>
      </c>
      <c r="J97" s="204" t="s">
        <v>167</v>
      </c>
    </row>
    <row r="98" spans="6:10">
      <c r="F98" s="226" t="s">
        <v>662</v>
      </c>
      <c r="G98" s="250">
        <v>141.9</v>
      </c>
      <c r="H98" s="204" t="s">
        <v>91</v>
      </c>
      <c r="I98" s="204" t="str">
        <f>_xlfn.XLOOKUP(H98,Dropdown!B:B,Dropdown!C:C)</f>
        <v>מזון וקניות</v>
      </c>
      <c r="J98" s="204" t="s">
        <v>167</v>
      </c>
    </row>
    <row r="99" spans="6:10">
      <c r="F99" s="226" t="s">
        <v>662</v>
      </c>
      <c r="G99" s="250">
        <v>20</v>
      </c>
      <c r="H99" s="204" t="s">
        <v>103</v>
      </c>
      <c r="I99" s="204" t="str">
        <f>_xlfn.XLOOKUP(H99,Dropdown!B:B,Dropdown!C:C)</f>
        <v>רכב ונסיעות</v>
      </c>
      <c r="J99" s="204" t="s">
        <v>167</v>
      </c>
    </row>
    <row r="100" spans="6:10">
      <c r="F100" s="226" t="s">
        <v>662</v>
      </c>
      <c r="G100" s="250">
        <v>88</v>
      </c>
      <c r="H100" s="204" t="s">
        <v>139</v>
      </c>
      <c r="I100" s="204" t="str">
        <f>_xlfn.XLOOKUP(H100,Dropdown!B:B,Dropdown!C:C)</f>
        <v>תרבות ופנאי</v>
      </c>
      <c r="J100" s="204" t="s">
        <v>167</v>
      </c>
    </row>
    <row r="101" spans="6:10">
      <c r="F101" s="226" t="s">
        <v>662</v>
      </c>
      <c r="G101" s="250">
        <v>30</v>
      </c>
      <c r="H101" s="204" t="s">
        <v>103</v>
      </c>
      <c r="I101" s="204" t="str">
        <f>_xlfn.XLOOKUP(H101,Dropdown!B:B,Dropdown!C:C)</f>
        <v>רכב ונסיעות</v>
      </c>
      <c r="J101" s="204" t="s">
        <v>167</v>
      </c>
    </row>
    <row r="102" spans="6:10">
      <c r="F102" s="226" t="s">
        <v>710</v>
      </c>
      <c r="G102" s="250">
        <v>15</v>
      </c>
      <c r="H102" s="204" t="s">
        <v>140</v>
      </c>
      <c r="I102" s="204" t="str">
        <f>_xlfn.XLOOKUP(H102,Dropdown!B:B,Dropdown!C:C)</f>
        <v>תרבות ופנאי</v>
      </c>
      <c r="J102" s="204" t="s">
        <v>400</v>
      </c>
    </row>
    <row r="103" spans="6:10">
      <c r="F103" s="226" t="s">
        <v>710</v>
      </c>
      <c r="G103" s="250">
        <v>296.10000000000002</v>
      </c>
      <c r="H103" s="204" t="s">
        <v>99</v>
      </c>
      <c r="I103" s="204" t="str">
        <f>_xlfn.XLOOKUP(H103,Dropdown!B:B,Dropdown!C:C)</f>
        <v>רכב ונסיעות</v>
      </c>
      <c r="J103" s="204" t="s">
        <v>400</v>
      </c>
    </row>
    <row r="104" spans="6:10">
      <c r="F104" s="226" t="s">
        <v>711</v>
      </c>
      <c r="G104" s="250">
        <v>350</v>
      </c>
      <c r="H104" s="204" t="s">
        <v>93</v>
      </c>
      <c r="I104" s="204" t="str">
        <f>_xlfn.XLOOKUP(H104,Dropdown!B:B,Dropdown!C:C)</f>
        <v>מזון וקניות</v>
      </c>
      <c r="J104" s="204" t="s">
        <v>400</v>
      </c>
    </row>
    <row r="105" spans="6:10">
      <c r="F105" s="226" t="s">
        <v>712</v>
      </c>
      <c r="G105" s="250">
        <v>569.48</v>
      </c>
      <c r="H105" s="204" t="s">
        <v>374</v>
      </c>
      <c r="I105" s="204" t="str">
        <f>_xlfn.XLOOKUP(H105,Dropdown!B:B,Dropdown!C:C)</f>
        <v>תחזוקת דירה ותקשורת</v>
      </c>
      <c r="J105" s="204" t="s">
        <v>400</v>
      </c>
    </row>
    <row r="106" spans="6:10">
      <c r="F106" s="226" t="s">
        <v>712</v>
      </c>
      <c r="G106" s="250">
        <v>140</v>
      </c>
      <c r="H106" s="204" t="s">
        <v>140</v>
      </c>
      <c r="I106" s="204" t="str">
        <f>_xlfn.XLOOKUP(H106,Dropdown!B:B,Dropdown!C:C)</f>
        <v>תרבות ופנאי</v>
      </c>
      <c r="J106" s="204" t="s">
        <v>400</v>
      </c>
    </row>
    <row r="107" spans="6:10">
      <c r="F107" s="226" t="s">
        <v>662</v>
      </c>
      <c r="G107" s="250">
        <v>45</v>
      </c>
      <c r="H107" s="204" t="s">
        <v>139</v>
      </c>
      <c r="I107" s="204" t="str">
        <f>_xlfn.XLOOKUP(H107,Dropdown!B:B,Dropdown!C:C)</f>
        <v>תרבות ופנאי</v>
      </c>
      <c r="J107" s="204" t="s">
        <v>168</v>
      </c>
    </row>
    <row r="108" spans="6:10">
      <c r="F108" s="226" t="s">
        <v>662</v>
      </c>
      <c r="G108" s="250">
        <v>70</v>
      </c>
      <c r="H108" s="204" t="s">
        <v>139</v>
      </c>
      <c r="I108" s="204" t="str">
        <f>_xlfn.XLOOKUP(H108,Dropdown!B:B,Dropdown!C:C)</f>
        <v>תרבות ופנאי</v>
      </c>
      <c r="J108" s="204" t="s">
        <v>168</v>
      </c>
    </row>
    <row r="109" spans="6:10">
      <c r="F109" s="226" t="s">
        <v>662</v>
      </c>
      <c r="G109" s="250">
        <v>25.4</v>
      </c>
      <c r="H109" s="204" t="s">
        <v>91</v>
      </c>
      <c r="I109" s="204" t="str">
        <f>_xlfn.XLOOKUP(H109,Dropdown!B:B,Dropdown!C:C)</f>
        <v>מזון וקניות</v>
      </c>
      <c r="J109" s="204" t="s">
        <v>168</v>
      </c>
    </row>
    <row r="110" spans="6:10">
      <c r="F110" s="226" t="s">
        <v>662</v>
      </c>
      <c r="G110" s="250">
        <v>8</v>
      </c>
      <c r="H110" s="204" t="s">
        <v>91</v>
      </c>
      <c r="I110" s="204" t="str">
        <f>_xlfn.XLOOKUP(H110,Dropdown!B:B,Dropdown!C:C)</f>
        <v>מזון וקניות</v>
      </c>
      <c r="J110" s="204" t="s">
        <v>168</v>
      </c>
    </row>
    <row r="111" spans="6:10">
      <c r="F111" s="226" t="s">
        <v>662</v>
      </c>
      <c r="G111" s="250">
        <v>141.9</v>
      </c>
      <c r="H111" s="204" t="s">
        <v>91</v>
      </c>
      <c r="I111" s="204" t="str">
        <f>_xlfn.XLOOKUP(H111,Dropdown!B:B,Dropdown!C:C)</f>
        <v>מזון וקניות</v>
      </c>
      <c r="J111" s="204" t="s">
        <v>168</v>
      </c>
    </row>
    <row r="112" spans="6:10">
      <c r="F112" s="226" t="s">
        <v>662</v>
      </c>
      <c r="G112" s="250">
        <v>20</v>
      </c>
      <c r="H112" s="204" t="s">
        <v>103</v>
      </c>
      <c r="I112" s="204" t="str">
        <f>_xlfn.XLOOKUP(H112,Dropdown!B:B,Dropdown!C:C)</f>
        <v>רכב ונסיעות</v>
      </c>
      <c r="J112" s="204" t="s">
        <v>168</v>
      </c>
    </row>
    <row r="113" spans="6:10">
      <c r="F113" s="226" t="s">
        <v>662</v>
      </c>
      <c r="G113" s="250">
        <v>88</v>
      </c>
      <c r="H113" s="204" t="s">
        <v>139</v>
      </c>
      <c r="I113" s="204" t="str">
        <f>_xlfn.XLOOKUP(H113,Dropdown!B:B,Dropdown!C:C)</f>
        <v>תרבות ופנאי</v>
      </c>
      <c r="J113" s="204" t="s">
        <v>168</v>
      </c>
    </row>
    <row r="114" spans="6:10">
      <c r="F114" s="226" t="s">
        <v>662</v>
      </c>
      <c r="G114" s="250">
        <v>30</v>
      </c>
      <c r="H114" s="204" t="s">
        <v>103</v>
      </c>
      <c r="I114" s="204" t="str">
        <f>_xlfn.XLOOKUP(H114,Dropdown!B:B,Dropdown!C:C)</f>
        <v>רכב ונסיעות</v>
      </c>
      <c r="J114" s="204" t="s">
        <v>168</v>
      </c>
    </row>
    <row r="115" spans="6:10">
      <c r="F115" s="226" t="s">
        <v>713</v>
      </c>
      <c r="G115" s="250">
        <v>292.05</v>
      </c>
      <c r="H115" s="204" t="s">
        <v>96</v>
      </c>
      <c r="I115" s="204" t="str">
        <f>_xlfn.XLOOKUP(H115,Dropdown!B:B,Dropdown!C:C)</f>
        <v>מזון וקניות</v>
      </c>
      <c r="J115" s="204" t="s">
        <v>168</v>
      </c>
    </row>
    <row r="116" spans="6:10">
      <c r="F116" s="226" t="s">
        <v>713</v>
      </c>
      <c r="G116" s="250">
        <v>50</v>
      </c>
      <c r="H116" s="204" t="s">
        <v>96</v>
      </c>
      <c r="I116" s="204" t="str">
        <f>_xlfn.XLOOKUP(H116,Dropdown!B:B,Dropdown!C:C)</f>
        <v>מזון וקניות</v>
      </c>
      <c r="J116" s="204" t="s">
        <v>168</v>
      </c>
    </row>
    <row r="117" spans="6:10">
      <c r="F117" s="226" t="s">
        <v>714</v>
      </c>
      <c r="G117" s="250">
        <v>11.9</v>
      </c>
      <c r="H117" s="204" t="s">
        <v>91</v>
      </c>
      <c r="I117" s="204" t="str">
        <f>_xlfn.XLOOKUP(H117,Dropdown!B:B,Dropdown!C:C)</f>
        <v>מזון וקניות</v>
      </c>
      <c r="J117" s="204" t="s">
        <v>168</v>
      </c>
    </row>
    <row r="118" spans="6:10">
      <c r="F118" s="226" t="s">
        <v>710</v>
      </c>
      <c r="G118" s="250">
        <v>68</v>
      </c>
      <c r="H118" s="204" t="s">
        <v>276</v>
      </c>
      <c r="I118" s="204" t="str">
        <f>_xlfn.XLOOKUP(H118,Dropdown!B:B,Dropdown!C:C)</f>
        <v>תרבות ופנאי</v>
      </c>
      <c r="J118" s="204" t="s">
        <v>168</v>
      </c>
    </row>
    <row r="119" spans="6:10">
      <c r="F119" s="226" t="s">
        <v>710</v>
      </c>
      <c r="G119" s="250">
        <v>37</v>
      </c>
      <c r="H119" s="204" t="s">
        <v>139</v>
      </c>
      <c r="I119" s="204" t="str">
        <f>_xlfn.XLOOKUP(H119,Dropdown!B:B,Dropdown!C:C)</f>
        <v>תרבות ופנאי</v>
      </c>
      <c r="J119" s="204" t="s">
        <v>168</v>
      </c>
    </row>
    <row r="120" spans="6:10">
      <c r="F120" s="226" t="s">
        <v>711</v>
      </c>
      <c r="G120" s="250">
        <v>57.31</v>
      </c>
      <c r="H120" s="204" t="s">
        <v>91</v>
      </c>
      <c r="I120" s="204" t="str">
        <f>_xlfn.XLOOKUP(H120,Dropdown!B:B,Dropdown!C:C)</f>
        <v>מזון וקניות</v>
      </c>
      <c r="J120" s="204" t="s">
        <v>168</v>
      </c>
    </row>
    <row r="121" spans="6:10">
      <c r="F121" s="226" t="s">
        <v>711</v>
      </c>
      <c r="G121" s="250">
        <v>2399</v>
      </c>
      <c r="H121" s="204" t="s">
        <v>123</v>
      </c>
      <c r="I121" s="204" t="str">
        <f>_xlfn.XLOOKUP(H121,Dropdown!B:B,Dropdown!C:C)</f>
        <v>תרבות ופנאי</v>
      </c>
      <c r="J121" s="204" t="s">
        <v>168</v>
      </c>
    </row>
    <row r="122" spans="6:10">
      <c r="F122" s="226" t="s">
        <v>711</v>
      </c>
      <c r="G122" s="250">
        <v>-2000</v>
      </c>
      <c r="H122" s="204" t="s">
        <v>123</v>
      </c>
      <c r="I122" s="204" t="str">
        <f>_xlfn.XLOOKUP(H122,Dropdown!B:B,Dropdown!C:C)</f>
        <v>תרבות ופנאי</v>
      </c>
      <c r="J122" s="204" t="s">
        <v>20</v>
      </c>
    </row>
    <row r="123" spans="6:10">
      <c r="F123" s="226" t="s">
        <v>711</v>
      </c>
      <c r="G123" s="250">
        <v>-500</v>
      </c>
      <c r="H123" s="204" t="s">
        <v>91</v>
      </c>
      <c r="I123" s="204" t="str">
        <f>_xlfn.XLOOKUP(H123,Dropdown!B:B,Dropdown!C:C)</f>
        <v>מזון וקניות</v>
      </c>
      <c r="J123" s="204" t="s">
        <v>20</v>
      </c>
    </row>
    <row r="124" spans="6:10">
      <c r="F124" s="226" t="s">
        <v>711</v>
      </c>
      <c r="G124" s="250">
        <v>212</v>
      </c>
      <c r="H124" s="204" t="s">
        <v>374</v>
      </c>
      <c r="I124" s="204" t="str">
        <f>_xlfn.XLOOKUP(H124,Dropdown!B:B,Dropdown!C:C)</f>
        <v>תחזוקת דירה ותקשורת</v>
      </c>
      <c r="J124" s="204" t="s">
        <v>168</v>
      </c>
    </row>
    <row r="125" spans="6:10">
      <c r="F125" s="226" t="s">
        <v>711</v>
      </c>
      <c r="G125" s="250">
        <v>69</v>
      </c>
      <c r="H125" s="204" t="s">
        <v>276</v>
      </c>
      <c r="I125" s="204" t="str">
        <f>_xlfn.XLOOKUP(H125,Dropdown!B:B,Dropdown!C:C)</f>
        <v>תרבות ופנאי</v>
      </c>
      <c r="J125" s="204" t="s">
        <v>168</v>
      </c>
    </row>
    <row r="126" spans="6:10">
      <c r="F126" s="226" t="s">
        <v>711</v>
      </c>
      <c r="G126" s="250">
        <v>28.8</v>
      </c>
      <c r="H126" s="204" t="s">
        <v>91</v>
      </c>
      <c r="I126" s="204" t="str">
        <f>_xlfn.XLOOKUP(H126,Dropdown!B:B,Dropdown!C:C)</f>
        <v>מזון וקניות</v>
      </c>
      <c r="J126" s="204" t="s">
        <v>168</v>
      </c>
    </row>
    <row r="127" spans="6:10">
      <c r="F127" s="226" t="s">
        <v>711</v>
      </c>
      <c r="G127" s="250">
        <v>75</v>
      </c>
      <c r="H127" s="204" t="s">
        <v>91</v>
      </c>
      <c r="I127" s="204" t="str">
        <f>_xlfn.XLOOKUP(H127,Dropdown!B:B,Dropdown!C:C)</f>
        <v>מזון וקניות</v>
      </c>
      <c r="J127" s="204" t="s">
        <v>168</v>
      </c>
    </row>
    <row r="128" spans="6:10">
      <c r="F128" s="226" t="s">
        <v>711</v>
      </c>
      <c r="G128" s="250">
        <v>202.51</v>
      </c>
      <c r="H128" s="204" t="s">
        <v>99</v>
      </c>
      <c r="I128" s="204" t="str">
        <f>_xlfn.XLOOKUP(H128,Dropdown!B:B,Dropdown!C:C)</f>
        <v>רכב ונסיעות</v>
      </c>
      <c r="J128" s="204" t="s">
        <v>168</v>
      </c>
    </row>
    <row r="129" spans="6:10">
      <c r="F129" s="226" t="s">
        <v>660</v>
      </c>
      <c r="G129" s="250">
        <v>30</v>
      </c>
      <c r="H129" s="204" t="s">
        <v>121</v>
      </c>
      <c r="I129" s="204" t="str">
        <f>_xlfn.XLOOKUP(H129,Dropdown!B:B,Dropdown!C:C)</f>
        <v>תרבות ופנאי</v>
      </c>
      <c r="J129" s="204" t="s">
        <v>165</v>
      </c>
    </row>
    <row r="130" spans="6:10">
      <c r="F130" s="226" t="s">
        <v>662</v>
      </c>
      <c r="G130" s="250">
        <v>730.56</v>
      </c>
      <c r="H130" s="204" t="s">
        <v>91</v>
      </c>
      <c r="I130" s="204" t="str">
        <f>_xlfn.XLOOKUP(H130,Dropdown!B:B,Dropdown!C:C)</f>
        <v>מזון וקניות</v>
      </c>
      <c r="J130" s="204" t="s">
        <v>166</v>
      </c>
    </row>
    <row r="131" spans="6:10">
      <c r="F131" s="226" t="s">
        <v>715</v>
      </c>
      <c r="G131" s="250">
        <v>565</v>
      </c>
      <c r="H131" s="204" t="s">
        <v>96</v>
      </c>
      <c r="I131" s="204" t="str">
        <f>_xlfn.XLOOKUP(H131,Dropdown!B:B,Dropdown!C:C)</f>
        <v>מזון וקניות</v>
      </c>
      <c r="J131" s="204" t="s">
        <v>166</v>
      </c>
    </row>
    <row r="132" spans="6:10">
      <c r="F132" s="226" t="s">
        <v>714</v>
      </c>
      <c r="G132" s="250">
        <v>25.9</v>
      </c>
      <c r="H132" s="204" t="s">
        <v>91</v>
      </c>
      <c r="I132" s="204" t="str">
        <f>_xlfn.XLOOKUP(H132,Dropdown!B:B,Dropdown!C:C)</f>
        <v>מזון וקניות</v>
      </c>
      <c r="J132" s="204" t="s">
        <v>166</v>
      </c>
    </row>
    <row r="133" spans="6:10">
      <c r="F133" s="226" t="s">
        <v>710</v>
      </c>
      <c r="G133" s="250">
        <v>322.87</v>
      </c>
      <c r="H133" s="204" t="s">
        <v>91</v>
      </c>
      <c r="I133" s="204" t="str">
        <f>_xlfn.XLOOKUP(H133,Dropdown!B:B,Dropdown!C:C)</f>
        <v>מזון וקניות</v>
      </c>
      <c r="J133" s="204" t="s">
        <v>166</v>
      </c>
    </row>
    <row r="134" spans="6:10">
      <c r="F134" s="226" t="s">
        <v>710</v>
      </c>
      <c r="G134" s="250">
        <v>62</v>
      </c>
      <c r="H134" s="204" t="s">
        <v>96</v>
      </c>
      <c r="I134" s="204" t="str">
        <f>_xlfn.XLOOKUP(H134,Dropdown!B:B,Dropdown!C:C)</f>
        <v>מזון וקניות</v>
      </c>
      <c r="J134" s="204" t="s">
        <v>166</v>
      </c>
    </row>
    <row r="135" spans="6:10">
      <c r="F135" s="226" t="s">
        <v>710</v>
      </c>
      <c r="G135" s="250">
        <v>291.8</v>
      </c>
      <c r="H135" s="204" t="s">
        <v>91</v>
      </c>
      <c r="I135" s="204" t="str">
        <f>_xlfn.XLOOKUP(H135,Dropdown!B:B,Dropdown!C:C)</f>
        <v>מזון וקניות</v>
      </c>
      <c r="J135" s="204" t="s">
        <v>166</v>
      </c>
    </row>
    <row r="136" spans="6:10">
      <c r="F136" s="226" t="s">
        <v>710</v>
      </c>
      <c r="G136" s="250">
        <v>25</v>
      </c>
      <c r="H136" s="204" t="s">
        <v>140</v>
      </c>
      <c r="I136" s="204" t="str">
        <f>_xlfn.XLOOKUP(H136,Dropdown!B:B,Dropdown!C:C)</f>
        <v>תרבות ופנאי</v>
      </c>
      <c r="J136" s="204" t="s">
        <v>166</v>
      </c>
    </row>
    <row r="137" spans="6:10">
      <c r="F137" s="226" t="s">
        <v>710</v>
      </c>
      <c r="G137" s="250">
        <v>89.2</v>
      </c>
      <c r="H137" s="204" t="s">
        <v>95</v>
      </c>
      <c r="I137" s="204" t="str">
        <f>_xlfn.XLOOKUP(H137,Dropdown!B:B,Dropdown!C:C)</f>
        <v>מזון וקניות</v>
      </c>
      <c r="J137" s="204" t="s">
        <v>166</v>
      </c>
    </row>
    <row r="138" spans="6:10">
      <c r="F138" s="226" t="s">
        <v>716</v>
      </c>
      <c r="G138" s="250">
        <v>100</v>
      </c>
      <c r="H138" s="204" t="s">
        <v>278</v>
      </c>
      <c r="I138" s="204" t="str">
        <f>_xlfn.XLOOKUP(H138,Dropdown!B:B,Dropdown!C:C)</f>
        <v>רכב ונסיעות</v>
      </c>
      <c r="J138" s="204" t="s">
        <v>166</v>
      </c>
    </row>
    <row r="139" spans="6:10">
      <c r="F139" s="226" t="s">
        <v>716</v>
      </c>
      <c r="G139" s="250">
        <v>500</v>
      </c>
      <c r="H139" s="204" t="s">
        <v>278</v>
      </c>
      <c r="I139" s="204" t="str">
        <f>_xlfn.XLOOKUP(H139,Dropdown!B:B,Dropdown!C:C)</f>
        <v>רכב ונסיעות</v>
      </c>
      <c r="J139" s="204" t="s">
        <v>166</v>
      </c>
    </row>
    <row r="140" spans="6:10">
      <c r="F140" s="226" t="s">
        <v>711</v>
      </c>
      <c r="G140" s="250">
        <v>240</v>
      </c>
      <c r="H140" s="204" t="s">
        <v>276</v>
      </c>
      <c r="I140" s="204" t="str">
        <f>_xlfn.XLOOKUP(H140,Dropdown!B:B,Dropdown!C:C)</f>
        <v>תרבות ופנאי</v>
      </c>
      <c r="J140" s="204" t="s">
        <v>166</v>
      </c>
    </row>
    <row r="141" spans="6:10">
      <c r="F141" s="226" t="s">
        <v>711</v>
      </c>
      <c r="G141" s="250">
        <v>221.8</v>
      </c>
      <c r="H141" s="204" t="s">
        <v>91</v>
      </c>
      <c r="I141" s="204" t="str">
        <f>_xlfn.XLOOKUP(H141,Dropdown!B:B,Dropdown!C:C)</f>
        <v>מזון וקניות</v>
      </c>
      <c r="J141" s="204" t="s">
        <v>166</v>
      </c>
    </row>
    <row r="142" spans="6:10">
      <c r="F142" s="226" t="s">
        <v>711</v>
      </c>
      <c r="G142" s="250">
        <v>119.9</v>
      </c>
      <c r="H142" s="204" t="s">
        <v>123</v>
      </c>
      <c r="I142" s="204" t="str">
        <f>_xlfn.XLOOKUP(H142,Dropdown!B:B,Dropdown!C:C)</f>
        <v>תרבות ופנאי</v>
      </c>
      <c r="J142" s="204" t="s">
        <v>166</v>
      </c>
    </row>
    <row r="143" spans="6:10">
      <c r="F143" s="226" t="s">
        <v>711</v>
      </c>
      <c r="G143" s="250">
        <v>62.7</v>
      </c>
      <c r="H143" s="204" t="s">
        <v>96</v>
      </c>
      <c r="I143" s="204" t="str">
        <f>_xlfn.XLOOKUP(H143,Dropdown!B:B,Dropdown!C:C)</f>
        <v>מזון וקניות</v>
      </c>
      <c r="J143" s="204" t="s">
        <v>166</v>
      </c>
    </row>
    <row r="144" spans="6:10">
      <c r="F144" s="226" t="s">
        <v>717</v>
      </c>
      <c r="G144" s="250">
        <v>251.5</v>
      </c>
      <c r="H144" s="204" t="s">
        <v>121</v>
      </c>
      <c r="I144" s="204" t="str">
        <f>_xlfn.XLOOKUP(H144,Dropdown!B:B,Dropdown!C:C)</f>
        <v>תרבות ופנאי</v>
      </c>
      <c r="J144" s="204" t="s">
        <v>400</v>
      </c>
    </row>
    <row r="145" spans="6:10">
      <c r="F145" s="226" t="s">
        <v>718</v>
      </c>
      <c r="G145" s="250">
        <v>61</v>
      </c>
      <c r="H145" s="204" t="s">
        <v>96</v>
      </c>
      <c r="I145" s="204" t="str">
        <f>_xlfn.XLOOKUP(H145,Dropdown!B:B,Dropdown!C:C)</f>
        <v>מזון וקניות</v>
      </c>
      <c r="J145" s="204" t="s">
        <v>400</v>
      </c>
    </row>
    <row r="146" spans="6:10">
      <c r="F146" s="226" t="s">
        <v>720</v>
      </c>
      <c r="G146" s="250">
        <v>500</v>
      </c>
      <c r="H146" s="204" t="s">
        <v>276</v>
      </c>
      <c r="I146" s="204" t="str">
        <f>_xlfn.XLOOKUP(H146,Dropdown!B:B,Dropdown!C:C)</f>
        <v>תרבות ופנאי</v>
      </c>
      <c r="J146" s="204" t="s">
        <v>400</v>
      </c>
    </row>
    <row r="147" spans="6:10">
      <c r="F147" s="226" t="s">
        <v>721</v>
      </c>
      <c r="G147" s="250">
        <v>495.7</v>
      </c>
      <c r="H147" s="204" t="s">
        <v>91</v>
      </c>
      <c r="I147" s="204" t="str">
        <f>_xlfn.XLOOKUP(H147,Dropdown!B:B,Dropdown!C:C)</f>
        <v>מזון וקניות</v>
      </c>
      <c r="J147" s="204" t="s">
        <v>400</v>
      </c>
    </row>
    <row r="148" spans="6:10">
      <c r="F148" s="226" t="s">
        <v>728</v>
      </c>
      <c r="G148" s="250">
        <v>700</v>
      </c>
      <c r="H148" s="204" t="s">
        <v>87</v>
      </c>
      <c r="I148" s="204" t="str">
        <f>_xlfn.XLOOKUP(H148,Dropdown!B:B,Dropdown!C:C)</f>
        <v>תחזוקת דירה ותקשורת</v>
      </c>
      <c r="J148" s="204" t="s">
        <v>21</v>
      </c>
    </row>
    <row r="149" spans="6:10">
      <c r="F149" s="226" t="s">
        <v>712</v>
      </c>
      <c r="G149" s="250">
        <v>565.24</v>
      </c>
      <c r="H149" s="204" t="s">
        <v>91</v>
      </c>
      <c r="I149" s="204" t="str">
        <f>_xlfn.XLOOKUP(H149,Dropdown!B:B,Dropdown!C:C)</f>
        <v>מזון וקניות</v>
      </c>
      <c r="J149" s="204" t="s">
        <v>166</v>
      </c>
    </row>
    <row r="150" spans="6:10">
      <c r="F150" s="226" t="s">
        <v>712</v>
      </c>
      <c r="G150" s="250">
        <v>173.35</v>
      </c>
      <c r="H150" s="204" t="s">
        <v>276</v>
      </c>
      <c r="I150" s="204" t="str">
        <f>_xlfn.XLOOKUP(H150,Dropdown!B:B,Dropdown!C:C)</f>
        <v>תרבות ופנאי</v>
      </c>
      <c r="J150" s="204" t="s">
        <v>166</v>
      </c>
    </row>
    <row r="151" spans="6:10">
      <c r="F151" s="226" t="s">
        <v>712</v>
      </c>
      <c r="G151" s="250">
        <v>202.9</v>
      </c>
      <c r="H151" s="204" t="s">
        <v>276</v>
      </c>
      <c r="I151" s="204" t="str">
        <f>_xlfn.XLOOKUP(H151,Dropdown!B:B,Dropdown!C:C)</f>
        <v>תרבות ופנאי</v>
      </c>
      <c r="J151" s="204" t="s">
        <v>166</v>
      </c>
    </row>
    <row r="152" spans="6:10">
      <c r="F152" s="226" t="s">
        <v>720</v>
      </c>
      <c r="G152" s="250">
        <v>33</v>
      </c>
      <c r="H152" s="204" t="s">
        <v>276</v>
      </c>
      <c r="I152" s="204" t="str">
        <f>_xlfn.XLOOKUP(H152,Dropdown!B:B,Dropdown!C:C)</f>
        <v>תרבות ופנאי</v>
      </c>
      <c r="J152" s="204" t="s">
        <v>166</v>
      </c>
    </row>
    <row r="153" spans="6:10">
      <c r="F153" s="226" t="s">
        <v>720</v>
      </c>
      <c r="G153" s="250">
        <v>38</v>
      </c>
      <c r="H153" s="204" t="s">
        <v>276</v>
      </c>
      <c r="I153" s="204" t="str">
        <f>_xlfn.XLOOKUP(H153,Dropdown!B:B,Dropdown!C:C)</f>
        <v>תרבות ופנאי</v>
      </c>
      <c r="J153" s="204" t="s">
        <v>166</v>
      </c>
    </row>
    <row r="154" spans="6:10">
      <c r="F154" s="226" t="s">
        <v>720</v>
      </c>
      <c r="G154" s="250">
        <v>20</v>
      </c>
      <c r="H154" s="204" t="s">
        <v>276</v>
      </c>
      <c r="I154" s="204" t="str">
        <f>_xlfn.XLOOKUP(H154,Dropdown!B:B,Dropdown!C:C)</f>
        <v>תרבות ופנאי</v>
      </c>
      <c r="J154" s="204" t="s">
        <v>166</v>
      </c>
    </row>
    <row r="155" spans="6:10">
      <c r="F155" s="226" t="s">
        <v>720</v>
      </c>
      <c r="G155" s="250">
        <v>35</v>
      </c>
      <c r="H155" s="204" t="s">
        <v>276</v>
      </c>
      <c r="I155" s="204" t="str">
        <f>_xlfn.XLOOKUP(H155,Dropdown!B:B,Dropdown!C:C)</f>
        <v>תרבות ופנאי</v>
      </c>
      <c r="J155" s="204" t="s">
        <v>166</v>
      </c>
    </row>
    <row r="156" spans="6:10">
      <c r="F156" s="226" t="s">
        <v>720</v>
      </c>
      <c r="G156" s="250">
        <v>700</v>
      </c>
      <c r="H156" s="204" t="s">
        <v>121</v>
      </c>
      <c r="I156" s="204" t="str">
        <f>_xlfn.XLOOKUP(H156,Dropdown!B:B,Dropdown!C:C)</f>
        <v>תרבות ופנאי</v>
      </c>
      <c r="J156" s="204" t="s">
        <v>166</v>
      </c>
    </row>
    <row r="157" spans="6:10">
      <c r="F157" s="226" t="s">
        <v>720</v>
      </c>
      <c r="G157" s="250">
        <v>106</v>
      </c>
      <c r="H157" s="204" t="s">
        <v>276</v>
      </c>
      <c r="I157" s="204" t="str">
        <f>_xlfn.XLOOKUP(H157,Dropdown!B:B,Dropdown!C:C)</f>
        <v>תרבות ופנאי</v>
      </c>
      <c r="J157" s="204" t="s">
        <v>166</v>
      </c>
    </row>
    <row r="158" spans="6:10">
      <c r="F158" s="226" t="s">
        <v>720</v>
      </c>
      <c r="G158" s="250">
        <v>12.9</v>
      </c>
      <c r="H158" s="204" t="s">
        <v>103</v>
      </c>
      <c r="I158" s="204" t="str">
        <f>_xlfn.XLOOKUP(H158,Dropdown!B:B,Dropdown!C:C)</f>
        <v>רכב ונסיעות</v>
      </c>
      <c r="J158" s="204" t="s">
        <v>166</v>
      </c>
    </row>
    <row r="159" spans="6:10">
      <c r="F159" s="226" t="s">
        <v>729</v>
      </c>
      <c r="G159" s="250">
        <v>34</v>
      </c>
      <c r="H159" s="204" t="s">
        <v>276</v>
      </c>
      <c r="I159" s="204" t="str">
        <f>_xlfn.XLOOKUP(H159,Dropdown!B:B,Dropdown!C:C)</f>
        <v>תרבות ופנאי</v>
      </c>
      <c r="J159" s="204" t="s">
        <v>166</v>
      </c>
    </row>
    <row r="160" spans="6:10">
      <c r="F160" s="226" t="s">
        <v>729</v>
      </c>
      <c r="G160" s="250">
        <v>18</v>
      </c>
      <c r="H160" s="204" t="s">
        <v>276</v>
      </c>
      <c r="I160" s="204" t="str">
        <f>_xlfn.XLOOKUP(H160,Dropdown!B:B,Dropdown!C:C)</f>
        <v>תרבות ופנאי</v>
      </c>
      <c r="J160" s="204" t="s">
        <v>166</v>
      </c>
    </row>
    <row r="161" spans="6:10">
      <c r="F161" s="226" t="s">
        <v>730</v>
      </c>
      <c r="G161" s="250">
        <v>150</v>
      </c>
      <c r="H161" s="204" t="s">
        <v>109</v>
      </c>
      <c r="I161" s="204" t="str">
        <f>_xlfn.XLOOKUP(H161,Dropdown!B:B,Dropdown!C:C)</f>
        <v>ילדים וחינוך</v>
      </c>
      <c r="J161" s="204" t="s">
        <v>166</v>
      </c>
    </row>
    <row r="162" spans="6:10">
      <c r="F162" s="226" t="s">
        <v>731</v>
      </c>
      <c r="G162" s="250">
        <v>351.3</v>
      </c>
      <c r="H162" s="204" t="s">
        <v>91</v>
      </c>
      <c r="I162" s="204" t="str">
        <f>_xlfn.XLOOKUP(H162,Dropdown!B:B,Dropdown!C:C)</f>
        <v>מזון וקניות</v>
      </c>
      <c r="J162" s="204" t="s">
        <v>166</v>
      </c>
    </row>
    <row r="163" spans="6:10">
      <c r="F163" s="226" t="s">
        <v>731</v>
      </c>
      <c r="G163" s="250">
        <v>20</v>
      </c>
      <c r="H163" s="204" t="s">
        <v>103</v>
      </c>
      <c r="I163" s="204" t="str">
        <f>_xlfn.XLOOKUP(H163,Dropdown!B:B,Dropdown!C:C)</f>
        <v>רכב ונסיעות</v>
      </c>
      <c r="J163" s="204" t="s">
        <v>166</v>
      </c>
    </row>
    <row r="164" spans="6:10">
      <c r="F164" s="226" t="s">
        <v>732</v>
      </c>
      <c r="G164" s="250">
        <v>77</v>
      </c>
      <c r="H164" s="204" t="s">
        <v>123</v>
      </c>
      <c r="I164" s="204" t="str">
        <f>_xlfn.XLOOKUP(H164,Dropdown!B:B,Dropdown!C:C)</f>
        <v>תרבות ופנאי</v>
      </c>
      <c r="J164" s="204" t="s">
        <v>166</v>
      </c>
    </row>
    <row r="165" spans="6:10">
      <c r="F165" s="226" t="s">
        <v>733</v>
      </c>
      <c r="G165" s="250">
        <v>70</v>
      </c>
      <c r="H165" s="204" t="s">
        <v>123</v>
      </c>
      <c r="I165" s="204" t="str">
        <f>_xlfn.XLOOKUP(H165,Dropdown!B:B,Dropdown!C:C)</f>
        <v>תרבות ופנאי</v>
      </c>
      <c r="J165" s="204" t="s">
        <v>166</v>
      </c>
    </row>
    <row r="166" spans="6:10">
      <c r="F166" s="226" t="s">
        <v>579</v>
      </c>
      <c r="G166" s="250">
        <v>851.35</v>
      </c>
      <c r="H166" s="204" t="s">
        <v>91</v>
      </c>
      <c r="I166" s="204" t="str">
        <f>_xlfn.XLOOKUP(H166,Dropdown!B:B,Dropdown!C:C)</f>
        <v>מזון וקניות</v>
      </c>
      <c r="J166" s="204" t="s">
        <v>166</v>
      </c>
    </row>
    <row r="167" spans="6:10">
      <c r="F167" s="226" t="s">
        <v>579</v>
      </c>
      <c r="G167" s="250">
        <v>76.28</v>
      </c>
      <c r="H167" s="204" t="s">
        <v>103</v>
      </c>
      <c r="I167" s="204" t="str">
        <f>_xlfn.XLOOKUP(H167,Dropdown!B:B,Dropdown!C:C)</f>
        <v>רכב ונסיעות</v>
      </c>
      <c r="J167" s="204" t="s">
        <v>166</v>
      </c>
    </row>
    <row r="168" spans="6:10">
      <c r="F168" s="226" t="s">
        <v>579</v>
      </c>
      <c r="G168" s="250">
        <v>183.4</v>
      </c>
      <c r="H168" s="204" t="s">
        <v>91</v>
      </c>
      <c r="I168" s="204" t="str">
        <f>_xlfn.XLOOKUP(H168,Dropdown!B:B,Dropdown!C:C)</f>
        <v>מזון וקניות</v>
      </c>
      <c r="J168" s="204" t="s">
        <v>166</v>
      </c>
    </row>
    <row r="169" spans="6:10">
      <c r="F169" s="226" t="s">
        <v>734</v>
      </c>
      <c r="G169" s="250">
        <v>103.95</v>
      </c>
      <c r="H169" s="204" t="s">
        <v>276</v>
      </c>
      <c r="I169" s="204" t="str">
        <f>_xlfn.XLOOKUP(H169,Dropdown!B:B,Dropdown!C:C)</f>
        <v>תרבות ופנאי</v>
      </c>
      <c r="J169" s="204" t="s">
        <v>166</v>
      </c>
    </row>
    <row r="170" spans="6:10">
      <c r="F170" s="226" t="s">
        <v>734</v>
      </c>
      <c r="G170" s="250">
        <v>124.3</v>
      </c>
      <c r="H170" s="204" t="s">
        <v>276</v>
      </c>
      <c r="I170" s="204" t="str">
        <f>_xlfn.XLOOKUP(H170,Dropdown!B:B,Dropdown!C:C)</f>
        <v>תרבות ופנאי</v>
      </c>
      <c r="J170" s="204" t="s">
        <v>166</v>
      </c>
    </row>
    <row r="171" spans="6:10">
      <c r="F171" s="226" t="s">
        <v>735</v>
      </c>
      <c r="G171" s="250">
        <v>150</v>
      </c>
      <c r="H171" s="204" t="s">
        <v>123</v>
      </c>
      <c r="I171" s="204" t="str">
        <f>_xlfn.XLOOKUP(H171,Dropdown!B:B,Dropdown!C:C)</f>
        <v>תרבות ופנאי</v>
      </c>
      <c r="J171" s="204" t="s">
        <v>166</v>
      </c>
    </row>
    <row r="172" spans="6:10">
      <c r="F172" s="226" t="s">
        <v>736</v>
      </c>
      <c r="G172" s="250">
        <v>367.35</v>
      </c>
      <c r="H172" s="204" t="s">
        <v>95</v>
      </c>
      <c r="I172" s="204" t="str">
        <f>_xlfn.XLOOKUP(H172,Dropdown!B:B,Dropdown!C:C)</f>
        <v>מזון וקניות</v>
      </c>
      <c r="J172" s="204" t="s">
        <v>166</v>
      </c>
    </row>
    <row r="173" spans="6:10">
      <c r="F173" s="226" t="s">
        <v>736</v>
      </c>
      <c r="G173" s="250">
        <v>325.3</v>
      </c>
      <c r="H173" s="204" t="s">
        <v>91</v>
      </c>
      <c r="I173" s="204" t="str">
        <f>_xlfn.XLOOKUP(H173,Dropdown!B:B,Dropdown!C:C)</f>
        <v>מזון וקניות</v>
      </c>
      <c r="J173" s="204" t="s">
        <v>166</v>
      </c>
    </row>
    <row r="174" spans="6:10">
      <c r="F174" s="226" t="s">
        <v>729</v>
      </c>
      <c r="G174" s="250">
        <v>260</v>
      </c>
      <c r="H174" s="204" t="s">
        <v>374</v>
      </c>
      <c r="I174" s="204" t="str">
        <f>_xlfn.XLOOKUP(H174,Dropdown!B:B,Dropdown!C:C)</f>
        <v>תחזוקת דירה ותקשורת</v>
      </c>
      <c r="J174" s="204" t="s">
        <v>168</v>
      </c>
    </row>
    <row r="175" spans="6:10">
      <c r="F175" s="226" t="s">
        <v>730</v>
      </c>
      <c r="G175" s="250">
        <v>49.8</v>
      </c>
      <c r="H175" s="204" t="s">
        <v>91</v>
      </c>
      <c r="I175" s="204" t="str">
        <f>_xlfn.XLOOKUP(H175,Dropdown!B:B,Dropdown!C:C)</f>
        <v>מזון וקניות</v>
      </c>
      <c r="J175" s="204" t="s">
        <v>168</v>
      </c>
    </row>
    <row r="176" spans="6:10">
      <c r="F176" s="226" t="s">
        <v>730</v>
      </c>
      <c r="G176" s="250">
        <v>155.38999999999999</v>
      </c>
      <c r="H176" s="204" t="s">
        <v>91</v>
      </c>
      <c r="I176" s="204" t="str">
        <f>_xlfn.XLOOKUP(H176,Dropdown!B:B,Dropdown!C:C)</f>
        <v>מזון וקניות</v>
      </c>
      <c r="J176" s="204" t="s">
        <v>168</v>
      </c>
    </row>
    <row r="177" spans="6:10">
      <c r="F177" s="226" t="s">
        <v>730</v>
      </c>
      <c r="G177" s="250">
        <v>219</v>
      </c>
      <c r="H177" s="204" t="s">
        <v>374</v>
      </c>
      <c r="I177" s="204" t="str">
        <f>_xlfn.XLOOKUP(H177,Dropdown!B:B,Dropdown!C:C)</f>
        <v>תחזוקת דירה ותקשורת</v>
      </c>
      <c r="J177" s="204" t="s">
        <v>168</v>
      </c>
    </row>
    <row r="178" spans="6:10">
      <c r="F178" s="226" t="s">
        <v>730</v>
      </c>
      <c r="G178" s="250">
        <v>29.5</v>
      </c>
      <c r="H178" s="204" t="s">
        <v>91</v>
      </c>
      <c r="I178" s="204" t="str">
        <f>_xlfn.XLOOKUP(H178,Dropdown!B:B,Dropdown!C:C)</f>
        <v>מזון וקניות</v>
      </c>
      <c r="J178" s="204" t="s">
        <v>168</v>
      </c>
    </row>
    <row r="179" spans="6:10">
      <c r="F179" s="226" t="s">
        <v>730</v>
      </c>
      <c r="G179" s="250">
        <v>239.83</v>
      </c>
      <c r="H179" s="204" t="s">
        <v>99</v>
      </c>
      <c r="I179" s="204" t="str">
        <f>_xlfn.XLOOKUP(H179,Dropdown!B:B,Dropdown!C:C)</f>
        <v>רכב ונסיעות</v>
      </c>
      <c r="J179" s="204" t="s">
        <v>168</v>
      </c>
    </row>
    <row r="180" spans="6:10">
      <c r="F180" s="226" t="s">
        <v>730</v>
      </c>
      <c r="G180" s="250">
        <v>360</v>
      </c>
      <c r="H180" s="204" t="s">
        <v>93</v>
      </c>
      <c r="I180" s="204" t="str">
        <f>_xlfn.XLOOKUP(H180,Dropdown!B:B,Dropdown!C:C)</f>
        <v>מזון וקניות</v>
      </c>
      <c r="J180" s="204" t="s">
        <v>168</v>
      </c>
    </row>
    <row r="181" spans="6:10">
      <c r="F181" s="226" t="s">
        <v>731</v>
      </c>
      <c r="G181" s="250">
        <v>24</v>
      </c>
      <c r="H181" s="204" t="s">
        <v>91</v>
      </c>
      <c r="I181" s="204" t="str">
        <f>_xlfn.XLOOKUP(H181,Dropdown!B:B,Dropdown!C:C)</f>
        <v>מזון וקניות</v>
      </c>
      <c r="J181" s="204" t="s">
        <v>168</v>
      </c>
    </row>
    <row r="182" spans="6:10">
      <c r="F182" s="226" t="s">
        <v>731</v>
      </c>
      <c r="G182" s="250">
        <v>10.5</v>
      </c>
      <c r="H182" s="204" t="s">
        <v>91</v>
      </c>
      <c r="I182" s="204" t="str">
        <f>_xlfn.XLOOKUP(H182,Dropdown!B:B,Dropdown!C:C)</f>
        <v>מזון וקניות</v>
      </c>
      <c r="J182" s="204" t="s">
        <v>168</v>
      </c>
    </row>
    <row r="183" spans="6:10">
      <c r="F183" s="226" t="s">
        <v>731</v>
      </c>
      <c r="G183" s="250">
        <v>233.56</v>
      </c>
      <c r="H183" s="204" t="s">
        <v>91</v>
      </c>
      <c r="I183" s="204" t="str">
        <f>_xlfn.XLOOKUP(H183,Dropdown!B:B,Dropdown!C:C)</f>
        <v>מזון וקניות</v>
      </c>
      <c r="J183" s="204" t="s">
        <v>168</v>
      </c>
    </row>
    <row r="184" spans="6:10">
      <c r="F184" s="226" t="s">
        <v>731</v>
      </c>
      <c r="G184" s="250">
        <v>87.97</v>
      </c>
      <c r="H184" s="204" t="s">
        <v>91</v>
      </c>
      <c r="I184" s="204" t="str">
        <f>_xlfn.XLOOKUP(H184,Dropdown!B:B,Dropdown!C:C)</f>
        <v>מזון וקניות</v>
      </c>
      <c r="J184" s="204" t="s">
        <v>168</v>
      </c>
    </row>
    <row r="185" spans="6:10">
      <c r="F185" s="226" t="s">
        <v>732</v>
      </c>
      <c r="G185" s="250">
        <v>349.9</v>
      </c>
      <c r="H185" s="204" t="s">
        <v>87</v>
      </c>
      <c r="I185" s="204" t="str">
        <f>_xlfn.XLOOKUP(H185,Dropdown!B:B,Dropdown!C:C)</f>
        <v>תחזוקת דירה ותקשורת</v>
      </c>
      <c r="J185" s="204" t="s">
        <v>168</v>
      </c>
    </row>
    <row r="186" spans="6:10">
      <c r="F186" s="226" t="s">
        <v>732</v>
      </c>
      <c r="G186" s="250">
        <v>151.5</v>
      </c>
      <c r="H186" s="204" t="s">
        <v>91</v>
      </c>
      <c r="I186" s="204" t="str">
        <f>_xlfn.XLOOKUP(H186,Dropdown!B:B,Dropdown!C:C)</f>
        <v>מזון וקניות</v>
      </c>
      <c r="J186" s="204" t="s">
        <v>168</v>
      </c>
    </row>
    <row r="187" spans="6:10">
      <c r="F187" s="226" t="s">
        <v>733</v>
      </c>
      <c r="G187" s="250">
        <v>233.28</v>
      </c>
      <c r="H187" s="204" t="s">
        <v>99</v>
      </c>
      <c r="I187" s="204" t="str">
        <f>_xlfn.XLOOKUP(H187,Dropdown!B:B,Dropdown!C:C)</f>
        <v>רכב ונסיעות</v>
      </c>
      <c r="J187" s="204" t="s">
        <v>168</v>
      </c>
    </row>
    <row r="188" spans="6:10">
      <c r="F188" s="226" t="s">
        <v>733</v>
      </c>
      <c r="G188" s="250">
        <v>45.8</v>
      </c>
      <c r="H188" s="204" t="s">
        <v>91</v>
      </c>
      <c r="I188" s="204" t="str">
        <f>_xlfn.XLOOKUP(H188,Dropdown!B:B,Dropdown!C:C)</f>
        <v>מזון וקניות</v>
      </c>
      <c r="J188" s="204" t="s">
        <v>168</v>
      </c>
    </row>
    <row r="189" spans="6:10">
      <c r="F189" s="226" t="s">
        <v>579</v>
      </c>
      <c r="G189" s="250">
        <v>213.9</v>
      </c>
      <c r="H189" s="204" t="s">
        <v>276</v>
      </c>
      <c r="I189" s="204" t="str">
        <f>_xlfn.XLOOKUP(H189,Dropdown!B:B,Dropdown!C:C)</f>
        <v>תרבות ופנאי</v>
      </c>
      <c r="J189" s="204" t="s">
        <v>168</v>
      </c>
    </row>
    <row r="190" spans="6:10">
      <c r="F190" s="226" t="s">
        <v>734</v>
      </c>
      <c r="G190" s="250">
        <v>12</v>
      </c>
      <c r="H190" s="204" t="s">
        <v>91</v>
      </c>
      <c r="I190" s="204" t="str">
        <f>_xlfn.XLOOKUP(H190,Dropdown!B:B,Dropdown!C:C)</f>
        <v>מזון וקניות</v>
      </c>
      <c r="J190" s="204" t="s">
        <v>168</v>
      </c>
    </row>
    <row r="191" spans="6:10">
      <c r="F191" s="226" t="s">
        <v>734</v>
      </c>
      <c r="G191" s="250">
        <v>59.9</v>
      </c>
      <c r="H191" s="204" t="s">
        <v>96</v>
      </c>
      <c r="I191" s="204" t="str">
        <f>_xlfn.XLOOKUP(H191,Dropdown!B:B,Dropdown!C:C)</f>
        <v>מזון וקניות</v>
      </c>
      <c r="J191" s="204" t="s">
        <v>168</v>
      </c>
    </row>
    <row r="192" spans="6:10">
      <c r="F192" s="226" t="s">
        <v>734</v>
      </c>
      <c r="G192" s="250">
        <v>40</v>
      </c>
      <c r="H192" s="204" t="s">
        <v>139</v>
      </c>
      <c r="I192" s="204" t="str">
        <f>_xlfn.XLOOKUP(H192,Dropdown!B:B,Dropdown!C:C)</f>
        <v>תרבות ופנאי</v>
      </c>
      <c r="J192" s="204" t="s">
        <v>168</v>
      </c>
    </row>
    <row r="193" spans="6:10">
      <c r="F193" s="226" t="s">
        <v>735</v>
      </c>
      <c r="G193" s="250">
        <v>121.59</v>
      </c>
      <c r="H193" s="204" t="s">
        <v>91</v>
      </c>
      <c r="I193" s="204" t="str">
        <f>_xlfn.XLOOKUP(H193,Dropdown!B:B,Dropdown!C:C)</f>
        <v>מזון וקניות</v>
      </c>
      <c r="J193" s="204" t="s">
        <v>168</v>
      </c>
    </row>
    <row r="194" spans="6:10">
      <c r="F194" s="226" t="s">
        <v>736</v>
      </c>
      <c r="G194" s="250">
        <v>20</v>
      </c>
      <c r="H194" s="204" t="s">
        <v>103</v>
      </c>
      <c r="I194" s="204" t="str">
        <f>_xlfn.XLOOKUP(H194,Dropdown!B:B,Dropdown!C:C)</f>
        <v>רכב ונסיעות</v>
      </c>
      <c r="J194" s="204" t="s">
        <v>168</v>
      </c>
    </row>
    <row r="195" spans="6:10">
      <c r="F195" s="226" t="s">
        <v>736</v>
      </c>
      <c r="G195" s="250">
        <v>33</v>
      </c>
      <c r="H195" s="204" t="s">
        <v>139</v>
      </c>
      <c r="I195" s="204" t="str">
        <f>_xlfn.XLOOKUP(H195,Dropdown!B:B,Dropdown!C:C)</f>
        <v>תרבות ופנאי</v>
      </c>
      <c r="J195" s="204" t="s">
        <v>168</v>
      </c>
    </row>
    <row r="196" spans="6:10">
      <c r="F196" s="226" t="s">
        <v>736</v>
      </c>
      <c r="G196" s="250">
        <v>123.41</v>
      </c>
      <c r="H196" s="204" t="s">
        <v>99</v>
      </c>
      <c r="I196" s="204" t="str">
        <f>_xlfn.XLOOKUP(H196,Dropdown!B:B,Dropdown!C:C)</f>
        <v>רכב ונסיעות</v>
      </c>
      <c r="J196" s="204" t="s">
        <v>168</v>
      </c>
    </row>
    <row r="197" spans="6:10">
      <c r="F197" s="226" t="s">
        <v>728</v>
      </c>
      <c r="G197" s="250">
        <v>34</v>
      </c>
      <c r="H197" s="204" t="s">
        <v>91</v>
      </c>
      <c r="I197" s="204" t="str">
        <f>_xlfn.XLOOKUP(H197,Dropdown!B:B,Dropdown!C:C)</f>
        <v>מזון וקניות</v>
      </c>
      <c r="J197" s="204" t="s">
        <v>168</v>
      </c>
    </row>
    <row r="198" spans="6:10">
      <c r="F198" s="226" t="s">
        <v>728</v>
      </c>
      <c r="G198" s="250">
        <v>5.3</v>
      </c>
      <c r="H198" s="204" t="s">
        <v>91</v>
      </c>
      <c r="I198" s="204" t="str">
        <f>_xlfn.XLOOKUP(H198,Dropdown!B:B,Dropdown!C:C)</f>
        <v>מזון וקניות</v>
      </c>
      <c r="J198" s="204" t="s">
        <v>168</v>
      </c>
    </row>
    <row r="199" spans="6:10">
      <c r="F199" s="226" t="s">
        <v>728</v>
      </c>
      <c r="G199" s="250">
        <v>83.8</v>
      </c>
      <c r="H199" s="204" t="s">
        <v>91</v>
      </c>
      <c r="I199" s="204" t="str">
        <f>_xlfn.XLOOKUP(H199,Dropdown!B:B,Dropdown!C:C)</f>
        <v>מזון וקניות</v>
      </c>
      <c r="J199" s="204" t="s">
        <v>168</v>
      </c>
    </row>
    <row r="200" spans="6:10">
      <c r="F200" s="226" t="s">
        <v>728</v>
      </c>
      <c r="G200" s="250">
        <v>22</v>
      </c>
      <c r="H200" s="204" t="s">
        <v>96</v>
      </c>
      <c r="I200" s="204" t="str">
        <f>_xlfn.XLOOKUP(H200,Dropdown!B:B,Dropdown!C:C)</f>
        <v>מזון וקניות</v>
      </c>
      <c r="J200" s="204" t="s">
        <v>168</v>
      </c>
    </row>
    <row r="201" spans="6:10">
      <c r="F201" s="226" t="s">
        <v>736</v>
      </c>
      <c r="G201" s="250">
        <v>212400</v>
      </c>
      <c r="H201" s="204" t="s">
        <v>374</v>
      </c>
      <c r="I201" s="204" t="str">
        <f>_xlfn.XLOOKUP(H201,Dropdown!B:B,Dropdown!C:C)</f>
        <v>תחזוקת דירה ותקשורת</v>
      </c>
      <c r="J201" s="204" t="s">
        <v>20</v>
      </c>
    </row>
    <row r="202" spans="6:10">
      <c r="F202" s="226" t="s">
        <v>720</v>
      </c>
      <c r="G202" s="250">
        <v>30.86</v>
      </c>
      <c r="H202" s="204" t="s">
        <v>96</v>
      </c>
      <c r="I202" s="204" t="str">
        <f>_xlfn.XLOOKUP(H202,Dropdown!B:B,Dropdown!C:C)</f>
        <v>מזון וקניות</v>
      </c>
      <c r="J202" s="204" t="s">
        <v>167</v>
      </c>
    </row>
    <row r="203" spans="6:10">
      <c r="F203" s="226" t="s">
        <v>729</v>
      </c>
      <c r="G203" s="250">
        <v>61.42</v>
      </c>
      <c r="H203" s="204" t="s">
        <v>96</v>
      </c>
      <c r="I203" s="204" t="str">
        <f>_xlfn.XLOOKUP(H203,Dropdown!B:B,Dropdown!C:C)</f>
        <v>מזון וקניות</v>
      </c>
      <c r="J203" s="204" t="s">
        <v>167</v>
      </c>
    </row>
    <row r="204" spans="6:10">
      <c r="F204" s="226" t="s">
        <v>733</v>
      </c>
      <c r="G204" s="250">
        <v>259.05</v>
      </c>
      <c r="H204" s="204" t="s">
        <v>406</v>
      </c>
      <c r="I204" s="204" t="str">
        <f>_xlfn.XLOOKUP(H204,Dropdown!B:B,Dropdown!C:C)</f>
        <v>מזון וקניות</v>
      </c>
      <c r="J204" s="204" t="s">
        <v>400</v>
      </c>
    </row>
    <row r="205" spans="6:10">
      <c r="F205" s="226" t="s">
        <v>579</v>
      </c>
      <c r="G205" s="250">
        <v>34.9</v>
      </c>
      <c r="H205" s="204" t="s">
        <v>19</v>
      </c>
      <c r="I205" s="204" t="str">
        <f>_xlfn.XLOOKUP(H205,Dropdown!B:B,Dropdown!C:C)</f>
        <v>ביטוחים ופיננסים</v>
      </c>
      <c r="J205" s="204" t="s">
        <v>400</v>
      </c>
    </row>
    <row r="206" spans="6:10">
      <c r="F206" s="226" t="s">
        <v>579</v>
      </c>
      <c r="G206" s="250">
        <v>62.1</v>
      </c>
      <c r="H206" s="204" t="s">
        <v>138</v>
      </c>
      <c r="I206" s="204" t="str">
        <f>_xlfn.XLOOKUP(H206,Dropdown!B:B,Dropdown!C:C)</f>
        <v>רכב ונסיעות</v>
      </c>
      <c r="J206" s="204" t="s">
        <v>400</v>
      </c>
    </row>
    <row r="207" spans="6:10">
      <c r="F207" s="226" t="s">
        <v>721</v>
      </c>
      <c r="G207" s="250">
        <v>495.7</v>
      </c>
      <c r="H207" s="204" t="s">
        <v>91</v>
      </c>
      <c r="I207" s="204" t="str">
        <f>_xlfn.XLOOKUP(H207,Dropdown!B:B,Dropdown!C:C)</f>
        <v>מזון וקניות</v>
      </c>
      <c r="J207" s="204" t="s">
        <v>400</v>
      </c>
    </row>
    <row r="208" spans="6:10">
      <c r="F208" s="226" t="s">
        <v>735</v>
      </c>
      <c r="G208" s="250">
        <v>300</v>
      </c>
      <c r="H208" s="204" t="s">
        <v>123</v>
      </c>
      <c r="I208" s="204" t="str">
        <f>_xlfn.XLOOKUP(H208,Dropdown!B:B,Dropdown!C:C)</f>
        <v>תרבות ופנאי</v>
      </c>
      <c r="J208" s="204" t="s">
        <v>400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5:7">
      <c r="G225" s="250"/>
    </row>
    <row r="226" spans="5:7">
      <c r="G226" s="250"/>
    </row>
    <row r="227" spans="5:7">
      <c r="G227" s="250"/>
    </row>
    <row r="228" spans="5:7">
      <c r="G228" s="250"/>
    </row>
    <row r="229" spans="5:7">
      <c r="G229" s="250"/>
    </row>
    <row r="230" spans="5:7">
      <c r="E230" s="268">
        <f>G243/5</f>
        <v>0</v>
      </c>
      <c r="G230" s="250"/>
    </row>
    <row r="231" spans="5:7">
      <c r="G231" s="250"/>
    </row>
    <row r="232" spans="5:7">
      <c r="G232" s="250"/>
    </row>
    <row r="233" spans="5:7">
      <c r="G233" s="250"/>
    </row>
    <row r="234" spans="5:7">
      <c r="G234" s="250"/>
    </row>
    <row r="235" spans="5:7">
      <c r="G235" s="250"/>
    </row>
    <row r="236" spans="5:7">
      <c r="G236" s="250"/>
    </row>
    <row r="237" spans="5:7">
      <c r="G237" s="250"/>
    </row>
    <row r="238" spans="5:7">
      <c r="G238" s="250"/>
    </row>
    <row r="239" spans="5:7">
      <c r="G239" s="250"/>
    </row>
    <row r="240" spans="5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</sheetData>
  <sheetProtection selectLockedCells="1" selectUnlockedCells="1"/>
  <autoFilter ref="A1:N245" xr:uid="{00000000-0001-0000-0800-000000000000}"/>
  <sortState xmlns:xlrd2="http://schemas.microsoft.com/office/spreadsheetml/2017/richdata2" ref="F66:N106">
    <sortCondition ref="F66:F106"/>
  </sortState>
  <mergeCells count="8">
    <mergeCell ref="A35:A38"/>
    <mergeCell ref="A2:A6"/>
    <mergeCell ref="A9:A10"/>
    <mergeCell ref="A11:A13"/>
    <mergeCell ref="A20:A23"/>
    <mergeCell ref="A31:A32"/>
    <mergeCell ref="A7:A8"/>
    <mergeCell ref="A28:A29"/>
  </mergeCells>
  <conditionalFormatting sqref="C2">
    <cfRule type="duplicateValues" dxfId="107" priority="1" stopIfTrue="1"/>
  </conditionalFormatting>
  <conditionalFormatting sqref="Q6:AV13">
    <cfRule type="cellIs" dxfId="106" priority="2" operator="greaterThan">
      <formula>0</formula>
    </cfRule>
  </conditionalFormatting>
  <conditionalFormatting sqref="Q19:AV37">
    <cfRule type="cellIs" dxfId="105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3:J52 J54:J64 J66:J218" xr:uid="{1D19C976-D9F5-45EB-B649-A40F9E8685F2}">
      <formula1>סוג_תשלום</formula1>
    </dataValidation>
    <dataValidation type="list" errorStyle="warning" allowBlank="1" showInputMessage="1" showErrorMessage="1" errorTitle="חסרה קטגוריה" sqref="H67:H168 H3:H52 H54:H64" xr:uid="{551B28F3-8E8A-4093-823D-EFAAE5E60093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8B1C3A-124E-4056-8CC8-EED44B99B7D1}">
          <x14:formula1>
            <xm:f>Dropdown!$D$2:$D$9</xm:f>
          </x14:formula1>
          <xm:sqref>P18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W266"/>
  <sheetViews>
    <sheetView rightToLeft="1" zoomScale="85" zoomScaleNormal="85" workbookViewId="0">
      <pane ySplit="1" topLeftCell="A4" activePane="bottomLeft" state="frozen"/>
      <selection activeCell="Q7" sqref="Q7"/>
      <selection pane="bottomLef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19.7109375" style="204" bestFit="1" customWidth="1"/>
    <col min="17" max="17" width="11.42578125" style="204" bestFit="1" customWidth="1"/>
    <col min="18" max="18" width="10.7109375" style="204" bestFit="1" customWidth="1"/>
    <col min="19" max="19" width="4.28515625" style="204" bestFit="1" customWidth="1"/>
    <col min="20" max="20" width="3.28515625" style="204" bestFit="1" customWidth="1"/>
    <col min="21" max="21" width="6" style="204" bestFit="1" customWidth="1"/>
    <col min="22" max="25" width="4.28515625" style="204" bestFit="1" customWidth="1"/>
    <col min="26" max="26" width="5.42578125" style="204" bestFit="1" customWidth="1"/>
    <col min="27" max="27" width="4.28515625" style="204" bestFit="1" customWidth="1"/>
    <col min="28" max="28" width="5.42578125" style="204" bestFit="1" customWidth="1"/>
    <col min="29" max="34" width="4.28515625" style="204" bestFit="1" customWidth="1"/>
    <col min="35" max="35" width="5.42578125" style="204" bestFit="1" customWidth="1"/>
    <col min="36" max="36" width="3.28515625" style="204" bestFit="1" customWidth="1"/>
    <col min="37" max="39" width="4.28515625" style="204" bestFit="1" customWidth="1"/>
    <col min="40" max="41" width="5.42578125" style="204" bestFit="1" customWidth="1"/>
    <col min="42" max="42" width="4.28515625" style="204" bestFit="1" customWidth="1"/>
    <col min="43" max="44" width="3.28515625" style="204" bestFit="1" customWidth="1"/>
    <col min="45" max="45" width="4.28515625" style="204" bestFit="1" customWidth="1"/>
    <col min="46" max="46" width="3.28515625" style="204" bestFit="1" customWidth="1"/>
    <col min="47" max="47" width="4.28515625" style="204" bestFit="1" customWidth="1"/>
    <col min="48" max="48" width="3.285156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 t="s">
        <v>208</v>
      </c>
      <c r="B1" s="214" t="s">
        <v>207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18738.95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10499.099999999999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12599.720000000001</v>
      </c>
      <c r="G4" s="279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>SUMIFS($G:$G,$I:$I,$P6,$F:$F,"")</f>
        <v>15203.96</v>
      </c>
      <c r="R6" s="297">
        <f>SUMIFS($G:$G,$I:$I,$P6,$F:$F, TEXT(R$5,"00") &amp; "." &amp; TEXT($A$1,"00"))</f>
        <v>0</v>
      </c>
      <c r="S6" s="297">
        <f>SUMIFS($G:$G,$I:$I,$P6,$F:$F, TEXT(S$5,"00") &amp; "." &amp; TEXT($A$1,"00"))</f>
        <v>0</v>
      </c>
      <c r="T6" s="297">
        <f>SUMIFS($G:$G,$I:$I,$P6,$F:$F, TEXT(T$5,"00") &amp; "." &amp; TEXT($A$1,"00"))</f>
        <v>0</v>
      </c>
      <c r="U6" s="297">
        <f>SUMIFS($G:$G,$I:$I,$P6,$F:$F, TEXT(U$5,"00") &amp; "." &amp; TEXT($A$1,"00"))</f>
        <v>0</v>
      </c>
      <c r="V6" s="297">
        <f>SUMIFS($G:$G,$I:$I,$P6,$F:$F, TEXT(V$5,"00") &amp; "." &amp; TEXT($A$1,"00"))</f>
        <v>0</v>
      </c>
      <c r="W6" s="297">
        <f>SUMIFS($G:$G,$I:$I,$P6,$F:$F, TEXT(W$5,"00") &amp; "." &amp; TEXT($A$1,"00"))</f>
        <v>0</v>
      </c>
      <c r="X6" s="297">
        <f>SUMIFS($G:$G,$I:$I,$P6,$F:$F, TEXT(X$5,"00") &amp; "." &amp; TEXT($A$1,"00"))</f>
        <v>0</v>
      </c>
      <c r="Y6" s="297">
        <f>SUMIFS($G:$G,$I:$I,$P6,$F:$F, TEXT(Y$5,"00") &amp; "." &amp; TEXT($A$1,"00"))</f>
        <v>0</v>
      </c>
      <c r="Z6" s="297">
        <f>SUMIFS($G:$G,$I:$I,$P6,$F:$F, TEXT(Z$5,"00") &amp; "." &amp; TEXT($A$1,"00"))</f>
        <v>0</v>
      </c>
      <c r="AA6" s="297">
        <f>SUMIFS($G:$G,$I:$I,$P6,$F:$F, TEXT(AA$5,"00") &amp; "." &amp; TEXT($A$1,"00"))</f>
        <v>0</v>
      </c>
      <c r="AB6" s="297">
        <f>SUMIFS($G:$G,$I:$I,$P6,$F:$F, TEXT(AB$5,"00") &amp; "." &amp; TEXT($A$1,"00"))</f>
        <v>0</v>
      </c>
      <c r="AC6" s="297">
        <f>SUMIFS($G:$G,$I:$I,$P6,$F:$F, TEXT(AC$5,"00") &amp; "." &amp; TEXT($A$1,"00"))</f>
        <v>0</v>
      </c>
      <c r="AD6" s="297">
        <f>SUMIFS($G:$G,$I:$I,$P6,$F:$F, TEXT(AD$5,"00") &amp; "." &amp; TEXT($A$1,"00"))</f>
        <v>0</v>
      </c>
      <c r="AE6" s="297">
        <f>SUMIFS($G:$G,$I:$I,$P6,$F:$F, TEXT(AE$5,"00") &amp; "." &amp; TEXT($A$1,"00"))</f>
        <v>0</v>
      </c>
      <c r="AF6" s="297">
        <f>SUMIFS($G:$G,$I:$I,$P6,$F:$F, TEXT(AF$5,"00") &amp; "." &amp; TEXT($A$1,"00"))</f>
        <v>0</v>
      </c>
      <c r="AG6" s="297">
        <f>SUMIFS($G:$G,$I:$I,$P6,$F:$F, TEXT(AG$5,"00") &amp; "." &amp; TEXT($A$1,"00"))</f>
        <v>0</v>
      </c>
      <c r="AH6" s="297">
        <f>SUMIFS($G:$G,$I:$I,$P6,$F:$F, TEXT(AH$5,"00") &amp; "." &amp; TEXT($A$1,"00"))</f>
        <v>0</v>
      </c>
      <c r="AI6" s="297">
        <f>SUMIFS($G:$G,$I:$I,$P6,$F:$F, TEXT(AI$5,"00") &amp; "." &amp; TEXT($A$1,"00"))</f>
        <v>0</v>
      </c>
      <c r="AJ6" s="297">
        <f>SUMIFS($G:$G,$I:$I,$P6,$F:$F, TEXT(AJ$5,"00") &amp; "." &amp; TEXT($A$1,"00"))</f>
        <v>0</v>
      </c>
      <c r="AK6" s="297">
        <f>SUMIFS($G:$G,$I:$I,$P6,$F:$F, TEXT(AK$5,"00") &amp; "." &amp; TEXT($A$1,"00"))</f>
        <v>0</v>
      </c>
      <c r="AL6" s="297">
        <f>SUMIFS($G:$G,$I:$I,$P6,$F:$F, TEXT(AL$5,"00") &amp; "." &amp; TEXT($A$1,"00"))</f>
        <v>0</v>
      </c>
      <c r="AM6" s="297">
        <f>SUMIFS($G:$G,$I:$I,$P6,$F:$F, TEXT(AM$5,"00") &amp; "." &amp; TEXT($A$1,"00"))</f>
        <v>0</v>
      </c>
      <c r="AN6" s="297">
        <f>SUMIFS($G:$G,$I:$I,$P6,$F:$F, TEXT(AN$5,"00") &amp; "." &amp; TEXT($A$1,"00"))</f>
        <v>0</v>
      </c>
      <c r="AO6" s="297">
        <f>SUMIFS($G:$G,$I:$I,$P6,$F:$F, TEXT(AO$5,"00") &amp; "." &amp; TEXT($A$1,"00"))</f>
        <v>0</v>
      </c>
      <c r="AP6" s="297">
        <f>SUMIFS($G:$G,$I:$I,$P6,$F:$F, TEXT(AP$5,"00") &amp; "." &amp; TEXT($A$1,"00"))</f>
        <v>0</v>
      </c>
      <c r="AQ6" s="297">
        <f>SUMIFS($G:$G,$I:$I,$P6,$F:$F, TEXT(AQ$5,"00") &amp; "." &amp; TEXT($A$1,"00"))</f>
        <v>0</v>
      </c>
      <c r="AR6" s="297">
        <f>SUMIFS($G:$G,$I:$I,$P6,$F:$F, TEXT(AR$5,"00") &amp; "." &amp; TEXT($A$1,"00"))</f>
        <v>0</v>
      </c>
      <c r="AS6" s="297">
        <f>SUMIFS($G:$G,$I:$I,$P6,$F:$F, TEXT(AS$5,"00") &amp; "." &amp; TEXT($A$1,"00"))</f>
        <v>0</v>
      </c>
      <c r="AT6" s="297">
        <f>SUMIFS($G:$G,$I:$I,$P6,$F:$F, TEXT(AT$5,"00") &amp; "." &amp; TEXT($A$1,"00"))</f>
        <v>0</v>
      </c>
      <c r="AU6" s="297">
        <f>SUMIFS($G:$G,$I:$I,$P6,$F:$F, TEXT(AU$5,"00") &amp; "." &amp; TEXT($A$1,"00"))</f>
        <v>0</v>
      </c>
      <c r="AV6" s="297">
        <f>SUMIFS($G:$G,$I:$I,$P6,$F:$F, TEXT(AV$5,"00") &amp; "." &amp; TEXT($A$1,"00"))</f>
        <v>0</v>
      </c>
      <c r="AW6" s="294">
        <f>SUM(Q6:AV6)</f>
        <v>15203.96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>SUMIFS($G:$G,$I:$I,$P7,$F:$F,"")</f>
        <v>4410.5200000000004</v>
      </c>
      <c r="R7" s="297">
        <f>SUMIFS($G:$G,$I:$I,$P7,$F:$F, TEXT(R$5,"00") &amp; "." &amp; TEXT($A$1,"00"))</f>
        <v>0</v>
      </c>
      <c r="S7" s="297">
        <f>SUMIFS($G:$G,$I:$I,$P7,$F:$F, TEXT(S$5,"00") &amp; "." &amp; TEXT($A$1,"00"))</f>
        <v>0</v>
      </c>
      <c r="T7" s="297">
        <f>SUMIFS($G:$G,$I:$I,$P7,$F:$F, TEXT(T$5,"00") &amp; "." &amp; TEXT($A$1,"00"))</f>
        <v>0</v>
      </c>
      <c r="U7" s="297">
        <f>SUMIFS($G:$G,$I:$I,$P7,$F:$F, TEXT(U$5,"00") &amp; "." &amp; TEXT($A$1,"00"))</f>
        <v>0</v>
      </c>
      <c r="V7" s="297">
        <f>SUMIFS($G:$G,$I:$I,$P7,$F:$F, TEXT(V$5,"00") &amp; "." &amp; TEXT($A$1,"00"))</f>
        <v>0</v>
      </c>
      <c r="W7" s="297">
        <f>SUMIFS($G:$G,$I:$I,$P7,$F:$F, TEXT(W$5,"00") &amp; "." &amp; TEXT($A$1,"00"))</f>
        <v>0</v>
      </c>
      <c r="X7" s="297">
        <f>SUMIFS($G:$G,$I:$I,$P7,$F:$F, TEXT(X$5,"00") &amp; "." &amp; TEXT($A$1,"00"))</f>
        <v>0</v>
      </c>
      <c r="Y7" s="297">
        <f>SUMIFS($G:$G,$I:$I,$P7,$F:$F, TEXT(Y$5,"00") &amp; "." &amp; TEXT($A$1,"00"))</f>
        <v>0</v>
      </c>
      <c r="Z7" s="297">
        <f>SUMIFS($G:$G,$I:$I,$P7,$F:$F, TEXT(Z$5,"00") &amp; "." &amp; TEXT($A$1,"00"))</f>
        <v>0</v>
      </c>
      <c r="AA7" s="297">
        <f>SUMIFS($G:$G,$I:$I,$P7,$F:$F, TEXT(AA$5,"00") &amp; "." &amp; TEXT($A$1,"00"))</f>
        <v>0</v>
      </c>
      <c r="AB7" s="297">
        <f>SUMIFS($G:$G,$I:$I,$P7,$F:$F, TEXT(AB$5,"00") &amp; "." &amp; TEXT($A$1,"00"))</f>
        <v>0</v>
      </c>
      <c r="AC7" s="297">
        <f>SUMIFS($G:$G,$I:$I,$P7,$F:$F, TEXT(AC$5,"00") &amp; "." &amp; TEXT($A$1,"00"))</f>
        <v>0</v>
      </c>
      <c r="AD7" s="297">
        <f>SUMIFS($G:$G,$I:$I,$P7,$F:$F, TEXT(AD$5,"00") &amp; "." &amp; TEXT($A$1,"00"))</f>
        <v>0</v>
      </c>
      <c r="AE7" s="297">
        <f>SUMIFS($G:$G,$I:$I,$P7,$F:$F, TEXT(AE$5,"00") &amp; "." &amp; TEXT($A$1,"00"))</f>
        <v>0</v>
      </c>
      <c r="AF7" s="297">
        <f>SUMIFS($G:$G,$I:$I,$P7,$F:$F, TEXT(AF$5,"00") &amp; "." &amp; TEXT($A$1,"00"))</f>
        <v>0</v>
      </c>
      <c r="AG7" s="297">
        <f>SUMIFS($G:$G,$I:$I,$P7,$F:$F, TEXT(AG$5,"00") &amp; "." &amp; TEXT($A$1,"00"))</f>
        <v>0</v>
      </c>
      <c r="AH7" s="297">
        <f>SUMIFS($G:$G,$I:$I,$P7,$F:$F, TEXT(AH$5,"00") &amp; "." &amp; TEXT($A$1,"00"))</f>
        <v>0</v>
      </c>
      <c r="AI7" s="297">
        <f>SUMIFS($G:$G,$I:$I,$P7,$F:$F, TEXT(AI$5,"00") &amp; "." &amp; TEXT($A$1,"00"))</f>
        <v>0</v>
      </c>
      <c r="AJ7" s="297">
        <f>SUMIFS($G:$G,$I:$I,$P7,$F:$F, TEXT(AJ$5,"00") &amp; "." &amp; TEXT($A$1,"00"))</f>
        <v>0</v>
      </c>
      <c r="AK7" s="297">
        <f>SUMIFS($G:$G,$I:$I,$P7,$F:$F, TEXT(AK$5,"00") &amp; "." &amp; TEXT($A$1,"00"))</f>
        <v>0</v>
      </c>
      <c r="AL7" s="297">
        <f>SUMIFS($G:$G,$I:$I,$P7,$F:$F, TEXT(AL$5,"00") &amp; "." &amp; TEXT($A$1,"00"))</f>
        <v>0</v>
      </c>
      <c r="AM7" s="297">
        <f>SUMIFS($G:$G,$I:$I,$P7,$F:$F, TEXT(AM$5,"00") &amp; "." &amp; TEXT($A$1,"00"))</f>
        <v>0</v>
      </c>
      <c r="AN7" s="297">
        <f>SUMIFS($G:$G,$I:$I,$P7,$F:$F, TEXT(AN$5,"00") &amp; "." &amp; TEXT($A$1,"00"))</f>
        <v>0</v>
      </c>
      <c r="AO7" s="297">
        <f>SUMIFS($G:$G,$I:$I,$P7,$F:$F, TEXT(AO$5,"00") &amp; "." &amp; TEXT($A$1,"00"))</f>
        <v>0</v>
      </c>
      <c r="AP7" s="297">
        <f>SUMIFS($G:$G,$I:$I,$P7,$F:$F, TEXT(AP$5,"00") &amp; "." &amp; TEXT($A$1,"00"))</f>
        <v>0</v>
      </c>
      <c r="AQ7" s="297">
        <f>SUMIFS($G:$G,$I:$I,$P7,$F:$F, TEXT(AQ$5,"00") &amp; "." &amp; TEXT($A$1,"00"))</f>
        <v>0</v>
      </c>
      <c r="AR7" s="297">
        <f>SUMIFS($G:$G,$I:$I,$P7,$F:$F, TEXT(AR$5,"00") &amp; "." &amp; TEXT($A$1,"00"))</f>
        <v>0</v>
      </c>
      <c r="AS7" s="297">
        <f>SUMIFS($G:$G,$I:$I,$P7,$F:$F, TEXT(AS$5,"00") &amp; "." &amp; TEXT($A$1,"00"))</f>
        <v>0</v>
      </c>
      <c r="AT7" s="297">
        <f>SUMIFS($G:$G,$I:$I,$P7,$F:$F, TEXT(AT$5,"00") &amp; "." &amp; TEXT($A$1,"00"))</f>
        <v>0</v>
      </c>
      <c r="AU7" s="297">
        <f>SUMIFS($G:$G,$I:$I,$P7,$F:$F, TEXT(AU$5,"00") &amp; "." &amp; TEXT($A$1,"00"))</f>
        <v>0</v>
      </c>
      <c r="AV7" s="297">
        <f>SUMIFS($G:$G,$I:$I,$P7,$F:$F, TEXT(AV$5,"00") &amp; "." &amp; TEXT($A$1,"00"))</f>
        <v>0</v>
      </c>
      <c r="AW7" s="294">
        <f t="shared" ref="AW7:AW13" si="0">SUM(Q7:AV7)</f>
        <v>4410.5200000000004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>SUMIFS($G:$G,$I:$I,$P8,$F:$F,"")</f>
        <v>1784.75</v>
      </c>
      <c r="R8" s="297">
        <f>SUMIFS($G:$G,$I:$I,$P8,$F:$F, TEXT(R$5,"00") &amp; "." &amp; TEXT($A$1,"00"))</f>
        <v>0</v>
      </c>
      <c r="S8" s="297">
        <f>SUMIFS($G:$G,$I:$I,$P8,$F:$F, TEXT(S$5,"00") &amp; "." &amp; TEXT($A$1,"00"))</f>
        <v>0</v>
      </c>
      <c r="T8" s="297">
        <f>SUMIFS($G:$G,$I:$I,$P8,$F:$F, TEXT(T$5,"00") &amp; "." &amp; TEXT($A$1,"00"))</f>
        <v>0</v>
      </c>
      <c r="U8" s="297">
        <f>SUMIFS($G:$G,$I:$I,$P8,$F:$F, TEXT(U$5,"00") &amp; "." &amp; TEXT($A$1,"00"))</f>
        <v>0</v>
      </c>
      <c r="V8" s="297">
        <f>SUMIFS($G:$G,$I:$I,$P8,$F:$F, TEXT(V$5,"00") &amp; "." &amp; TEXT($A$1,"00"))</f>
        <v>0</v>
      </c>
      <c r="W8" s="297">
        <f>SUMIFS($G:$G,$I:$I,$P8,$F:$F, TEXT(W$5,"00") &amp; "." &amp; TEXT($A$1,"00"))</f>
        <v>0</v>
      </c>
      <c r="X8" s="297">
        <f>SUMIFS($G:$G,$I:$I,$P8,$F:$F, TEXT(X$5,"00") &amp; "." &amp; TEXT($A$1,"00"))</f>
        <v>0</v>
      </c>
      <c r="Y8" s="297">
        <f>SUMIFS($G:$G,$I:$I,$P8,$F:$F, TEXT(Y$5,"00") &amp; "." &amp; TEXT($A$1,"00"))</f>
        <v>0</v>
      </c>
      <c r="Z8" s="297">
        <f>SUMIFS($G:$G,$I:$I,$P8,$F:$F, TEXT(Z$5,"00") &amp; "." &amp; TEXT($A$1,"00"))</f>
        <v>0</v>
      </c>
      <c r="AA8" s="297">
        <f>SUMIFS($G:$G,$I:$I,$P8,$F:$F, TEXT(AA$5,"00") &amp; "." &amp; TEXT($A$1,"00"))</f>
        <v>0</v>
      </c>
      <c r="AB8" s="297">
        <f>SUMIFS($G:$G,$I:$I,$P8,$F:$F, TEXT(AB$5,"00") &amp; "." &amp; TEXT($A$1,"00"))</f>
        <v>0</v>
      </c>
      <c r="AC8" s="297">
        <f>SUMIFS($G:$G,$I:$I,$P8,$F:$F, TEXT(AC$5,"00") &amp; "." &amp; TEXT($A$1,"00"))</f>
        <v>0</v>
      </c>
      <c r="AD8" s="297">
        <f>SUMIFS($G:$G,$I:$I,$P8,$F:$F, TEXT(AD$5,"00") &amp; "." &amp; TEXT($A$1,"00"))</f>
        <v>0</v>
      </c>
      <c r="AE8" s="297">
        <f>SUMIFS($G:$G,$I:$I,$P8,$F:$F, TEXT(AE$5,"00") &amp; "." &amp; TEXT($A$1,"00"))</f>
        <v>0</v>
      </c>
      <c r="AF8" s="297">
        <f>SUMIFS($G:$G,$I:$I,$P8,$F:$F, TEXT(AF$5,"00") &amp; "." &amp; TEXT($A$1,"00"))</f>
        <v>0</v>
      </c>
      <c r="AG8" s="297">
        <f>SUMIFS($G:$G,$I:$I,$P8,$F:$F, TEXT(AG$5,"00") &amp; "." &amp; TEXT($A$1,"00"))</f>
        <v>0</v>
      </c>
      <c r="AH8" s="297">
        <f>SUMIFS($G:$G,$I:$I,$P8,$F:$F, TEXT(AH$5,"00") &amp; "." &amp; TEXT($A$1,"00"))</f>
        <v>0</v>
      </c>
      <c r="AI8" s="297">
        <f>SUMIFS($G:$G,$I:$I,$P8,$F:$F, TEXT(AI$5,"00") &amp; "." &amp; TEXT($A$1,"00"))</f>
        <v>0</v>
      </c>
      <c r="AJ8" s="297">
        <f>SUMIFS($G:$G,$I:$I,$P8,$F:$F, TEXT(AJ$5,"00") &amp; "." &amp; TEXT($A$1,"00"))</f>
        <v>0</v>
      </c>
      <c r="AK8" s="297">
        <f>SUMIFS($G:$G,$I:$I,$P8,$F:$F, TEXT(AK$5,"00") &amp; "." &amp; TEXT($A$1,"00"))</f>
        <v>0</v>
      </c>
      <c r="AL8" s="297">
        <f>SUMIFS($G:$G,$I:$I,$P8,$F:$F, TEXT(AL$5,"00") &amp; "." &amp; TEXT($A$1,"00"))</f>
        <v>0</v>
      </c>
      <c r="AM8" s="297">
        <f>SUMIFS($G:$G,$I:$I,$P8,$F:$F, TEXT(AM$5,"00") &amp; "." &amp; TEXT($A$1,"00"))</f>
        <v>0</v>
      </c>
      <c r="AN8" s="297">
        <f>SUMIFS($G:$G,$I:$I,$P8,$F:$F, TEXT(AN$5,"00") &amp; "." &amp; TEXT($A$1,"00"))</f>
        <v>0</v>
      </c>
      <c r="AO8" s="297">
        <f>SUMIFS($G:$G,$I:$I,$P8,$F:$F, TEXT(AO$5,"00") &amp; "." &amp; TEXT($A$1,"00"))</f>
        <v>0</v>
      </c>
      <c r="AP8" s="297">
        <f>SUMIFS($G:$G,$I:$I,$P8,$F:$F, TEXT(AP$5,"00") &amp; "." &amp; TEXT($A$1,"00"))</f>
        <v>0</v>
      </c>
      <c r="AQ8" s="297">
        <f>SUMIFS($G:$G,$I:$I,$P8,$F:$F, TEXT(AQ$5,"00") &amp; "." &amp; TEXT($A$1,"00"))</f>
        <v>0</v>
      </c>
      <c r="AR8" s="297">
        <f>SUMIFS($G:$G,$I:$I,$P8,$F:$F, TEXT(AR$5,"00") &amp; "." &amp; TEXT($A$1,"00"))</f>
        <v>0</v>
      </c>
      <c r="AS8" s="297">
        <f>SUMIFS($G:$G,$I:$I,$P8,$F:$F, TEXT(AS$5,"00") &amp; "." &amp; TEXT($A$1,"00"))</f>
        <v>0</v>
      </c>
      <c r="AT8" s="297">
        <f>SUMIFS($G:$G,$I:$I,$P8,$F:$F, TEXT(AT$5,"00") &amp; "." &amp; TEXT($A$1,"00"))</f>
        <v>0</v>
      </c>
      <c r="AU8" s="297">
        <f>SUMIFS($G:$G,$I:$I,$P8,$F:$F, TEXT(AU$5,"00") &amp; "." &amp; TEXT($A$1,"00"))</f>
        <v>0</v>
      </c>
      <c r="AV8" s="297">
        <f>SUMIFS($G:$G,$I:$I,$P8,$F:$F, TEXT(AV$5,"00") &amp; "." &amp; TEXT($A$1,"00"))</f>
        <v>0</v>
      </c>
      <c r="AW8" s="294">
        <f t="shared" si="0"/>
        <v>1784.75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>SUMIFS($G:$G,$I:$I,$P9,$F:$F,"")</f>
        <v>3257.7200000000003</v>
      </c>
      <c r="R9" s="297">
        <f>SUMIFS($G:$G,$I:$I,$P9,$F:$F, TEXT(R$5,"00") &amp; "." &amp; TEXT($A$1,"00"))</f>
        <v>0</v>
      </c>
      <c r="S9" s="297">
        <f>SUMIFS($G:$G,$I:$I,$P9,$F:$F, TEXT(S$5,"00") &amp; "." &amp; TEXT($A$1,"00"))</f>
        <v>0</v>
      </c>
      <c r="T9" s="297">
        <f>SUMIFS($G:$G,$I:$I,$P9,$F:$F, TEXT(T$5,"00") &amp; "." &amp; TEXT($A$1,"00"))</f>
        <v>0</v>
      </c>
      <c r="U9" s="297">
        <f>SUMIFS($G:$G,$I:$I,$P9,$F:$F, TEXT(U$5,"00") &amp; "." &amp; TEXT($A$1,"00"))</f>
        <v>0</v>
      </c>
      <c r="V9" s="297">
        <f>SUMIFS($G:$G,$I:$I,$P9,$F:$F, TEXT(V$5,"00") &amp; "." &amp; TEXT($A$1,"00"))</f>
        <v>0</v>
      </c>
      <c r="W9" s="297">
        <f>SUMIFS($G:$G,$I:$I,$P9,$F:$F, TEXT(W$5,"00") &amp; "." &amp; TEXT($A$1,"00"))</f>
        <v>0</v>
      </c>
      <c r="X9" s="297">
        <f>SUMIFS($G:$G,$I:$I,$P9,$F:$F, TEXT(X$5,"00") &amp; "." &amp; TEXT($A$1,"00"))</f>
        <v>0</v>
      </c>
      <c r="Y9" s="297">
        <f>SUMIFS($G:$G,$I:$I,$P9,$F:$F, TEXT(Y$5,"00") &amp; "." &amp; TEXT($A$1,"00"))</f>
        <v>0</v>
      </c>
      <c r="Z9" s="297">
        <f>SUMIFS($G:$G,$I:$I,$P9,$F:$F, TEXT(Z$5,"00") &amp; "." &amp; TEXT($A$1,"00"))</f>
        <v>0</v>
      </c>
      <c r="AA9" s="297">
        <f>SUMIFS($G:$G,$I:$I,$P9,$F:$F, TEXT(AA$5,"00") &amp; "." &amp; TEXT($A$1,"00"))</f>
        <v>0</v>
      </c>
      <c r="AB9" s="297">
        <f>SUMIFS($G:$G,$I:$I,$P9,$F:$F, TEXT(AB$5,"00") &amp; "." &amp; TEXT($A$1,"00"))</f>
        <v>0</v>
      </c>
      <c r="AC9" s="297">
        <f>SUMIFS($G:$G,$I:$I,$P9,$F:$F, TEXT(AC$5,"00") &amp; "." &amp; TEXT($A$1,"00"))</f>
        <v>0</v>
      </c>
      <c r="AD9" s="297">
        <f>SUMIFS($G:$G,$I:$I,$P9,$F:$F, TEXT(AD$5,"00") &amp; "." &amp; TEXT($A$1,"00"))</f>
        <v>0</v>
      </c>
      <c r="AE9" s="297">
        <f>SUMIFS($G:$G,$I:$I,$P9,$F:$F, TEXT(AE$5,"00") &amp; "." &amp; TEXT($A$1,"00"))</f>
        <v>0</v>
      </c>
      <c r="AF9" s="297">
        <f>SUMIFS($G:$G,$I:$I,$P9,$F:$F, TEXT(AF$5,"00") &amp; "." &amp; TEXT($A$1,"00"))</f>
        <v>0</v>
      </c>
      <c r="AG9" s="297">
        <f>SUMIFS($G:$G,$I:$I,$P9,$F:$F, TEXT(AG$5,"00") &amp; "." &amp; TEXT($A$1,"00"))</f>
        <v>0</v>
      </c>
      <c r="AH9" s="297">
        <f>SUMIFS($G:$G,$I:$I,$P9,$F:$F, TEXT(AH$5,"00") &amp; "." &amp; TEXT($A$1,"00"))</f>
        <v>0</v>
      </c>
      <c r="AI9" s="297">
        <f>SUMIFS($G:$G,$I:$I,$P9,$F:$F, TEXT(AI$5,"00") &amp; "." &amp; TEXT($A$1,"00"))</f>
        <v>0</v>
      </c>
      <c r="AJ9" s="297">
        <f>SUMIFS($G:$G,$I:$I,$P9,$F:$F, TEXT(AJ$5,"00") &amp; "." &amp; TEXT($A$1,"00"))</f>
        <v>0</v>
      </c>
      <c r="AK9" s="297">
        <f>SUMIFS($G:$G,$I:$I,$P9,$F:$F, TEXT(AK$5,"00") &amp; "." &amp; TEXT($A$1,"00"))</f>
        <v>0</v>
      </c>
      <c r="AL9" s="297">
        <f>SUMIFS($G:$G,$I:$I,$P9,$F:$F, TEXT(AL$5,"00") &amp; "." &amp; TEXT($A$1,"00"))</f>
        <v>0</v>
      </c>
      <c r="AM9" s="297">
        <f>SUMIFS($G:$G,$I:$I,$P9,$F:$F, TEXT(AM$5,"00") &amp; "." &amp; TEXT($A$1,"00"))</f>
        <v>0</v>
      </c>
      <c r="AN9" s="297">
        <f>SUMIFS($G:$G,$I:$I,$P9,$F:$F, TEXT(AN$5,"00") &amp; "." &amp; TEXT($A$1,"00"))</f>
        <v>0</v>
      </c>
      <c r="AO9" s="297">
        <f>SUMIFS($G:$G,$I:$I,$P9,$F:$F, TEXT(AO$5,"00") &amp; "." &amp; TEXT($A$1,"00"))</f>
        <v>0</v>
      </c>
      <c r="AP9" s="297">
        <f>SUMIFS($G:$G,$I:$I,$P9,$F:$F, TEXT(AP$5,"00") &amp; "." &amp; TEXT($A$1,"00"))</f>
        <v>0</v>
      </c>
      <c r="AQ9" s="297">
        <f>SUMIFS($G:$G,$I:$I,$P9,$F:$F, TEXT(AQ$5,"00") &amp; "." &amp; TEXT($A$1,"00"))</f>
        <v>0</v>
      </c>
      <c r="AR9" s="297">
        <f>SUMIFS($G:$G,$I:$I,$P9,$F:$F, TEXT(AR$5,"00") &amp; "." &amp; TEXT($A$1,"00"))</f>
        <v>0</v>
      </c>
      <c r="AS9" s="297">
        <f>SUMIFS($G:$G,$I:$I,$P9,$F:$F, TEXT(AS$5,"00") &amp; "." &amp; TEXT($A$1,"00"))</f>
        <v>0</v>
      </c>
      <c r="AT9" s="297">
        <f>SUMIFS($G:$G,$I:$I,$P9,$F:$F, TEXT(AT$5,"00") &amp; "." &amp; TEXT($A$1,"00"))</f>
        <v>0</v>
      </c>
      <c r="AU9" s="297">
        <f>SUMIFS($G:$G,$I:$I,$P9,$F:$F, TEXT(AU$5,"00") &amp; "." &amp; TEXT($A$1,"00"))</f>
        <v>0</v>
      </c>
      <c r="AV9" s="297">
        <f>SUMIFS($G:$G,$I:$I,$P9,$F:$F, TEXT(AV$5,"00") &amp; "." &amp; TEXT($A$1,"00"))</f>
        <v>0</v>
      </c>
      <c r="AW9" s="294">
        <f t="shared" si="0"/>
        <v>3257.7200000000003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>SUMIFS($G:$G,$I:$I,$P10,$F:$F,"")</f>
        <v>3686.8599999999997</v>
      </c>
      <c r="R10" s="297">
        <f>SUMIFS($G:$G,$I:$I,$P10,$F:$F, TEXT(R$5,"00") &amp; "." &amp; TEXT($A$1,"00"))</f>
        <v>0</v>
      </c>
      <c r="S10" s="297">
        <f>SUMIFS($G:$G,$I:$I,$P10,$F:$F, TEXT(S$5,"00") &amp; "." &amp; TEXT($A$1,"00"))</f>
        <v>0</v>
      </c>
      <c r="T10" s="297">
        <f>SUMIFS($G:$G,$I:$I,$P10,$F:$F, TEXT(T$5,"00") &amp; "." &amp; TEXT($A$1,"00"))</f>
        <v>0</v>
      </c>
      <c r="U10" s="297">
        <f>SUMIFS($G:$G,$I:$I,$P10,$F:$F, TEXT(U$5,"00") &amp; "." &amp; TEXT($A$1,"00"))</f>
        <v>0</v>
      </c>
      <c r="V10" s="297">
        <f>SUMIFS($G:$G,$I:$I,$P10,$F:$F, TEXT(V$5,"00") &amp; "." &amp; TEXT($A$1,"00"))</f>
        <v>0</v>
      </c>
      <c r="W10" s="297">
        <f>SUMIFS($G:$G,$I:$I,$P10,$F:$F, TEXT(W$5,"00") &amp; "." &amp; TEXT($A$1,"00"))</f>
        <v>0</v>
      </c>
      <c r="X10" s="297">
        <f>SUMIFS($G:$G,$I:$I,$P10,$F:$F, TEXT(X$5,"00") &amp; "." &amp; TEXT($A$1,"00"))</f>
        <v>0</v>
      </c>
      <c r="Y10" s="297">
        <f>SUMIFS($G:$G,$I:$I,$P10,$F:$F, TEXT(Y$5,"00") &amp; "." &amp; TEXT($A$1,"00"))</f>
        <v>0</v>
      </c>
      <c r="Z10" s="297">
        <f>SUMIFS($G:$G,$I:$I,$P10,$F:$F, TEXT(Z$5,"00") &amp; "." &amp; TEXT($A$1,"00"))</f>
        <v>0</v>
      </c>
      <c r="AA10" s="297">
        <f>SUMIFS($G:$G,$I:$I,$P10,$F:$F, TEXT(AA$5,"00") &amp; "." &amp; TEXT($A$1,"00"))</f>
        <v>0</v>
      </c>
      <c r="AB10" s="297">
        <f>SUMIFS($G:$G,$I:$I,$P10,$F:$F, TEXT(AB$5,"00") &amp; "." &amp; TEXT($A$1,"00"))</f>
        <v>0</v>
      </c>
      <c r="AC10" s="297">
        <f>SUMIFS($G:$G,$I:$I,$P10,$F:$F, TEXT(AC$5,"00") &amp; "." &amp; TEXT($A$1,"00"))</f>
        <v>0</v>
      </c>
      <c r="AD10" s="297">
        <f>SUMIFS($G:$G,$I:$I,$P10,$F:$F, TEXT(AD$5,"00") &amp; "." &amp; TEXT($A$1,"00"))</f>
        <v>0</v>
      </c>
      <c r="AE10" s="297">
        <f>SUMIFS($G:$G,$I:$I,$P10,$F:$F, TEXT(AE$5,"00") &amp; "." &amp; TEXT($A$1,"00"))</f>
        <v>0</v>
      </c>
      <c r="AF10" s="297">
        <f>SUMIFS($G:$G,$I:$I,$P10,$F:$F, TEXT(AF$5,"00") &amp; "." &amp; TEXT($A$1,"00"))</f>
        <v>0</v>
      </c>
      <c r="AG10" s="297">
        <f>SUMIFS($G:$G,$I:$I,$P10,$F:$F, TEXT(AG$5,"00") &amp; "." &amp; TEXT($A$1,"00"))</f>
        <v>0</v>
      </c>
      <c r="AH10" s="297">
        <f>SUMIFS($G:$G,$I:$I,$P10,$F:$F, TEXT(AH$5,"00") &amp; "." &amp; TEXT($A$1,"00"))</f>
        <v>0</v>
      </c>
      <c r="AI10" s="297">
        <f>SUMIFS($G:$G,$I:$I,$P10,$F:$F, TEXT(AI$5,"00") &amp; "." &amp; TEXT($A$1,"00"))</f>
        <v>0</v>
      </c>
      <c r="AJ10" s="297">
        <f>SUMIFS($G:$G,$I:$I,$P10,$F:$F, TEXT(AJ$5,"00") &amp; "." &amp; TEXT($A$1,"00"))</f>
        <v>0</v>
      </c>
      <c r="AK10" s="297">
        <f>SUMIFS($G:$G,$I:$I,$P10,$F:$F, TEXT(AK$5,"00") &amp; "." &amp; TEXT($A$1,"00"))</f>
        <v>0</v>
      </c>
      <c r="AL10" s="297">
        <f>SUMIFS($G:$G,$I:$I,$P10,$F:$F, TEXT(AL$5,"00") &amp; "." &amp; TEXT($A$1,"00"))</f>
        <v>0</v>
      </c>
      <c r="AM10" s="297">
        <f>SUMIFS($G:$G,$I:$I,$P10,$F:$F, TEXT(AM$5,"00") &amp; "." &amp; TEXT($A$1,"00"))</f>
        <v>0</v>
      </c>
      <c r="AN10" s="297">
        <f>SUMIFS($G:$G,$I:$I,$P10,$F:$F, TEXT(AN$5,"00") &amp; "." &amp; TEXT($A$1,"00"))</f>
        <v>0</v>
      </c>
      <c r="AO10" s="297">
        <f>SUMIFS($G:$G,$I:$I,$P10,$F:$F, TEXT(AO$5,"00") &amp; "." &amp; TEXT($A$1,"00"))</f>
        <v>0</v>
      </c>
      <c r="AP10" s="297">
        <f>SUMIFS($G:$G,$I:$I,$P10,$F:$F, TEXT(AP$5,"00") &amp; "." &amp; TEXT($A$1,"00"))</f>
        <v>0</v>
      </c>
      <c r="AQ10" s="297">
        <f>SUMIFS($G:$G,$I:$I,$P10,$F:$F, TEXT(AQ$5,"00") &amp; "." &amp; TEXT($A$1,"00"))</f>
        <v>0</v>
      </c>
      <c r="AR10" s="297">
        <f>SUMIFS($G:$G,$I:$I,$P10,$F:$F, TEXT(AR$5,"00") &amp; "." &amp; TEXT($A$1,"00"))</f>
        <v>0</v>
      </c>
      <c r="AS10" s="297">
        <f>SUMIFS($G:$G,$I:$I,$P10,$F:$F, TEXT(AS$5,"00") &amp; "." &amp; TEXT($A$1,"00"))</f>
        <v>0</v>
      </c>
      <c r="AT10" s="297">
        <f>SUMIFS($G:$G,$I:$I,$P10,$F:$F, TEXT(AT$5,"00") &amp; "." &amp; TEXT($A$1,"00"))</f>
        <v>0</v>
      </c>
      <c r="AU10" s="297">
        <f>SUMIFS($G:$G,$I:$I,$P10,$F:$F, TEXT(AU$5,"00") &amp; "." &amp; TEXT($A$1,"00"))</f>
        <v>0</v>
      </c>
      <c r="AV10" s="297">
        <f>SUMIFS($G:$G,$I:$I,$P10,$F:$F, TEXT(AV$5,"00") &amp; "." &amp; TEXT($A$1,"00"))</f>
        <v>0</v>
      </c>
      <c r="AW10" s="294">
        <f t="shared" si="0"/>
        <v>3686.8599999999997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>SUMIFS($G:$G,$I:$I,$P11,$F:$F,"")</f>
        <v>1402</v>
      </c>
      <c r="R11" s="297">
        <f>SUMIFS($G:$G,$I:$I,$P11,$F:$F, TEXT(R$5,"00") &amp; "." &amp; TEXT($A$1,"00"))</f>
        <v>0</v>
      </c>
      <c r="S11" s="297">
        <f>SUMIFS($G:$G,$I:$I,$P11,$F:$F, TEXT(S$5,"00") &amp; "." &amp; TEXT($A$1,"00"))</f>
        <v>0</v>
      </c>
      <c r="T11" s="297">
        <f>SUMIFS($G:$G,$I:$I,$P11,$F:$F, TEXT(T$5,"00") &amp; "." &amp; TEXT($A$1,"00"))</f>
        <v>0</v>
      </c>
      <c r="U11" s="297">
        <f>SUMIFS($G:$G,$I:$I,$P11,$F:$F, TEXT(U$5,"00") &amp; "." &amp; TEXT($A$1,"00"))</f>
        <v>0</v>
      </c>
      <c r="V11" s="297">
        <f>SUMIFS($G:$G,$I:$I,$P11,$F:$F, TEXT(V$5,"00") &amp; "." &amp; TEXT($A$1,"00"))</f>
        <v>0</v>
      </c>
      <c r="W11" s="297">
        <f>SUMIFS($G:$G,$I:$I,$P11,$F:$F, TEXT(W$5,"00") &amp; "." &amp; TEXT($A$1,"00"))</f>
        <v>0</v>
      </c>
      <c r="X11" s="297">
        <f>SUMIFS($G:$G,$I:$I,$P11,$F:$F, TEXT(X$5,"00") &amp; "." &amp; TEXT($A$1,"00"))</f>
        <v>0</v>
      </c>
      <c r="Y11" s="297">
        <f>SUMIFS($G:$G,$I:$I,$P11,$F:$F, TEXT(Y$5,"00") &amp; "." &amp; TEXT($A$1,"00"))</f>
        <v>0</v>
      </c>
      <c r="Z11" s="297">
        <f>SUMIFS($G:$G,$I:$I,$P11,$F:$F, TEXT(Z$5,"00") &amp; "." &amp; TEXT($A$1,"00"))</f>
        <v>0</v>
      </c>
      <c r="AA11" s="297">
        <f>SUMIFS($G:$G,$I:$I,$P11,$F:$F, TEXT(AA$5,"00") &amp; "." &amp; TEXT($A$1,"00"))</f>
        <v>0</v>
      </c>
      <c r="AB11" s="297">
        <f>SUMIFS($G:$G,$I:$I,$P11,$F:$F, TEXT(AB$5,"00") &amp; "." &amp; TEXT($A$1,"00"))</f>
        <v>0</v>
      </c>
      <c r="AC11" s="297">
        <f>SUMIFS($G:$G,$I:$I,$P11,$F:$F, TEXT(AC$5,"00") &amp; "." &amp; TEXT($A$1,"00"))</f>
        <v>0</v>
      </c>
      <c r="AD11" s="297">
        <f>SUMIFS($G:$G,$I:$I,$P11,$F:$F, TEXT(AD$5,"00") &amp; "." &amp; TEXT($A$1,"00"))</f>
        <v>0</v>
      </c>
      <c r="AE11" s="297">
        <f>SUMIFS($G:$G,$I:$I,$P11,$F:$F, TEXT(AE$5,"00") &amp; "." &amp; TEXT($A$1,"00"))</f>
        <v>0</v>
      </c>
      <c r="AF11" s="297">
        <f>SUMIFS($G:$G,$I:$I,$P11,$F:$F, TEXT(AF$5,"00") &amp; "." &amp; TEXT($A$1,"00"))</f>
        <v>0</v>
      </c>
      <c r="AG11" s="297">
        <f>SUMIFS($G:$G,$I:$I,$P11,$F:$F, TEXT(AG$5,"00") &amp; "." &amp; TEXT($A$1,"00"))</f>
        <v>0</v>
      </c>
      <c r="AH11" s="297">
        <f>SUMIFS($G:$G,$I:$I,$P11,$F:$F, TEXT(AH$5,"00") &amp; "." &amp; TEXT($A$1,"00"))</f>
        <v>0</v>
      </c>
      <c r="AI11" s="297">
        <f>SUMIFS($G:$G,$I:$I,$P11,$F:$F, TEXT(AI$5,"00") &amp; "." &amp; TEXT($A$1,"00"))</f>
        <v>0</v>
      </c>
      <c r="AJ11" s="297">
        <f>SUMIFS($G:$G,$I:$I,$P11,$F:$F, TEXT(AJ$5,"00") &amp; "." &amp; TEXT($A$1,"00"))</f>
        <v>0</v>
      </c>
      <c r="AK11" s="297">
        <f>SUMIFS($G:$G,$I:$I,$P11,$F:$F, TEXT(AK$5,"00") &amp; "." &amp; TEXT($A$1,"00"))</f>
        <v>0</v>
      </c>
      <c r="AL11" s="297">
        <f>SUMIFS($G:$G,$I:$I,$P11,$F:$F, TEXT(AL$5,"00") &amp; "." &amp; TEXT($A$1,"00"))</f>
        <v>0</v>
      </c>
      <c r="AM11" s="297">
        <f>SUMIFS($G:$G,$I:$I,$P11,$F:$F, TEXT(AM$5,"00") &amp; "." &amp; TEXT($A$1,"00"))</f>
        <v>0</v>
      </c>
      <c r="AN11" s="297">
        <f>SUMIFS($G:$G,$I:$I,$P11,$F:$F, TEXT(AN$5,"00") &amp; "." &amp; TEXT($A$1,"00"))</f>
        <v>0</v>
      </c>
      <c r="AO11" s="297">
        <f>SUMIFS($G:$G,$I:$I,$P11,$F:$F, TEXT(AO$5,"00") &amp; "." &amp; TEXT($A$1,"00"))</f>
        <v>0</v>
      </c>
      <c r="AP11" s="297">
        <f>SUMIFS($G:$G,$I:$I,$P11,$F:$F, TEXT(AP$5,"00") &amp; "." &amp; TEXT($A$1,"00"))</f>
        <v>0</v>
      </c>
      <c r="AQ11" s="297">
        <f>SUMIFS($G:$G,$I:$I,$P11,$F:$F, TEXT(AQ$5,"00") &amp; "." &amp; TEXT($A$1,"00"))</f>
        <v>0</v>
      </c>
      <c r="AR11" s="297">
        <f>SUMIFS($G:$G,$I:$I,$P11,$F:$F, TEXT(AR$5,"00") &amp; "." &amp; TEXT($A$1,"00"))</f>
        <v>0</v>
      </c>
      <c r="AS11" s="297">
        <f>SUMIFS($G:$G,$I:$I,$P11,$F:$F, TEXT(AS$5,"00") &amp; "." &amp; TEXT($A$1,"00"))</f>
        <v>0</v>
      </c>
      <c r="AT11" s="297">
        <f>SUMIFS($G:$G,$I:$I,$P11,$F:$F, TEXT(AT$5,"00") &amp; "." &amp; TEXT($A$1,"00"))</f>
        <v>0</v>
      </c>
      <c r="AU11" s="297">
        <f>SUMIFS($G:$G,$I:$I,$P11,$F:$F, TEXT(AU$5,"00") &amp; "." &amp; TEXT($A$1,"00"))</f>
        <v>0</v>
      </c>
      <c r="AV11" s="297">
        <f>SUMIFS($G:$G,$I:$I,$P11,$F:$F, TEXT(AV$5,"00") &amp; "." &amp; TEXT($A$1,"00"))</f>
        <v>0</v>
      </c>
      <c r="AW11" s="294">
        <f t="shared" si="0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ca="1">SUMIFS($G:$G,$I:$I,$P12,$F:$F,"")</f>
        <v>1475</v>
      </c>
      <c r="R12" s="297">
        <f>SUMIFS($G:$G,$I:$I,$P12,$F:$F, TEXT(R$5,"00") &amp; "." &amp; TEXT($A$1,"00"))</f>
        <v>0</v>
      </c>
      <c r="S12" s="297">
        <f>SUMIFS($G:$G,$I:$I,$P12,$F:$F, TEXT(S$5,"00") &amp; "." &amp; TEXT($A$1,"00"))</f>
        <v>0</v>
      </c>
      <c r="T12" s="297">
        <f>SUMIFS($G:$G,$I:$I,$P12,$F:$F, TEXT(T$5,"00") &amp; "." &amp; TEXT($A$1,"00"))</f>
        <v>0</v>
      </c>
      <c r="U12" s="297">
        <f>SUMIFS($G:$G,$I:$I,$P12,$F:$F, TEXT(U$5,"00") &amp; "." &amp; TEXT($A$1,"00"))</f>
        <v>0</v>
      </c>
      <c r="V12" s="297">
        <f>SUMIFS($G:$G,$I:$I,$P12,$F:$F, TEXT(V$5,"00") &amp; "." &amp; TEXT($A$1,"00"))</f>
        <v>0</v>
      </c>
      <c r="W12" s="297">
        <f>SUMIFS($G:$G,$I:$I,$P12,$F:$F, TEXT(W$5,"00") &amp; "." &amp; TEXT($A$1,"00"))</f>
        <v>0</v>
      </c>
      <c r="X12" s="297">
        <f>SUMIFS($G:$G,$I:$I,$P12,$F:$F, TEXT(X$5,"00") &amp; "." &amp; TEXT($A$1,"00"))</f>
        <v>0</v>
      </c>
      <c r="Y12" s="297">
        <f>SUMIFS($G:$G,$I:$I,$P12,$F:$F, TEXT(Y$5,"00") &amp; "." &amp; TEXT($A$1,"00"))</f>
        <v>0</v>
      </c>
      <c r="Z12" s="297">
        <f>SUMIFS($G:$G,$I:$I,$P12,$F:$F, TEXT(Z$5,"00") &amp; "." &amp; TEXT($A$1,"00"))</f>
        <v>0</v>
      </c>
      <c r="AA12" s="297">
        <f>SUMIFS($G:$G,$I:$I,$P12,$F:$F, TEXT(AA$5,"00") &amp; "." &amp; TEXT($A$1,"00"))</f>
        <v>0</v>
      </c>
      <c r="AB12" s="297">
        <f>SUMIFS($G:$G,$I:$I,$P12,$F:$F, TEXT(AB$5,"00") &amp; "." &amp; TEXT($A$1,"00"))</f>
        <v>0</v>
      </c>
      <c r="AC12" s="297">
        <f>SUMIFS($G:$G,$I:$I,$P12,$F:$F, TEXT(AC$5,"00") &amp; "." &amp; TEXT($A$1,"00"))</f>
        <v>0</v>
      </c>
      <c r="AD12" s="297">
        <f>SUMIFS($G:$G,$I:$I,$P12,$F:$F, TEXT(AD$5,"00") &amp; "." &amp; TEXT($A$1,"00"))</f>
        <v>0</v>
      </c>
      <c r="AE12" s="297">
        <f>SUMIFS($G:$G,$I:$I,$P12,$F:$F, TEXT(AE$5,"00") &amp; "." &amp; TEXT($A$1,"00"))</f>
        <v>0</v>
      </c>
      <c r="AF12" s="297">
        <f>SUMIFS($G:$G,$I:$I,$P12,$F:$F, TEXT(AF$5,"00") &amp; "." &amp; TEXT($A$1,"00"))</f>
        <v>0</v>
      </c>
      <c r="AG12" s="297">
        <f>SUMIFS($G:$G,$I:$I,$P12,$F:$F, TEXT(AG$5,"00") &amp; "." &amp; TEXT($A$1,"00"))</f>
        <v>0</v>
      </c>
      <c r="AH12" s="297">
        <f>SUMIFS($G:$G,$I:$I,$P12,$F:$F, TEXT(AH$5,"00") &amp; "." &amp; TEXT($A$1,"00"))</f>
        <v>0</v>
      </c>
      <c r="AI12" s="297">
        <f>SUMIFS($G:$G,$I:$I,$P12,$F:$F, TEXT(AI$5,"00") &amp; "." &amp; TEXT($A$1,"00"))</f>
        <v>0</v>
      </c>
      <c r="AJ12" s="297">
        <f>SUMIFS($G:$G,$I:$I,$P12,$F:$F, TEXT(AJ$5,"00") &amp; "." &amp; TEXT($A$1,"00"))</f>
        <v>0</v>
      </c>
      <c r="AK12" s="297">
        <f>SUMIFS($G:$G,$I:$I,$P12,$F:$F, TEXT(AK$5,"00") &amp; "." &amp; TEXT($A$1,"00"))</f>
        <v>0</v>
      </c>
      <c r="AL12" s="297">
        <f>SUMIFS($G:$G,$I:$I,$P12,$F:$F, TEXT(AL$5,"00") &amp; "." &amp; TEXT($A$1,"00"))</f>
        <v>0</v>
      </c>
      <c r="AM12" s="297">
        <f>SUMIFS($G:$G,$I:$I,$P12,$F:$F, TEXT(AM$5,"00") &amp; "." &amp; TEXT($A$1,"00"))</f>
        <v>0</v>
      </c>
      <c r="AN12" s="297">
        <f>SUMIFS($G:$G,$I:$I,$P12,$F:$F, TEXT(AN$5,"00") &amp; "." &amp; TEXT($A$1,"00"))</f>
        <v>0</v>
      </c>
      <c r="AO12" s="297">
        <f>SUMIFS($G:$G,$I:$I,$P12,$F:$F, TEXT(AO$5,"00") &amp; "." &amp; TEXT($A$1,"00"))</f>
        <v>0</v>
      </c>
      <c r="AP12" s="297">
        <f>SUMIFS($G:$G,$I:$I,$P12,$F:$F, TEXT(AP$5,"00") &amp; "." &amp; TEXT($A$1,"00"))</f>
        <v>0</v>
      </c>
      <c r="AQ12" s="297">
        <f>SUMIFS($G:$G,$I:$I,$P12,$F:$F, TEXT(AQ$5,"00") &amp; "." &amp; TEXT($A$1,"00"))</f>
        <v>0</v>
      </c>
      <c r="AR12" s="297">
        <f>SUMIFS($G:$G,$I:$I,$P12,$F:$F, TEXT(AR$5,"00") &amp; "." &amp; TEXT($A$1,"00"))</f>
        <v>0</v>
      </c>
      <c r="AS12" s="297">
        <f>SUMIFS($G:$G,$I:$I,$P12,$F:$F, TEXT(AS$5,"00") &amp; "." &amp; TEXT($A$1,"00"))</f>
        <v>0</v>
      </c>
      <c r="AT12" s="297">
        <f>SUMIFS($G:$G,$I:$I,$P12,$F:$F, TEXT(AT$5,"00") &amp; "." &amp; TEXT($A$1,"00"))</f>
        <v>0</v>
      </c>
      <c r="AU12" s="297">
        <f>SUMIFS($G:$G,$I:$I,$P12,$F:$F, TEXT(AU$5,"00") &amp; "." &amp; TEXT($A$1,"00"))</f>
        <v>0</v>
      </c>
      <c r="AV12" s="297">
        <f>SUMIFS($G:$G,$I:$I,$P12,$F:$F, TEXT(AV$5,"00") &amp; "." &amp; TEXT($A$1,"00"))</f>
        <v>0</v>
      </c>
      <c r="AW12" s="294">
        <f t="shared" ca="1" si="0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>SUMIFS($G:$G,$I:$I,$P13,$F:$F,"")</f>
        <v>50745.770000000004</v>
      </c>
      <c r="R13" s="297">
        <f>SUMIFS($G:$G,$I:$I,$P13,$F:$F, TEXT(R$5,"00") &amp; "." &amp; TEXT($A$1,"00"))</f>
        <v>0</v>
      </c>
      <c r="S13" s="297">
        <f>SUMIFS($G:$G,$I:$I,$P13,$F:$F, TEXT(S$5,"00") &amp; "." &amp; TEXT($A$1,"00"))</f>
        <v>0</v>
      </c>
      <c r="T13" s="297">
        <f>SUMIFS($G:$G,$I:$I,$P13,$F:$F, TEXT(T$5,"00") &amp; "." &amp; TEXT($A$1,"00"))</f>
        <v>0</v>
      </c>
      <c r="U13" s="297">
        <f>SUMIFS($G:$G,$I:$I,$P13,$F:$F, TEXT(U$5,"00") &amp; "." &amp; TEXT($A$1,"00"))</f>
        <v>0</v>
      </c>
      <c r="V13" s="297">
        <f>SUMIFS($G:$G,$I:$I,$P13,$F:$F, TEXT(V$5,"00") &amp; "." &amp; TEXT($A$1,"00"))</f>
        <v>0</v>
      </c>
      <c r="W13" s="297">
        <f>SUMIFS($G:$G,$I:$I,$P13,$F:$F, TEXT(W$5,"00") &amp; "." &amp; TEXT($A$1,"00"))</f>
        <v>0</v>
      </c>
      <c r="X13" s="297">
        <f>SUMIFS($G:$G,$I:$I,$P13,$F:$F, TEXT(X$5,"00") &amp; "." &amp; TEXT($A$1,"00"))</f>
        <v>0</v>
      </c>
      <c r="Y13" s="297">
        <f>SUMIFS($G:$G,$I:$I,$P13,$F:$F, TEXT(Y$5,"00") &amp; "." &amp; TEXT($A$1,"00"))</f>
        <v>0</v>
      </c>
      <c r="Z13" s="297">
        <f>SUMIFS($G:$G,$I:$I,$P13,$F:$F, TEXT(Z$5,"00") &amp; "." &amp; TEXT($A$1,"00"))</f>
        <v>0</v>
      </c>
      <c r="AA13" s="297">
        <f>SUMIFS($G:$G,$I:$I,$P13,$F:$F, TEXT(AA$5,"00") &amp; "." &amp; TEXT($A$1,"00"))</f>
        <v>0</v>
      </c>
      <c r="AB13" s="297">
        <f>SUMIFS($G:$G,$I:$I,$P13,$F:$F, TEXT(AB$5,"00") &amp; "." &amp; TEXT($A$1,"00"))</f>
        <v>0</v>
      </c>
      <c r="AC13" s="297">
        <f>SUMIFS($G:$G,$I:$I,$P13,$F:$F, TEXT(AC$5,"00") &amp; "." &amp; TEXT($A$1,"00"))</f>
        <v>0</v>
      </c>
      <c r="AD13" s="297">
        <f>SUMIFS($G:$G,$I:$I,$P13,$F:$F, TEXT(AD$5,"00") &amp; "." &amp; TEXT($A$1,"00"))</f>
        <v>0</v>
      </c>
      <c r="AE13" s="297">
        <f>SUMIFS($G:$G,$I:$I,$P13,$F:$F, TEXT(AE$5,"00") &amp; "." &amp; TEXT($A$1,"00"))</f>
        <v>0</v>
      </c>
      <c r="AF13" s="297">
        <f>SUMIFS($G:$G,$I:$I,$P13,$F:$F, TEXT(AF$5,"00") &amp; "." &amp; TEXT($A$1,"00"))</f>
        <v>0</v>
      </c>
      <c r="AG13" s="297">
        <f>SUMIFS($G:$G,$I:$I,$P13,$F:$F, TEXT(AG$5,"00") &amp; "." &amp; TEXT($A$1,"00"))</f>
        <v>0</v>
      </c>
      <c r="AH13" s="297">
        <f>SUMIFS($G:$G,$I:$I,$P13,$F:$F, TEXT(AH$5,"00") &amp; "." &amp; TEXT($A$1,"00"))</f>
        <v>0</v>
      </c>
      <c r="AI13" s="297">
        <f>SUMIFS($G:$G,$I:$I,$P13,$F:$F, TEXT(AI$5,"00") &amp; "." &amp; TEXT($A$1,"00"))</f>
        <v>0</v>
      </c>
      <c r="AJ13" s="297">
        <f>SUMIFS($G:$G,$I:$I,$P13,$F:$F, TEXT(AJ$5,"00") &amp; "." &amp; TEXT($A$1,"00"))</f>
        <v>0</v>
      </c>
      <c r="AK13" s="297">
        <f>SUMIFS($G:$G,$I:$I,$P13,$F:$F, TEXT(AK$5,"00") &amp; "." &amp; TEXT($A$1,"00"))</f>
        <v>0</v>
      </c>
      <c r="AL13" s="297">
        <f>SUMIFS($G:$G,$I:$I,$P13,$F:$F, TEXT(AL$5,"00") &amp; "." &amp; TEXT($A$1,"00"))</f>
        <v>0</v>
      </c>
      <c r="AM13" s="297">
        <f>SUMIFS($G:$G,$I:$I,$P13,$F:$F, TEXT(AM$5,"00") &amp; "." &amp; TEXT($A$1,"00"))</f>
        <v>0</v>
      </c>
      <c r="AN13" s="297">
        <f>SUMIFS($G:$G,$I:$I,$P13,$F:$F, TEXT(AN$5,"00") &amp; "." &amp; TEXT($A$1,"00"))</f>
        <v>0</v>
      </c>
      <c r="AO13" s="297">
        <f>SUMIFS($G:$G,$I:$I,$P13,$F:$F, TEXT(AO$5,"00") &amp; "." &amp; TEXT($A$1,"00"))</f>
        <v>0</v>
      </c>
      <c r="AP13" s="297">
        <f>SUMIFS($G:$G,$I:$I,$P13,$F:$F, TEXT(AP$5,"00") &amp; "." &amp; TEXT($A$1,"00"))</f>
        <v>0</v>
      </c>
      <c r="AQ13" s="297">
        <f>SUMIFS($G:$G,$I:$I,$P13,$F:$F, TEXT(AQ$5,"00") &amp; "." &amp; TEXT($A$1,"00"))</f>
        <v>0</v>
      </c>
      <c r="AR13" s="297">
        <f>SUMIFS($G:$G,$I:$I,$P13,$F:$F, TEXT(AR$5,"00") &amp; "." &amp; TEXT($A$1,"00"))</f>
        <v>0</v>
      </c>
      <c r="AS13" s="297">
        <f>SUMIFS($G:$G,$I:$I,$P13,$F:$F, TEXT(AS$5,"00") &amp; "." &amp; TEXT($A$1,"00"))</f>
        <v>0</v>
      </c>
      <c r="AT13" s="297">
        <f>SUMIFS($G:$G,$I:$I,$P13,$F:$F, TEXT(AT$5,"00") &amp; "." &amp; TEXT($A$1,"00"))</f>
        <v>0</v>
      </c>
      <c r="AU13" s="297">
        <f>SUMIFS($G:$G,$I:$I,$P13,$F:$F, TEXT(AU$5,"00") &amp; "." &amp; TEXT($A$1,"00"))</f>
        <v>0</v>
      </c>
      <c r="AV13" s="297">
        <f>SUMIFS($G:$G,$I:$I,$P13,$F:$F, TEXT(AV$5,"00") &amp; "." &amp; TEXT($A$1,"00"))</f>
        <v>0</v>
      </c>
      <c r="AW13" s="294">
        <f t="shared" si="0"/>
        <v>50745.770000000004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42850.35</v>
      </c>
      <c r="D18" s="259">
        <f ca="1">SUM(D2:D17)</f>
        <v>32941.490000000005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423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1">_xlfn._xlws.FILTER(Dropdown!$B:$B,Dropdown!$C:$C = $P$18)</f>
        <v>גנים</v>
      </c>
      <c r="Q19" s="297">
        <f>SUMIFS($G:$G,$H:$H,$P19,$F:$F,"")</f>
        <v>0</v>
      </c>
      <c r="R19" s="297">
        <f>SUMIFS($G:$G,$H:$H,$P19,$F:$F,TEXT(R$5,"00") &amp; "." &amp; TEXT($A$1,"00"))</f>
        <v>0</v>
      </c>
      <c r="S19" s="297">
        <f>SUMIFS($G:$G,$H:$H,$P19,$F:$F,TEXT(S$5,"00") &amp; "." &amp; TEXT($A$1,"00"))</f>
        <v>0</v>
      </c>
      <c r="T19" s="297">
        <f>SUMIFS($G:$G,$H:$H,$P19,$F:$F,TEXT(T$5,"00") &amp; "." &amp; TEXT($A$1,"00"))</f>
        <v>0</v>
      </c>
      <c r="U19" s="297">
        <f>SUMIFS($G:$G,$H:$H,$P19,$F:$F,TEXT(U$5,"00") &amp; "." &amp; TEXT($A$1,"00"))</f>
        <v>0</v>
      </c>
      <c r="V19" s="297">
        <f>SUMIFS($G:$G,$H:$H,$P19,$F:$F,TEXT(V$5,"00") &amp; "." &amp; TEXT($A$1,"00"))</f>
        <v>0</v>
      </c>
      <c r="W19" s="297">
        <f>SUMIFS($G:$G,$H:$H,$P19,$F:$F,TEXT(W$5,"00") &amp; "." &amp; TEXT($A$1,"00"))</f>
        <v>0</v>
      </c>
      <c r="X19" s="297">
        <f>SUMIFS($G:$G,$H:$H,$P19,$F:$F,TEXT(X$5,"00") &amp; "." &amp; TEXT($A$1,"00"))</f>
        <v>0</v>
      </c>
      <c r="Y19" s="297">
        <f>SUMIFS($G:$G,$H:$H,$P19,$F:$F,TEXT(Y$5,"00") &amp; "." &amp; TEXT($A$1,"00"))</f>
        <v>0</v>
      </c>
      <c r="Z19" s="297">
        <f>SUMIFS($G:$G,$H:$H,$P19,$F:$F,TEXT(Z$5,"00") &amp; "." &amp; TEXT($A$1,"00"))</f>
        <v>0</v>
      </c>
      <c r="AA19" s="297">
        <f>SUMIFS($G:$G,$H:$H,$P19,$F:$F,TEXT(AA$5,"00") &amp; "." &amp; TEXT($A$1,"00"))</f>
        <v>0</v>
      </c>
      <c r="AB19" s="297">
        <f>SUMIFS($G:$G,$H:$H,$P19,$F:$F,TEXT(AB$5,"00") &amp; "." &amp; TEXT($A$1,"00"))</f>
        <v>0</v>
      </c>
      <c r="AC19" s="297">
        <f>SUMIFS($G:$G,$H:$H,$P19,$F:$F,TEXT(AC$5,"00") &amp; "." &amp; TEXT($A$1,"00"))</f>
        <v>0</v>
      </c>
      <c r="AD19" s="297">
        <f>SUMIFS($G:$G,$H:$H,$P19,$F:$F,TEXT(AD$5,"00") &amp; "." &amp; TEXT($A$1,"00"))</f>
        <v>0</v>
      </c>
      <c r="AE19" s="297">
        <f>SUMIFS($G:$G,$H:$H,$P19,$F:$F,TEXT(AE$5,"00") &amp; "." &amp; TEXT($A$1,"00"))</f>
        <v>0</v>
      </c>
      <c r="AF19" s="297">
        <f>SUMIFS($G:$G,$H:$H,$P19,$F:$F,TEXT(AF$5,"00") &amp; "." &amp; TEXT($A$1,"00"))</f>
        <v>0</v>
      </c>
      <c r="AG19" s="297">
        <f>SUMIFS($G:$G,$H:$H,$P19,$F:$F,TEXT(AG$5,"00") &amp; "." &amp; TEXT($A$1,"00"))</f>
        <v>0</v>
      </c>
      <c r="AH19" s="297">
        <f>SUMIFS($G:$G,$H:$H,$P19,$F:$F,TEXT(AH$5,"00") &amp; "." &amp; TEXT($A$1,"00"))</f>
        <v>0</v>
      </c>
      <c r="AI19" s="297">
        <f>SUMIFS($G:$G,$H:$H,$P19,$F:$F,TEXT(AI$5,"00") &amp; "." &amp; TEXT($A$1,"00"))</f>
        <v>0</v>
      </c>
      <c r="AJ19" s="297">
        <f>SUMIFS($G:$G,$H:$H,$P19,$F:$F,TEXT(AJ$5,"00") &amp; "." &amp; TEXT($A$1,"00"))</f>
        <v>0</v>
      </c>
      <c r="AK19" s="297">
        <f>SUMIFS($G:$G,$H:$H,$P19,$F:$F,TEXT(AK$5,"00") &amp; "." &amp; TEXT($A$1,"00"))</f>
        <v>0</v>
      </c>
      <c r="AL19" s="297">
        <f>SUMIFS($G:$G,$H:$H,$P19,$F:$F,TEXT(AL$5,"00") &amp; "." &amp; TEXT($A$1,"00"))</f>
        <v>0</v>
      </c>
      <c r="AM19" s="297">
        <f>SUMIFS($G:$G,$H:$H,$P19,$F:$F,TEXT(AM$5,"00") &amp; "." &amp; TEXT($A$1,"00"))</f>
        <v>0</v>
      </c>
      <c r="AN19" s="297">
        <f>SUMIFS($G:$G,$H:$H,$P19,$F:$F,TEXT(AN$5,"00") &amp; "." &amp; TEXT($A$1,"00"))</f>
        <v>0</v>
      </c>
      <c r="AO19" s="297">
        <f>SUMIFS($G:$G,$H:$H,$P19,$F:$F,TEXT(AO$5,"00") &amp; "." &amp; TEXT($A$1,"00"))</f>
        <v>0</v>
      </c>
      <c r="AP19" s="297">
        <f>SUMIFS($G:$G,$H:$H,$P19,$F:$F,TEXT(AP$5,"00") &amp; "." &amp; TEXT($A$1,"00"))</f>
        <v>0</v>
      </c>
      <c r="AQ19" s="297">
        <f>SUMIFS($G:$G,$H:$H,$P19,$F:$F,TEXT(AQ$5,"00") &amp; "." &amp; TEXT($A$1,"00"))</f>
        <v>0</v>
      </c>
      <c r="AR19" s="297">
        <f>SUMIFS($G:$G,$H:$H,$P19,$F:$F,TEXT(AR$5,"00") &amp; "." &amp; TEXT($A$1,"00"))</f>
        <v>0</v>
      </c>
      <c r="AS19" s="297">
        <f>SUMIFS($G:$G,$H:$H,$P19,$F:$F,TEXT(AS$5,"00") &amp; "." &amp; TEXT($A$1,"00"))</f>
        <v>0</v>
      </c>
      <c r="AT19" s="297">
        <f>SUMIFS($G:$G,$H:$H,$P19,$F:$F,TEXT(AT$5,"00") &amp; "." &amp; TEXT($A$1,"00"))</f>
        <v>0</v>
      </c>
      <c r="AU19" s="297">
        <f>SUMIFS($G:$G,$H:$H,$P19,$F:$F,TEXT(AU$5,"00") &amp; "." &amp; TEXT($A$1,"00"))</f>
        <v>0</v>
      </c>
      <c r="AV19" s="297">
        <f>SUMIFS($G:$G,$H:$H,$P19,$F:$F,TEXT(AV$5,"00") &amp; "." &amp; TEXT($A$1,"00"))</f>
        <v>0</v>
      </c>
      <c r="AW19" s="294">
        <f t="shared" ref="AW19:AW37" si="1">SUM(Q19:AV19)</f>
        <v>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בתי ספר</v>
      </c>
      <c r="Q20" s="297">
        <f>SUMIFS($G:$G,$H:$H,$P20,$F:$F,"")</f>
        <v>0</v>
      </c>
      <c r="R20" s="297">
        <f>SUMIFS($G:$G,$H:$H,$P20,$F:$F,TEXT(R$5,"00") &amp; "." &amp; TEXT($A$1,"00"))</f>
        <v>0</v>
      </c>
      <c r="S20" s="297">
        <f>SUMIFS($G:$G,$H:$H,$P20,$F:$F,TEXT(S$5,"00") &amp; "." &amp; TEXT($A$1,"00"))</f>
        <v>0</v>
      </c>
      <c r="T20" s="297">
        <f>SUMIFS($G:$G,$H:$H,$P20,$F:$F,TEXT(T$5,"00") &amp; "." &amp; TEXT($A$1,"00"))</f>
        <v>0</v>
      </c>
      <c r="U20" s="297">
        <f>SUMIFS($G:$G,$H:$H,$P20,$F:$F,TEXT(U$5,"00") &amp; "." &amp; TEXT($A$1,"00"))</f>
        <v>0</v>
      </c>
      <c r="V20" s="297">
        <f>SUMIFS($G:$G,$H:$H,$P20,$F:$F,TEXT(V$5,"00") &amp; "." &amp; TEXT($A$1,"00"))</f>
        <v>0</v>
      </c>
      <c r="W20" s="297">
        <f>SUMIFS($G:$G,$H:$H,$P20,$F:$F,TEXT(W$5,"00") &amp; "." &amp; TEXT($A$1,"00"))</f>
        <v>0</v>
      </c>
      <c r="X20" s="297">
        <f>SUMIFS($G:$G,$H:$H,$P20,$F:$F,TEXT(X$5,"00") &amp; "." &amp; TEXT($A$1,"00"))</f>
        <v>0</v>
      </c>
      <c r="Y20" s="297">
        <f>SUMIFS($G:$G,$H:$H,$P20,$F:$F,TEXT(Y$5,"00") &amp; "." &amp; TEXT($A$1,"00"))</f>
        <v>0</v>
      </c>
      <c r="Z20" s="297">
        <f>SUMIFS($G:$G,$H:$H,$P20,$F:$F,TEXT(Z$5,"00") &amp; "." &amp; TEXT($A$1,"00"))</f>
        <v>0</v>
      </c>
      <c r="AA20" s="297">
        <f>SUMIFS($G:$G,$H:$H,$P20,$F:$F,TEXT(AA$5,"00") &amp; "." &amp; TEXT($A$1,"00"))</f>
        <v>0</v>
      </c>
      <c r="AB20" s="297">
        <f>SUMIFS($G:$G,$H:$H,$P20,$F:$F,TEXT(AB$5,"00") &amp; "." &amp; TEXT($A$1,"00"))</f>
        <v>0</v>
      </c>
      <c r="AC20" s="297">
        <f>SUMIFS($G:$G,$H:$H,$P20,$F:$F,TEXT(AC$5,"00") &amp; "." &amp; TEXT($A$1,"00"))</f>
        <v>0</v>
      </c>
      <c r="AD20" s="297">
        <f>SUMIFS($G:$G,$H:$H,$P20,$F:$F,TEXT(AD$5,"00") &amp; "." &amp; TEXT($A$1,"00"))</f>
        <v>0</v>
      </c>
      <c r="AE20" s="297">
        <f>SUMIFS($G:$G,$H:$H,$P20,$F:$F,TEXT(AE$5,"00") &amp; "." &amp; TEXT($A$1,"00"))</f>
        <v>0</v>
      </c>
      <c r="AF20" s="297">
        <f>SUMIFS($G:$G,$H:$H,$P20,$F:$F,TEXT(AF$5,"00") &amp; "." &amp; TEXT($A$1,"00"))</f>
        <v>0</v>
      </c>
      <c r="AG20" s="297">
        <f>SUMIFS($G:$G,$H:$H,$P20,$F:$F,TEXT(AG$5,"00") &amp; "." &amp; TEXT($A$1,"00"))</f>
        <v>0</v>
      </c>
      <c r="AH20" s="297">
        <f>SUMIFS($G:$G,$H:$H,$P20,$F:$F,TEXT(AH$5,"00") &amp; "." &amp; TEXT($A$1,"00"))</f>
        <v>0</v>
      </c>
      <c r="AI20" s="297">
        <f>SUMIFS($G:$G,$H:$H,$P20,$F:$F,TEXT(AI$5,"00") &amp; "." &amp; TEXT($A$1,"00"))</f>
        <v>0</v>
      </c>
      <c r="AJ20" s="297">
        <f>SUMIFS($G:$G,$H:$H,$P20,$F:$F,TEXT(AJ$5,"00") &amp; "." &amp; TEXT($A$1,"00"))</f>
        <v>0</v>
      </c>
      <c r="AK20" s="297">
        <f>SUMIFS($G:$G,$H:$H,$P20,$F:$F,TEXT(AK$5,"00") &amp; "." &amp; TEXT($A$1,"00"))</f>
        <v>0</v>
      </c>
      <c r="AL20" s="297">
        <f>SUMIFS($G:$G,$H:$H,$P20,$F:$F,TEXT(AL$5,"00") &amp; "." &amp; TEXT($A$1,"00"))</f>
        <v>0</v>
      </c>
      <c r="AM20" s="297">
        <f>SUMIFS($G:$G,$H:$H,$P20,$F:$F,TEXT(AM$5,"00") &amp; "." &amp; TEXT($A$1,"00"))</f>
        <v>0</v>
      </c>
      <c r="AN20" s="297">
        <f>SUMIFS($G:$G,$H:$H,$P20,$F:$F,TEXT(AN$5,"00") &amp; "." &amp; TEXT($A$1,"00"))</f>
        <v>0</v>
      </c>
      <c r="AO20" s="297">
        <f>SUMIFS($G:$G,$H:$H,$P20,$F:$F,TEXT(AO$5,"00") &amp; "." &amp; TEXT($A$1,"00"))</f>
        <v>0</v>
      </c>
      <c r="AP20" s="297">
        <f>SUMIFS($G:$G,$H:$H,$P20,$F:$F,TEXT(AP$5,"00") &amp; "." &amp; TEXT($A$1,"00"))</f>
        <v>0</v>
      </c>
      <c r="AQ20" s="297">
        <f>SUMIFS($G:$G,$H:$H,$P20,$F:$F,TEXT(AQ$5,"00") &amp; "." &amp; TEXT($A$1,"00"))</f>
        <v>0</v>
      </c>
      <c r="AR20" s="297">
        <f>SUMIFS($G:$G,$H:$H,$P20,$F:$F,TEXT(AR$5,"00") &amp; "." &amp; TEXT($A$1,"00"))</f>
        <v>0</v>
      </c>
      <c r="AS20" s="297">
        <f>SUMIFS($G:$G,$H:$H,$P20,$F:$F,TEXT(AS$5,"00") &amp; "." &amp; TEXT($A$1,"00"))</f>
        <v>0</v>
      </c>
      <c r="AT20" s="297">
        <f>SUMIFS($G:$G,$H:$H,$P20,$F:$F,TEXT(AT$5,"00") &amp; "." &amp; TEXT($A$1,"00"))</f>
        <v>0</v>
      </c>
      <c r="AU20" s="297">
        <f>SUMIFS($G:$G,$H:$H,$P20,$F:$F,TEXT(AU$5,"00") &amp; "." &amp; TEXT($A$1,"00"))</f>
        <v>0</v>
      </c>
      <c r="AV20" s="297">
        <f>SUMIFS($G:$G,$H:$H,$P20,$F:$F,TEXT(AV$5,"00") &amp; "." &amp; TEXT($A$1,"00"))</f>
        <v>0</v>
      </c>
      <c r="AW20" s="294">
        <f t="shared" si="1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אוניברסיטה</v>
      </c>
      <c r="Q21" s="297">
        <f>SUMIFS($G:$G,$H:$H,$P21,$F:$F,"")</f>
        <v>0</v>
      </c>
      <c r="R21" s="297">
        <f>SUMIFS($G:$G,$H:$H,$P21,$F:$F,TEXT(R$5,"00") &amp; "." &amp; TEXT($A$1,"00"))</f>
        <v>0</v>
      </c>
      <c r="S21" s="297">
        <f>SUMIFS($G:$G,$H:$H,$P21,$F:$F,TEXT(S$5,"00") &amp; "." &amp; TEXT($A$1,"00"))</f>
        <v>0</v>
      </c>
      <c r="T21" s="297">
        <f>SUMIFS($G:$G,$H:$H,$P21,$F:$F,TEXT(T$5,"00") &amp; "." &amp; TEXT($A$1,"00"))</f>
        <v>0</v>
      </c>
      <c r="U21" s="297">
        <f>SUMIFS($G:$G,$H:$H,$P21,$F:$F,TEXT(U$5,"00") &amp; "." &amp; TEXT($A$1,"00"))</f>
        <v>0</v>
      </c>
      <c r="V21" s="297">
        <f>SUMIFS($G:$G,$H:$H,$P21,$F:$F,TEXT(V$5,"00") &amp; "." &amp; TEXT($A$1,"00"))</f>
        <v>0</v>
      </c>
      <c r="W21" s="297">
        <f>SUMIFS($G:$G,$H:$H,$P21,$F:$F,TEXT(W$5,"00") &amp; "." &amp; TEXT($A$1,"00"))</f>
        <v>0</v>
      </c>
      <c r="X21" s="297">
        <f>SUMIFS($G:$G,$H:$H,$P21,$F:$F,TEXT(X$5,"00") &amp; "." &amp; TEXT($A$1,"00"))</f>
        <v>0</v>
      </c>
      <c r="Y21" s="297">
        <f>SUMIFS($G:$G,$H:$H,$P21,$F:$F,TEXT(Y$5,"00") &amp; "." &amp; TEXT($A$1,"00"))</f>
        <v>0</v>
      </c>
      <c r="Z21" s="297">
        <f>SUMIFS($G:$G,$H:$H,$P21,$F:$F,TEXT(Z$5,"00") &amp; "." &amp; TEXT($A$1,"00"))</f>
        <v>0</v>
      </c>
      <c r="AA21" s="297">
        <f>SUMIFS($G:$G,$H:$H,$P21,$F:$F,TEXT(AA$5,"00") &amp; "." &amp; TEXT($A$1,"00"))</f>
        <v>0</v>
      </c>
      <c r="AB21" s="297">
        <f>SUMIFS($G:$G,$H:$H,$P21,$F:$F,TEXT(AB$5,"00") &amp; "." &amp; TEXT($A$1,"00"))</f>
        <v>0</v>
      </c>
      <c r="AC21" s="297">
        <f>SUMIFS($G:$G,$H:$H,$P21,$F:$F,TEXT(AC$5,"00") &amp; "." &amp; TEXT($A$1,"00"))</f>
        <v>0</v>
      </c>
      <c r="AD21" s="297">
        <f>SUMIFS($G:$G,$H:$H,$P21,$F:$F,TEXT(AD$5,"00") &amp; "." &amp; TEXT($A$1,"00"))</f>
        <v>0</v>
      </c>
      <c r="AE21" s="297">
        <f>SUMIFS($G:$G,$H:$H,$P21,$F:$F,TEXT(AE$5,"00") &amp; "." &amp; TEXT($A$1,"00"))</f>
        <v>0</v>
      </c>
      <c r="AF21" s="297">
        <f>SUMIFS($G:$G,$H:$H,$P21,$F:$F,TEXT(AF$5,"00") &amp; "." &amp; TEXT($A$1,"00"))</f>
        <v>0</v>
      </c>
      <c r="AG21" s="297">
        <f>SUMIFS($G:$G,$H:$H,$P21,$F:$F,TEXT(AG$5,"00") &amp; "." &amp; TEXT($A$1,"00"))</f>
        <v>0</v>
      </c>
      <c r="AH21" s="297">
        <f>SUMIFS($G:$G,$H:$H,$P21,$F:$F,TEXT(AH$5,"00") &amp; "." &amp; TEXT($A$1,"00"))</f>
        <v>0</v>
      </c>
      <c r="AI21" s="297">
        <f>SUMIFS($G:$G,$H:$H,$P21,$F:$F,TEXT(AI$5,"00") &amp; "." &amp; TEXT($A$1,"00"))</f>
        <v>0</v>
      </c>
      <c r="AJ21" s="297">
        <f>SUMIFS($G:$G,$H:$H,$P21,$F:$F,TEXT(AJ$5,"00") &amp; "." &amp; TEXT($A$1,"00"))</f>
        <v>0</v>
      </c>
      <c r="AK21" s="297">
        <f>SUMIFS($G:$G,$H:$H,$P21,$F:$F,TEXT(AK$5,"00") &amp; "." &amp; TEXT($A$1,"00"))</f>
        <v>0</v>
      </c>
      <c r="AL21" s="297">
        <f>SUMIFS($G:$G,$H:$H,$P21,$F:$F,TEXT(AL$5,"00") &amp; "." &amp; TEXT($A$1,"00"))</f>
        <v>0</v>
      </c>
      <c r="AM21" s="297">
        <f>SUMIFS($G:$G,$H:$H,$P21,$F:$F,TEXT(AM$5,"00") &amp; "." &amp; TEXT($A$1,"00"))</f>
        <v>0</v>
      </c>
      <c r="AN21" s="297">
        <f>SUMIFS($G:$G,$H:$H,$P21,$F:$F,TEXT(AN$5,"00") &amp; "." &amp; TEXT($A$1,"00"))</f>
        <v>0</v>
      </c>
      <c r="AO21" s="297">
        <f>SUMIFS($G:$G,$H:$H,$P21,$F:$F,TEXT(AO$5,"00") &amp; "." &amp; TEXT($A$1,"00"))</f>
        <v>0</v>
      </c>
      <c r="AP21" s="297">
        <f>SUMIFS($G:$G,$H:$H,$P21,$F:$F,TEXT(AP$5,"00") &amp; "." &amp; TEXT($A$1,"00"))</f>
        <v>0</v>
      </c>
      <c r="AQ21" s="297">
        <f>SUMIFS($G:$G,$H:$H,$P21,$F:$F,TEXT(AQ$5,"00") &amp; "." &amp; TEXT($A$1,"00"))</f>
        <v>0</v>
      </c>
      <c r="AR21" s="297">
        <f>SUMIFS($G:$G,$H:$H,$P21,$F:$F,TEXT(AR$5,"00") &amp; "." &amp; TEXT($A$1,"00"))</f>
        <v>0</v>
      </c>
      <c r="AS21" s="297">
        <f>SUMIFS($G:$G,$H:$H,$P21,$F:$F,TEXT(AS$5,"00") &amp; "." &amp; TEXT($A$1,"00"))</f>
        <v>0</v>
      </c>
      <c r="AT21" s="297">
        <f>SUMIFS($G:$G,$H:$H,$P21,$F:$F,TEXT(AT$5,"00") &amp; "." &amp; TEXT($A$1,"00"))</f>
        <v>0</v>
      </c>
      <c r="AU21" s="297">
        <f>SUMIFS($G:$G,$H:$H,$P21,$F:$F,TEXT(AU$5,"00") &amp; "." &amp; TEXT($A$1,"00"))</f>
        <v>0</v>
      </c>
      <c r="AV21" s="297">
        <f>SUMIFS($G:$G,$H:$H,$P21,$F:$F,TEXT(AV$5,"00") &amp; "." &amp; TEXT($A$1,"00"))</f>
        <v>0</v>
      </c>
      <c r="AW21" s="294">
        <f t="shared" si="1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ספרים ועזרי לימוד</v>
      </c>
      <c r="Q22" s="297">
        <f>SUMIFS($G:$G,$H:$H,$P22,$F:$F,"")</f>
        <v>0</v>
      </c>
      <c r="R22" s="297">
        <f>SUMIFS($G:$G,$H:$H,$P22,$F:$F,TEXT(R$5,"00") &amp; "." &amp; TEXT($A$1,"00"))</f>
        <v>0</v>
      </c>
      <c r="S22" s="297">
        <f>SUMIFS($G:$G,$H:$H,$P22,$F:$F,TEXT(S$5,"00") &amp; "." &amp; TEXT($A$1,"00"))</f>
        <v>0</v>
      </c>
      <c r="T22" s="297">
        <f>SUMIFS($G:$G,$H:$H,$P22,$F:$F,TEXT(T$5,"00") &amp; "." &amp; TEXT($A$1,"00"))</f>
        <v>0</v>
      </c>
      <c r="U22" s="297">
        <f>SUMIFS($G:$G,$H:$H,$P22,$F:$F,TEXT(U$5,"00") &amp; "." &amp; TEXT($A$1,"00"))</f>
        <v>0</v>
      </c>
      <c r="V22" s="297">
        <f>SUMIFS($G:$G,$H:$H,$P22,$F:$F,TEXT(V$5,"00") &amp; "." &amp; TEXT($A$1,"00"))</f>
        <v>0</v>
      </c>
      <c r="W22" s="297">
        <f>SUMIFS($G:$G,$H:$H,$P22,$F:$F,TEXT(W$5,"00") &amp; "." &amp; TEXT($A$1,"00"))</f>
        <v>0</v>
      </c>
      <c r="X22" s="297">
        <f>SUMIFS($G:$G,$H:$H,$P22,$F:$F,TEXT(X$5,"00") &amp; "." &amp; TEXT($A$1,"00"))</f>
        <v>0</v>
      </c>
      <c r="Y22" s="297">
        <f>SUMIFS($G:$G,$H:$H,$P22,$F:$F,TEXT(Y$5,"00") &amp; "." &amp; TEXT($A$1,"00"))</f>
        <v>0</v>
      </c>
      <c r="Z22" s="297">
        <f>SUMIFS($G:$G,$H:$H,$P22,$F:$F,TEXT(Z$5,"00") &amp; "." &amp; TEXT($A$1,"00"))</f>
        <v>0</v>
      </c>
      <c r="AA22" s="297">
        <f>SUMIFS($G:$G,$H:$H,$P22,$F:$F,TEXT(AA$5,"00") &amp; "." &amp; TEXT($A$1,"00"))</f>
        <v>0</v>
      </c>
      <c r="AB22" s="297">
        <f>SUMIFS($G:$G,$H:$H,$P22,$F:$F,TEXT(AB$5,"00") &amp; "." &amp; TEXT($A$1,"00"))</f>
        <v>0</v>
      </c>
      <c r="AC22" s="297">
        <f>SUMIFS($G:$G,$H:$H,$P22,$F:$F,TEXT(AC$5,"00") &amp; "." &amp; TEXT($A$1,"00"))</f>
        <v>0</v>
      </c>
      <c r="AD22" s="297">
        <f>SUMIFS($G:$G,$H:$H,$P22,$F:$F,TEXT(AD$5,"00") &amp; "." &amp; TEXT($A$1,"00"))</f>
        <v>0</v>
      </c>
      <c r="AE22" s="297">
        <f>SUMIFS($G:$G,$H:$H,$P22,$F:$F,TEXT(AE$5,"00") &amp; "." &amp; TEXT($A$1,"00"))</f>
        <v>0</v>
      </c>
      <c r="AF22" s="297">
        <f>SUMIFS($G:$G,$H:$H,$P22,$F:$F,TEXT(AF$5,"00") &amp; "." &amp; TEXT($A$1,"00"))</f>
        <v>0</v>
      </c>
      <c r="AG22" s="297">
        <f>SUMIFS($G:$G,$H:$H,$P22,$F:$F,TEXT(AG$5,"00") &amp; "." &amp; TEXT($A$1,"00"))</f>
        <v>0</v>
      </c>
      <c r="AH22" s="297">
        <f>SUMIFS($G:$G,$H:$H,$P22,$F:$F,TEXT(AH$5,"00") &amp; "." &amp; TEXT($A$1,"00"))</f>
        <v>0</v>
      </c>
      <c r="AI22" s="297">
        <f>SUMIFS($G:$G,$H:$H,$P22,$F:$F,TEXT(AI$5,"00") &amp; "." &amp; TEXT($A$1,"00"))</f>
        <v>0</v>
      </c>
      <c r="AJ22" s="297">
        <f>SUMIFS($G:$G,$H:$H,$P22,$F:$F,TEXT(AJ$5,"00") &amp; "." &amp; TEXT($A$1,"00"))</f>
        <v>0</v>
      </c>
      <c r="AK22" s="297">
        <f>SUMIFS($G:$G,$H:$H,$P22,$F:$F,TEXT(AK$5,"00") &amp; "." &amp; TEXT($A$1,"00"))</f>
        <v>0</v>
      </c>
      <c r="AL22" s="297">
        <f>SUMIFS($G:$G,$H:$H,$P22,$F:$F,TEXT(AL$5,"00") &amp; "." &amp; TEXT($A$1,"00"))</f>
        <v>0</v>
      </c>
      <c r="AM22" s="297">
        <f>SUMIFS($G:$G,$H:$H,$P22,$F:$F,TEXT(AM$5,"00") &amp; "." &amp; TEXT($A$1,"00"))</f>
        <v>0</v>
      </c>
      <c r="AN22" s="297">
        <f>SUMIFS($G:$G,$H:$H,$P22,$F:$F,TEXT(AN$5,"00") &amp; "." &amp; TEXT($A$1,"00"))</f>
        <v>0</v>
      </c>
      <c r="AO22" s="297">
        <f>SUMIFS($G:$G,$H:$H,$P22,$F:$F,TEXT(AO$5,"00") &amp; "." &amp; TEXT($A$1,"00"))</f>
        <v>0</v>
      </c>
      <c r="AP22" s="297">
        <f>SUMIFS($G:$G,$H:$H,$P22,$F:$F,TEXT(AP$5,"00") &amp; "." &amp; TEXT($A$1,"00"))</f>
        <v>0</v>
      </c>
      <c r="AQ22" s="297">
        <f>SUMIFS($G:$G,$H:$H,$P22,$F:$F,TEXT(AQ$5,"00") &amp; "." &amp; TEXT($A$1,"00"))</f>
        <v>0</v>
      </c>
      <c r="AR22" s="297">
        <f>SUMIFS($G:$G,$H:$H,$P22,$F:$F,TEXT(AR$5,"00") &amp; "." &amp; TEXT($A$1,"00"))</f>
        <v>0</v>
      </c>
      <c r="AS22" s="297">
        <f>SUMIFS($G:$G,$H:$H,$P22,$F:$F,TEXT(AS$5,"00") &amp; "." &amp; TEXT($A$1,"00"))</f>
        <v>0</v>
      </c>
      <c r="AT22" s="297">
        <f>SUMIFS($G:$G,$H:$H,$P22,$F:$F,TEXT(AT$5,"00") &amp; "." &amp; TEXT($A$1,"00"))</f>
        <v>0</v>
      </c>
      <c r="AU22" s="297">
        <f>SUMIFS($G:$G,$H:$H,$P22,$F:$F,TEXT(AU$5,"00") &amp; "." &amp; TEXT($A$1,"00"))</f>
        <v>0</v>
      </c>
      <c r="AV22" s="297">
        <f>SUMIFS($G:$G,$H:$H,$P22,$F:$F,TEXT(AV$5,"00") &amp; "." &amp; TEXT($A$1,"00"))</f>
        <v>0</v>
      </c>
      <c r="AW22" s="294">
        <f t="shared" si="1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שיעורים פרטיים</v>
      </c>
      <c r="Q23" s="297">
        <f>SUMIFS($G:$G,$H:$H,$P23,$F:$F,"")</f>
        <v>0</v>
      </c>
      <c r="R23" s="297">
        <f>SUMIFS($G:$G,$H:$H,$P23,$F:$F,TEXT(R$5,"00") &amp; "." &amp; TEXT($A$1,"00"))</f>
        <v>0</v>
      </c>
      <c r="S23" s="297">
        <f>SUMIFS($G:$G,$H:$H,$P23,$F:$F,TEXT(S$5,"00") &amp; "." &amp; TEXT($A$1,"00"))</f>
        <v>0</v>
      </c>
      <c r="T23" s="297">
        <f>SUMIFS($G:$G,$H:$H,$P23,$F:$F,TEXT(T$5,"00") &amp; "." &amp; TEXT($A$1,"00"))</f>
        <v>0</v>
      </c>
      <c r="U23" s="297">
        <f>SUMIFS($G:$G,$H:$H,$P23,$F:$F,TEXT(U$5,"00") &amp; "." &amp; TEXT($A$1,"00"))</f>
        <v>0</v>
      </c>
      <c r="V23" s="297">
        <f>SUMIFS($G:$G,$H:$H,$P23,$F:$F,TEXT(V$5,"00") &amp; "." &amp; TEXT($A$1,"00"))</f>
        <v>0</v>
      </c>
      <c r="W23" s="297">
        <f>SUMIFS($G:$G,$H:$H,$P23,$F:$F,TEXT(W$5,"00") &amp; "." &amp; TEXT($A$1,"00"))</f>
        <v>0</v>
      </c>
      <c r="X23" s="297">
        <f>SUMIFS($G:$G,$H:$H,$P23,$F:$F,TEXT(X$5,"00") &amp; "." &amp; TEXT($A$1,"00"))</f>
        <v>0</v>
      </c>
      <c r="Y23" s="297">
        <f>SUMIFS($G:$G,$H:$H,$P23,$F:$F,TEXT(Y$5,"00") &amp; "." &amp; TEXT($A$1,"00"))</f>
        <v>0</v>
      </c>
      <c r="Z23" s="297">
        <f>SUMIFS($G:$G,$H:$H,$P23,$F:$F,TEXT(Z$5,"00") &amp; "." &amp; TEXT($A$1,"00"))</f>
        <v>0</v>
      </c>
      <c r="AA23" s="297">
        <f>SUMIFS($G:$G,$H:$H,$P23,$F:$F,TEXT(AA$5,"00") &amp; "." &amp; TEXT($A$1,"00"))</f>
        <v>0</v>
      </c>
      <c r="AB23" s="297">
        <f>SUMIFS($G:$G,$H:$H,$P23,$F:$F,TEXT(AB$5,"00") &amp; "." &amp; TEXT($A$1,"00"))</f>
        <v>0</v>
      </c>
      <c r="AC23" s="297">
        <f>SUMIFS($G:$G,$H:$H,$P23,$F:$F,TEXT(AC$5,"00") &amp; "." &amp; TEXT($A$1,"00"))</f>
        <v>0</v>
      </c>
      <c r="AD23" s="297">
        <f>SUMIFS($G:$G,$H:$H,$P23,$F:$F,TEXT(AD$5,"00") &amp; "." &amp; TEXT($A$1,"00"))</f>
        <v>0</v>
      </c>
      <c r="AE23" s="297">
        <f>SUMIFS($G:$G,$H:$H,$P23,$F:$F,TEXT(AE$5,"00") &amp; "." &amp; TEXT($A$1,"00"))</f>
        <v>0</v>
      </c>
      <c r="AF23" s="297">
        <f>SUMIFS($G:$G,$H:$H,$P23,$F:$F,TEXT(AF$5,"00") &amp; "." &amp; TEXT($A$1,"00"))</f>
        <v>0</v>
      </c>
      <c r="AG23" s="297">
        <f>SUMIFS($G:$G,$H:$H,$P23,$F:$F,TEXT(AG$5,"00") &amp; "." &amp; TEXT($A$1,"00"))</f>
        <v>0</v>
      </c>
      <c r="AH23" s="297">
        <f>SUMIFS($G:$G,$H:$H,$P23,$F:$F,TEXT(AH$5,"00") &amp; "." &amp; TEXT($A$1,"00"))</f>
        <v>0</v>
      </c>
      <c r="AI23" s="297">
        <f>SUMIFS($G:$G,$H:$H,$P23,$F:$F,TEXT(AI$5,"00") &amp; "." &amp; TEXT($A$1,"00"))</f>
        <v>0</v>
      </c>
      <c r="AJ23" s="297">
        <f>SUMIFS($G:$G,$H:$H,$P23,$F:$F,TEXT(AJ$5,"00") &amp; "." &amp; TEXT($A$1,"00"))</f>
        <v>0</v>
      </c>
      <c r="AK23" s="297">
        <f>SUMIFS($G:$G,$H:$H,$P23,$F:$F,TEXT(AK$5,"00") &amp; "." &amp; TEXT($A$1,"00"))</f>
        <v>0</v>
      </c>
      <c r="AL23" s="297">
        <f>SUMIFS($G:$G,$H:$H,$P23,$F:$F,TEXT(AL$5,"00") &amp; "." &amp; TEXT($A$1,"00"))</f>
        <v>0</v>
      </c>
      <c r="AM23" s="297">
        <f>SUMIFS($G:$G,$H:$H,$P23,$F:$F,TEXT(AM$5,"00") &amp; "." &amp; TEXT($A$1,"00"))</f>
        <v>0</v>
      </c>
      <c r="AN23" s="297">
        <f>SUMIFS($G:$G,$H:$H,$P23,$F:$F,TEXT(AN$5,"00") &amp; "." &amp; TEXT($A$1,"00"))</f>
        <v>0</v>
      </c>
      <c r="AO23" s="297">
        <f>SUMIFS($G:$G,$H:$H,$P23,$F:$F,TEXT(AO$5,"00") &amp; "." &amp; TEXT($A$1,"00"))</f>
        <v>0</v>
      </c>
      <c r="AP23" s="297">
        <f>SUMIFS($G:$G,$H:$H,$P23,$F:$F,TEXT(AP$5,"00") &amp; "." &amp; TEXT($A$1,"00"))</f>
        <v>0</v>
      </c>
      <c r="AQ23" s="297">
        <f>SUMIFS($G:$G,$H:$H,$P23,$F:$F,TEXT(AQ$5,"00") &amp; "." &amp; TEXT($A$1,"00"))</f>
        <v>0</v>
      </c>
      <c r="AR23" s="297">
        <f>SUMIFS($G:$G,$H:$H,$P23,$F:$F,TEXT(AR$5,"00") &amp; "." &amp; TEXT($A$1,"00"))</f>
        <v>0</v>
      </c>
      <c r="AS23" s="297">
        <f>SUMIFS($G:$G,$H:$H,$P23,$F:$F,TEXT(AS$5,"00") &amp; "." &amp; TEXT($A$1,"00"))</f>
        <v>0</v>
      </c>
      <c r="AT23" s="297">
        <f>SUMIFS($G:$G,$H:$H,$P23,$F:$F,TEXT(AT$5,"00") &amp; "." &amp; TEXT($A$1,"00"))</f>
        <v>0</v>
      </c>
      <c r="AU23" s="297">
        <f>SUMIFS($G:$G,$H:$H,$P23,$F:$F,TEXT(AU$5,"00") &amp; "." &amp; TEXT($A$1,"00"))</f>
        <v>0</v>
      </c>
      <c r="AV23" s="297">
        <f>SUMIFS($G:$G,$H:$H,$P23,$F:$F,TEXT(AV$5,"00") &amp; "." &amp; TEXT($A$1,"00"))</f>
        <v>0</v>
      </c>
      <c r="AW23" s="294">
        <f t="shared" si="1"/>
        <v>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תחבורה ונסיעות</v>
      </c>
      <c r="Q24" s="297">
        <f>SUMIFS($G:$G,$H:$H,$P24,$F:$F,"")</f>
        <v>0</v>
      </c>
      <c r="R24" s="297">
        <f>SUMIFS($G:$G,$H:$H,$P24,$F:$F,TEXT(R$5,"00") &amp; "." &amp; TEXT($A$1,"00"))</f>
        <v>0</v>
      </c>
      <c r="S24" s="297">
        <f>SUMIFS($G:$G,$H:$H,$P24,$F:$F,TEXT(S$5,"00") &amp; "." &amp; TEXT($A$1,"00"))</f>
        <v>0</v>
      </c>
      <c r="T24" s="297">
        <f>SUMIFS($G:$G,$H:$H,$P24,$F:$F,TEXT(T$5,"00") &amp; "." &amp; TEXT($A$1,"00"))</f>
        <v>0</v>
      </c>
      <c r="U24" s="297">
        <f>SUMIFS($G:$G,$H:$H,$P24,$F:$F,TEXT(U$5,"00") &amp; "." &amp; TEXT($A$1,"00"))</f>
        <v>0</v>
      </c>
      <c r="V24" s="297">
        <f>SUMIFS($G:$G,$H:$H,$P24,$F:$F,TEXT(V$5,"00") &amp; "." &amp; TEXT($A$1,"00"))</f>
        <v>0</v>
      </c>
      <c r="W24" s="297">
        <f>SUMIFS($G:$G,$H:$H,$P24,$F:$F,TEXT(W$5,"00") &amp; "." &amp; TEXT($A$1,"00"))</f>
        <v>0</v>
      </c>
      <c r="X24" s="297">
        <f>SUMIFS($G:$G,$H:$H,$P24,$F:$F,TEXT(X$5,"00") &amp; "." &amp; TEXT($A$1,"00"))</f>
        <v>0</v>
      </c>
      <c r="Y24" s="297">
        <f>SUMIFS($G:$G,$H:$H,$P24,$F:$F,TEXT(Y$5,"00") &amp; "." &amp; TEXT($A$1,"00"))</f>
        <v>0</v>
      </c>
      <c r="Z24" s="297">
        <f>SUMIFS($G:$G,$H:$H,$P24,$F:$F,TEXT(Z$5,"00") &amp; "." &amp; TEXT($A$1,"00"))</f>
        <v>0</v>
      </c>
      <c r="AA24" s="297">
        <f>SUMIFS($G:$G,$H:$H,$P24,$F:$F,TEXT(AA$5,"00") &amp; "." &amp; TEXT($A$1,"00"))</f>
        <v>0</v>
      </c>
      <c r="AB24" s="297">
        <f>SUMIFS($G:$G,$H:$H,$P24,$F:$F,TEXT(AB$5,"00") &amp; "." &amp; TEXT($A$1,"00"))</f>
        <v>0</v>
      </c>
      <c r="AC24" s="297">
        <f>SUMIFS($G:$G,$H:$H,$P24,$F:$F,TEXT(AC$5,"00") &amp; "." &amp; TEXT($A$1,"00"))</f>
        <v>0</v>
      </c>
      <c r="AD24" s="297">
        <f>SUMIFS($G:$G,$H:$H,$P24,$F:$F,TEXT(AD$5,"00") &amp; "." &amp; TEXT($A$1,"00"))</f>
        <v>0</v>
      </c>
      <c r="AE24" s="297">
        <f>SUMIFS($G:$G,$H:$H,$P24,$F:$F,TEXT(AE$5,"00") &amp; "." &amp; TEXT($A$1,"00"))</f>
        <v>0</v>
      </c>
      <c r="AF24" s="297">
        <f>SUMIFS($G:$G,$H:$H,$P24,$F:$F,TEXT(AF$5,"00") &amp; "." &amp; TEXT($A$1,"00"))</f>
        <v>0</v>
      </c>
      <c r="AG24" s="297">
        <f>SUMIFS($G:$G,$H:$H,$P24,$F:$F,TEXT(AG$5,"00") &amp; "." &amp; TEXT($A$1,"00"))</f>
        <v>0</v>
      </c>
      <c r="AH24" s="297">
        <f>SUMIFS($G:$G,$H:$H,$P24,$F:$F,TEXT(AH$5,"00") &amp; "." &amp; TEXT($A$1,"00"))</f>
        <v>0</v>
      </c>
      <c r="AI24" s="297">
        <f>SUMIFS($G:$G,$H:$H,$P24,$F:$F,TEXT(AI$5,"00") &amp; "." &amp; TEXT($A$1,"00"))</f>
        <v>0</v>
      </c>
      <c r="AJ24" s="297">
        <f>SUMIFS($G:$G,$H:$H,$P24,$F:$F,TEXT(AJ$5,"00") &amp; "." &amp; TEXT($A$1,"00"))</f>
        <v>0</v>
      </c>
      <c r="AK24" s="297">
        <f>SUMIFS($G:$G,$H:$H,$P24,$F:$F,TEXT(AK$5,"00") &amp; "." &amp; TEXT($A$1,"00"))</f>
        <v>0</v>
      </c>
      <c r="AL24" s="297">
        <f>SUMIFS($G:$G,$H:$H,$P24,$F:$F,TEXT(AL$5,"00") &amp; "." &amp; TEXT($A$1,"00"))</f>
        <v>0</v>
      </c>
      <c r="AM24" s="297">
        <f>SUMIFS($G:$G,$H:$H,$P24,$F:$F,TEXT(AM$5,"00") &amp; "." &amp; TEXT($A$1,"00"))</f>
        <v>0</v>
      </c>
      <c r="AN24" s="297">
        <f>SUMIFS($G:$G,$H:$H,$P24,$F:$F,TEXT(AN$5,"00") &amp; "." &amp; TEXT($A$1,"00"))</f>
        <v>0</v>
      </c>
      <c r="AO24" s="297">
        <f>SUMIFS($G:$G,$H:$H,$P24,$F:$F,TEXT(AO$5,"00") &amp; "." &amp; TEXT($A$1,"00"))</f>
        <v>0</v>
      </c>
      <c r="AP24" s="297">
        <f>SUMIFS($G:$G,$H:$H,$P24,$F:$F,TEXT(AP$5,"00") &amp; "." &amp; TEXT($A$1,"00"))</f>
        <v>0</v>
      </c>
      <c r="AQ24" s="297">
        <f>SUMIFS($G:$G,$H:$H,$P24,$F:$F,TEXT(AQ$5,"00") &amp; "." &amp; TEXT($A$1,"00"))</f>
        <v>0</v>
      </c>
      <c r="AR24" s="297">
        <f>SUMIFS($G:$G,$H:$H,$P24,$F:$F,TEXT(AR$5,"00") &amp; "." &amp; TEXT($A$1,"00"))</f>
        <v>0</v>
      </c>
      <c r="AS24" s="297">
        <f>SUMIFS($G:$G,$H:$H,$P24,$F:$F,TEXT(AS$5,"00") &amp; "." &amp; TEXT($A$1,"00"))</f>
        <v>0</v>
      </c>
      <c r="AT24" s="297">
        <f>SUMIFS($G:$G,$H:$H,$P24,$F:$F,TEXT(AT$5,"00") &amp; "." &amp; TEXT($A$1,"00"))</f>
        <v>0</v>
      </c>
      <c r="AU24" s="297">
        <f>SUMIFS($G:$G,$H:$H,$P24,$F:$F,TEXT(AU$5,"00") &amp; "." &amp; TEXT($A$1,"00"))</f>
        <v>0</v>
      </c>
      <c r="AV24" s="297">
        <f>SUMIFS($G:$G,$H:$H,$P24,$F:$F,TEXT(AV$5,"00") &amp; "." &amp; TEXT($A$1,"00"))</f>
        <v>0</v>
      </c>
      <c r="AW24" s="294">
        <f t="shared" si="1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חוגים וקייטנות</v>
      </c>
      <c r="Q25" s="297">
        <f>SUMIFS($G:$G,$H:$H,$P25,$F:$F,"")</f>
        <v>3257.7200000000003</v>
      </c>
      <c r="R25" s="297">
        <f>SUMIFS($G:$G,$H:$H,$P25,$F:$F,TEXT(R$5,"00") &amp; "." &amp; TEXT($A$1,"00"))</f>
        <v>0</v>
      </c>
      <c r="S25" s="297">
        <f>SUMIFS($G:$G,$H:$H,$P25,$F:$F,TEXT(S$5,"00") &amp; "." &amp; TEXT($A$1,"00"))</f>
        <v>0</v>
      </c>
      <c r="T25" s="297">
        <f>SUMIFS($G:$G,$H:$H,$P25,$F:$F,TEXT(T$5,"00") &amp; "." &amp; TEXT($A$1,"00"))</f>
        <v>0</v>
      </c>
      <c r="U25" s="297">
        <f>SUMIFS($G:$G,$H:$H,$P25,$F:$F,TEXT(U$5,"00") &amp; "." &amp; TEXT($A$1,"00"))</f>
        <v>0</v>
      </c>
      <c r="V25" s="297">
        <f>SUMIFS($G:$G,$H:$H,$P25,$F:$F,TEXT(V$5,"00") &amp; "." &amp; TEXT($A$1,"00"))</f>
        <v>0</v>
      </c>
      <c r="W25" s="297">
        <f>SUMIFS($G:$G,$H:$H,$P25,$F:$F,TEXT(W$5,"00") &amp; "." &amp; TEXT($A$1,"00"))</f>
        <v>0</v>
      </c>
      <c r="X25" s="297">
        <f>SUMIFS($G:$G,$H:$H,$P25,$F:$F,TEXT(X$5,"00") &amp; "." &amp; TEXT($A$1,"00"))</f>
        <v>0</v>
      </c>
      <c r="Y25" s="297">
        <f>SUMIFS($G:$G,$H:$H,$P25,$F:$F,TEXT(Y$5,"00") &amp; "." &amp; TEXT($A$1,"00"))</f>
        <v>0</v>
      </c>
      <c r="Z25" s="297">
        <f>SUMIFS($G:$G,$H:$H,$P25,$F:$F,TEXT(Z$5,"00") &amp; "." &amp; TEXT($A$1,"00"))</f>
        <v>0</v>
      </c>
      <c r="AA25" s="297">
        <f>SUMIFS($G:$G,$H:$H,$P25,$F:$F,TEXT(AA$5,"00") &amp; "." &amp; TEXT($A$1,"00"))</f>
        <v>0</v>
      </c>
      <c r="AB25" s="297">
        <f>SUMIFS($G:$G,$H:$H,$P25,$F:$F,TEXT(AB$5,"00") &amp; "." &amp; TEXT($A$1,"00"))</f>
        <v>0</v>
      </c>
      <c r="AC25" s="297">
        <f>SUMIFS($G:$G,$H:$H,$P25,$F:$F,TEXT(AC$5,"00") &amp; "." &amp; TEXT($A$1,"00"))</f>
        <v>0</v>
      </c>
      <c r="AD25" s="297">
        <f>SUMIFS($G:$G,$H:$H,$P25,$F:$F,TEXT(AD$5,"00") &amp; "." &amp; TEXT($A$1,"00"))</f>
        <v>0</v>
      </c>
      <c r="AE25" s="297">
        <f>SUMIFS($G:$G,$H:$H,$P25,$F:$F,TEXT(AE$5,"00") &amp; "." &amp; TEXT($A$1,"00"))</f>
        <v>0</v>
      </c>
      <c r="AF25" s="297">
        <f>SUMIFS($G:$G,$H:$H,$P25,$F:$F,TEXT(AF$5,"00") &amp; "." &amp; TEXT($A$1,"00"))</f>
        <v>0</v>
      </c>
      <c r="AG25" s="297">
        <f>SUMIFS($G:$G,$H:$H,$P25,$F:$F,TEXT(AG$5,"00") &amp; "." &amp; TEXT($A$1,"00"))</f>
        <v>0</v>
      </c>
      <c r="AH25" s="297">
        <f>SUMIFS($G:$G,$H:$H,$P25,$F:$F,TEXT(AH$5,"00") &amp; "." &amp; TEXT($A$1,"00"))</f>
        <v>0</v>
      </c>
      <c r="AI25" s="297">
        <f>SUMIFS($G:$G,$H:$H,$P25,$F:$F,TEXT(AI$5,"00") &amp; "." &amp; TEXT($A$1,"00"))</f>
        <v>0</v>
      </c>
      <c r="AJ25" s="297">
        <f>SUMIFS($G:$G,$H:$H,$P25,$F:$F,TEXT(AJ$5,"00") &amp; "." &amp; TEXT($A$1,"00"))</f>
        <v>0</v>
      </c>
      <c r="AK25" s="297">
        <f>SUMIFS($G:$G,$H:$H,$P25,$F:$F,TEXT(AK$5,"00") &amp; "." &amp; TEXT($A$1,"00"))</f>
        <v>0</v>
      </c>
      <c r="AL25" s="297">
        <f>SUMIFS($G:$G,$H:$H,$P25,$F:$F,TEXT(AL$5,"00") &amp; "." &amp; TEXT($A$1,"00"))</f>
        <v>0</v>
      </c>
      <c r="AM25" s="297">
        <f>SUMIFS($G:$G,$H:$H,$P25,$F:$F,TEXT(AM$5,"00") &amp; "." &amp; TEXT($A$1,"00"))</f>
        <v>0</v>
      </c>
      <c r="AN25" s="297">
        <f>SUMIFS($G:$G,$H:$H,$P25,$F:$F,TEXT(AN$5,"00") &amp; "." &amp; TEXT($A$1,"00"))</f>
        <v>0</v>
      </c>
      <c r="AO25" s="297">
        <f>SUMIFS($G:$G,$H:$H,$P25,$F:$F,TEXT(AO$5,"00") &amp; "." &amp; TEXT($A$1,"00"))</f>
        <v>0</v>
      </c>
      <c r="AP25" s="297">
        <f>SUMIFS($G:$G,$H:$H,$P25,$F:$F,TEXT(AP$5,"00") &amp; "." &amp; TEXT($A$1,"00"))</f>
        <v>0</v>
      </c>
      <c r="AQ25" s="297">
        <f>SUMIFS($G:$G,$H:$H,$P25,$F:$F,TEXT(AQ$5,"00") &amp; "." &amp; TEXT($A$1,"00"))</f>
        <v>0</v>
      </c>
      <c r="AR25" s="297">
        <f>SUMIFS($G:$G,$H:$H,$P25,$F:$F,TEXT(AR$5,"00") &amp; "." &amp; TEXT($A$1,"00"))</f>
        <v>0</v>
      </c>
      <c r="AS25" s="297">
        <f>SUMIFS($G:$G,$H:$H,$P25,$F:$F,TEXT(AS$5,"00") &amp; "." &amp; TEXT($A$1,"00"))</f>
        <v>0</v>
      </c>
      <c r="AT25" s="297">
        <f>SUMIFS($G:$G,$H:$H,$P25,$F:$F,TEXT(AT$5,"00") &amp; "." &amp; TEXT($A$1,"00"))</f>
        <v>0</v>
      </c>
      <c r="AU25" s="297">
        <f>SUMIFS($G:$G,$H:$H,$P25,$F:$F,TEXT(AU$5,"00") &amp; "." &amp; TEXT($A$1,"00"))</f>
        <v>0</v>
      </c>
      <c r="AV25" s="297">
        <f>SUMIFS($G:$G,$H:$H,$P25,$F:$F,TEXT(AV$5,"00") &amp; "." &amp; TEXT($A$1,"00"))</f>
        <v>0</v>
      </c>
      <c r="AW25" s="294">
        <f t="shared" si="1"/>
        <v>3257.7200000000003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מטפלת / שמרטף</v>
      </c>
      <c r="Q26" s="297">
        <f>SUMIFS($G:$G,$H:$H,$P26,$F:$F,"")</f>
        <v>0</v>
      </c>
      <c r="R26" s="297">
        <f>SUMIFS($G:$G,$H:$H,$P26,$F:$F,TEXT(R$5,"00") &amp; "." &amp; TEXT($A$1,"00"))</f>
        <v>0</v>
      </c>
      <c r="S26" s="297">
        <f>SUMIFS($G:$G,$H:$H,$P26,$F:$F,TEXT(S$5,"00") &amp; "." &amp; TEXT($A$1,"00"))</f>
        <v>0</v>
      </c>
      <c r="T26" s="297">
        <f>SUMIFS($G:$G,$H:$H,$P26,$F:$F,TEXT(T$5,"00") &amp; "." &amp; TEXT($A$1,"00"))</f>
        <v>0</v>
      </c>
      <c r="U26" s="297">
        <f>SUMIFS($G:$G,$H:$H,$P26,$F:$F,TEXT(U$5,"00") &amp; "." &amp; TEXT($A$1,"00"))</f>
        <v>0</v>
      </c>
      <c r="V26" s="297">
        <f>SUMIFS($G:$G,$H:$H,$P26,$F:$F,TEXT(V$5,"00") &amp; "." &amp; TEXT($A$1,"00"))</f>
        <v>0</v>
      </c>
      <c r="W26" s="297">
        <f>SUMIFS($G:$G,$H:$H,$P26,$F:$F,TEXT(W$5,"00") &amp; "." &amp; TEXT($A$1,"00"))</f>
        <v>0</v>
      </c>
      <c r="X26" s="297">
        <f>SUMIFS($G:$G,$H:$H,$P26,$F:$F,TEXT(X$5,"00") &amp; "." &amp; TEXT($A$1,"00"))</f>
        <v>0</v>
      </c>
      <c r="Y26" s="297">
        <f>SUMIFS($G:$G,$H:$H,$P26,$F:$F,TEXT(Y$5,"00") &amp; "." &amp; TEXT($A$1,"00"))</f>
        <v>0</v>
      </c>
      <c r="Z26" s="297">
        <f>SUMIFS($G:$G,$H:$H,$P26,$F:$F,TEXT(Z$5,"00") &amp; "." &amp; TEXT($A$1,"00"))</f>
        <v>0</v>
      </c>
      <c r="AA26" s="297">
        <f>SUMIFS($G:$G,$H:$H,$P26,$F:$F,TEXT(AA$5,"00") &amp; "." &amp; TEXT($A$1,"00"))</f>
        <v>0</v>
      </c>
      <c r="AB26" s="297">
        <f>SUMIFS($G:$G,$H:$H,$P26,$F:$F,TEXT(AB$5,"00") &amp; "." &amp; TEXT($A$1,"00"))</f>
        <v>0</v>
      </c>
      <c r="AC26" s="297">
        <f>SUMIFS($G:$G,$H:$H,$P26,$F:$F,TEXT(AC$5,"00") &amp; "." &amp; TEXT($A$1,"00"))</f>
        <v>0</v>
      </c>
      <c r="AD26" s="297">
        <f>SUMIFS($G:$G,$H:$H,$P26,$F:$F,TEXT(AD$5,"00") &amp; "." &amp; TEXT($A$1,"00"))</f>
        <v>0</v>
      </c>
      <c r="AE26" s="297">
        <f>SUMIFS($G:$G,$H:$H,$P26,$F:$F,TEXT(AE$5,"00") &amp; "." &amp; TEXT($A$1,"00"))</f>
        <v>0</v>
      </c>
      <c r="AF26" s="297">
        <f>SUMIFS($G:$G,$H:$H,$P26,$F:$F,TEXT(AF$5,"00") &amp; "." &amp; TEXT($A$1,"00"))</f>
        <v>0</v>
      </c>
      <c r="AG26" s="297">
        <f>SUMIFS($G:$G,$H:$H,$P26,$F:$F,TEXT(AG$5,"00") &amp; "." &amp; TEXT($A$1,"00"))</f>
        <v>0</v>
      </c>
      <c r="AH26" s="297">
        <f>SUMIFS($G:$G,$H:$H,$P26,$F:$F,TEXT(AH$5,"00") &amp; "." &amp; TEXT($A$1,"00"))</f>
        <v>0</v>
      </c>
      <c r="AI26" s="297">
        <f>SUMIFS($G:$G,$H:$H,$P26,$F:$F,TEXT(AI$5,"00") &amp; "." &amp; TEXT($A$1,"00"))</f>
        <v>0</v>
      </c>
      <c r="AJ26" s="297">
        <f>SUMIFS($G:$G,$H:$H,$P26,$F:$F,TEXT(AJ$5,"00") &amp; "." &amp; TEXT($A$1,"00"))</f>
        <v>0</v>
      </c>
      <c r="AK26" s="297">
        <f>SUMIFS($G:$G,$H:$H,$P26,$F:$F,TEXT(AK$5,"00") &amp; "." &amp; TEXT($A$1,"00"))</f>
        <v>0</v>
      </c>
      <c r="AL26" s="297">
        <f>SUMIFS($G:$G,$H:$H,$P26,$F:$F,TEXT(AL$5,"00") &amp; "." &amp; TEXT($A$1,"00"))</f>
        <v>0</v>
      </c>
      <c r="AM26" s="297">
        <f>SUMIFS($G:$G,$H:$H,$P26,$F:$F,TEXT(AM$5,"00") &amp; "." &amp; TEXT($A$1,"00"))</f>
        <v>0</v>
      </c>
      <c r="AN26" s="297">
        <f>SUMIFS($G:$G,$H:$H,$P26,$F:$F,TEXT(AN$5,"00") &amp; "." &amp; TEXT($A$1,"00"))</f>
        <v>0</v>
      </c>
      <c r="AO26" s="297">
        <f>SUMIFS($G:$G,$H:$H,$P26,$F:$F,TEXT(AO$5,"00") &amp; "." &amp; TEXT($A$1,"00"))</f>
        <v>0</v>
      </c>
      <c r="AP26" s="297">
        <f>SUMIFS($G:$G,$H:$H,$P26,$F:$F,TEXT(AP$5,"00") &amp; "." &amp; TEXT($A$1,"00"))</f>
        <v>0</v>
      </c>
      <c r="AQ26" s="297">
        <f>SUMIFS($G:$G,$H:$H,$P26,$F:$F,TEXT(AQ$5,"00") &amp; "." &amp; TEXT($A$1,"00"))</f>
        <v>0</v>
      </c>
      <c r="AR26" s="297">
        <f>SUMIFS($G:$G,$H:$H,$P26,$F:$F,TEXT(AR$5,"00") &amp; "." &amp; TEXT($A$1,"00"))</f>
        <v>0</v>
      </c>
      <c r="AS26" s="297">
        <f>SUMIFS($G:$G,$H:$H,$P26,$F:$F,TEXT(AS$5,"00") &amp; "." &amp; TEXT($A$1,"00"))</f>
        <v>0</v>
      </c>
      <c r="AT26" s="297">
        <f>SUMIFS($G:$G,$H:$H,$P26,$F:$F,TEXT(AT$5,"00") &amp; "." &amp; TEXT($A$1,"00"))</f>
        <v>0</v>
      </c>
      <c r="AU26" s="297">
        <f>SUMIFS($G:$G,$H:$H,$P26,$F:$F,TEXT(AU$5,"00") &amp; "." &amp; TEXT($A$1,"00"))</f>
        <v>0</v>
      </c>
      <c r="AV26" s="297">
        <f>SUMIFS($G:$G,$H:$H,$P26,$F:$F,TEXT(AV$5,"00") &amp; "." &amp; TEXT($A$1,"00"))</f>
        <v>0</v>
      </c>
      <c r="AW26" s="294">
        <f t="shared" si="1"/>
        <v>0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צעצועים ומתנות</v>
      </c>
      <c r="Q27" s="297">
        <f>SUMIFS($G:$G,$H:$H,$P27,$F:$F,"")</f>
        <v>0</v>
      </c>
      <c r="R27" s="297">
        <f>SUMIFS($G:$G,$H:$H,$P27,$F:$F,TEXT(R$5,"00") &amp; "." &amp; TEXT($A$1,"00"))</f>
        <v>0</v>
      </c>
      <c r="S27" s="297">
        <f>SUMIFS($G:$G,$H:$H,$P27,$F:$F,TEXT(S$5,"00") &amp; "." &amp; TEXT($A$1,"00"))</f>
        <v>0</v>
      </c>
      <c r="T27" s="297">
        <f>SUMIFS($G:$G,$H:$H,$P27,$F:$F,TEXT(T$5,"00") &amp; "." &amp; TEXT($A$1,"00"))</f>
        <v>0</v>
      </c>
      <c r="U27" s="297">
        <f>SUMIFS($G:$G,$H:$H,$P27,$F:$F,TEXT(U$5,"00") &amp; "." &amp; TEXT($A$1,"00"))</f>
        <v>0</v>
      </c>
      <c r="V27" s="297">
        <f>SUMIFS($G:$G,$H:$H,$P27,$F:$F,TEXT(V$5,"00") &amp; "." &amp; TEXT($A$1,"00"))</f>
        <v>0</v>
      </c>
      <c r="W27" s="297">
        <f>SUMIFS($G:$G,$H:$H,$P27,$F:$F,TEXT(W$5,"00") &amp; "." &amp; TEXT($A$1,"00"))</f>
        <v>0</v>
      </c>
      <c r="X27" s="297">
        <f>SUMIFS($G:$G,$H:$H,$P27,$F:$F,TEXT(X$5,"00") &amp; "." &amp; TEXT($A$1,"00"))</f>
        <v>0</v>
      </c>
      <c r="Y27" s="297">
        <f>SUMIFS($G:$G,$H:$H,$P27,$F:$F,TEXT(Y$5,"00") &amp; "." &amp; TEXT($A$1,"00"))</f>
        <v>0</v>
      </c>
      <c r="Z27" s="297">
        <f>SUMIFS($G:$G,$H:$H,$P27,$F:$F,TEXT(Z$5,"00") &amp; "." &amp; TEXT($A$1,"00"))</f>
        <v>0</v>
      </c>
      <c r="AA27" s="297">
        <f>SUMIFS($G:$G,$H:$H,$P27,$F:$F,TEXT(AA$5,"00") &amp; "." &amp; TEXT($A$1,"00"))</f>
        <v>0</v>
      </c>
      <c r="AB27" s="297">
        <f>SUMIFS($G:$G,$H:$H,$P27,$F:$F,TEXT(AB$5,"00") &amp; "." &amp; TEXT($A$1,"00"))</f>
        <v>0</v>
      </c>
      <c r="AC27" s="297">
        <f>SUMIFS($G:$G,$H:$H,$P27,$F:$F,TEXT(AC$5,"00") &amp; "." &amp; TEXT($A$1,"00"))</f>
        <v>0</v>
      </c>
      <c r="AD27" s="297">
        <f>SUMIFS($G:$G,$H:$H,$P27,$F:$F,TEXT(AD$5,"00") &amp; "." &amp; TEXT($A$1,"00"))</f>
        <v>0</v>
      </c>
      <c r="AE27" s="297">
        <f>SUMIFS($G:$G,$H:$H,$P27,$F:$F,TEXT(AE$5,"00") &amp; "." &amp; TEXT($A$1,"00"))</f>
        <v>0</v>
      </c>
      <c r="AF27" s="297">
        <f>SUMIFS($G:$G,$H:$H,$P27,$F:$F,TEXT(AF$5,"00") &amp; "." &amp; TEXT($A$1,"00"))</f>
        <v>0</v>
      </c>
      <c r="AG27" s="297">
        <f>SUMIFS($G:$G,$H:$H,$P27,$F:$F,TEXT(AG$5,"00") &amp; "." &amp; TEXT($A$1,"00"))</f>
        <v>0</v>
      </c>
      <c r="AH27" s="297">
        <f>SUMIFS($G:$G,$H:$H,$P27,$F:$F,TEXT(AH$5,"00") &amp; "." &amp; TEXT($A$1,"00"))</f>
        <v>0</v>
      </c>
      <c r="AI27" s="297">
        <f>SUMIFS($G:$G,$H:$H,$P27,$F:$F,TEXT(AI$5,"00") &amp; "." &amp; TEXT($A$1,"00"))</f>
        <v>0</v>
      </c>
      <c r="AJ27" s="297">
        <f>SUMIFS($G:$G,$H:$H,$P27,$F:$F,TEXT(AJ$5,"00") &amp; "." &amp; TEXT($A$1,"00"))</f>
        <v>0</v>
      </c>
      <c r="AK27" s="297">
        <f>SUMIFS($G:$G,$H:$H,$P27,$F:$F,TEXT(AK$5,"00") &amp; "." &amp; TEXT($A$1,"00"))</f>
        <v>0</v>
      </c>
      <c r="AL27" s="297">
        <f>SUMIFS($G:$G,$H:$H,$P27,$F:$F,TEXT(AL$5,"00") &amp; "." &amp; TEXT($A$1,"00"))</f>
        <v>0</v>
      </c>
      <c r="AM27" s="297">
        <f>SUMIFS($G:$G,$H:$H,$P27,$F:$F,TEXT(AM$5,"00") &amp; "." &amp; TEXT($A$1,"00"))</f>
        <v>0</v>
      </c>
      <c r="AN27" s="297">
        <f>SUMIFS($G:$G,$H:$H,$P27,$F:$F,TEXT(AN$5,"00") &amp; "." &amp; TEXT($A$1,"00"))</f>
        <v>0</v>
      </c>
      <c r="AO27" s="297">
        <f>SUMIFS($G:$G,$H:$H,$P27,$F:$F,TEXT(AO$5,"00") &amp; "." &amp; TEXT($A$1,"00"))</f>
        <v>0</v>
      </c>
      <c r="AP27" s="297">
        <f>SUMIFS($G:$G,$H:$H,$P27,$F:$F,TEXT(AP$5,"00") &amp; "." &amp; TEXT($A$1,"00"))</f>
        <v>0</v>
      </c>
      <c r="AQ27" s="297">
        <f>SUMIFS($G:$G,$H:$H,$P27,$F:$F,TEXT(AQ$5,"00") &amp; "." &amp; TEXT($A$1,"00"))</f>
        <v>0</v>
      </c>
      <c r="AR27" s="297">
        <f>SUMIFS($G:$G,$H:$H,$P27,$F:$F,TEXT(AR$5,"00") &amp; "." &amp; TEXT($A$1,"00"))</f>
        <v>0</v>
      </c>
      <c r="AS27" s="297">
        <f>SUMIFS($G:$G,$H:$H,$P27,$F:$F,TEXT(AS$5,"00") &amp; "." &amp; TEXT($A$1,"00"))</f>
        <v>0</v>
      </c>
      <c r="AT27" s="297">
        <f>SUMIFS($G:$G,$H:$H,$P27,$F:$F,TEXT(AT$5,"00") &amp; "." &amp; TEXT($A$1,"00"))</f>
        <v>0</v>
      </c>
      <c r="AU27" s="297">
        <f>SUMIFS($G:$G,$H:$H,$P27,$F:$F,TEXT(AU$5,"00") &amp; "." &amp; TEXT($A$1,"00"))</f>
        <v>0</v>
      </c>
      <c r="AV27" s="297">
        <f>SUMIFS($G:$G,$H:$H,$P27,$F:$F,TEXT(AV$5,"00") &amp; "." &amp; TEXT($A$1,"00"))</f>
        <v>0</v>
      </c>
      <c r="AW27" s="294">
        <f t="shared" si="1"/>
        <v>0</v>
      </c>
    </row>
    <row r="28" spans="1:49">
      <c r="A28" s="467" t="s">
        <v>28</v>
      </c>
      <c r="B28" s="239" t="s">
        <v>29</v>
      </c>
      <c r="C28" s="239">
        <f ca="1">'4'!C29</f>
        <v>372054.93999999994</v>
      </c>
      <c r="D28" s="240">
        <f ca="1">'4'!D29</f>
        <v>1724.7200000000012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מוצרי תינוקות</v>
      </c>
      <c r="Q28" s="297">
        <f>SUMIFS($G:$G,$H:$H,$P28,$F:$F,"")</f>
        <v>0</v>
      </c>
      <c r="R28" s="297">
        <f>SUMIFS($G:$G,$H:$H,$P28,$F:$F,TEXT(R$5,"00") &amp; "." &amp; TEXT($A$1,"00"))</f>
        <v>0</v>
      </c>
      <c r="S28" s="297">
        <f>SUMIFS($G:$G,$H:$H,$P28,$F:$F,TEXT(S$5,"00") &amp; "." &amp; TEXT($A$1,"00"))</f>
        <v>0</v>
      </c>
      <c r="T28" s="297">
        <f>SUMIFS($G:$G,$H:$H,$P28,$F:$F,TEXT(T$5,"00") &amp; "." &amp; TEXT($A$1,"00"))</f>
        <v>0</v>
      </c>
      <c r="U28" s="297">
        <f>SUMIFS($G:$G,$H:$H,$P28,$F:$F,TEXT(U$5,"00") &amp; "." &amp; TEXT($A$1,"00"))</f>
        <v>0</v>
      </c>
      <c r="V28" s="297">
        <f>SUMIFS($G:$G,$H:$H,$P28,$F:$F,TEXT(V$5,"00") &amp; "." &amp; TEXT($A$1,"00"))</f>
        <v>0</v>
      </c>
      <c r="W28" s="297">
        <f>SUMIFS($G:$G,$H:$H,$P28,$F:$F,TEXT(W$5,"00") &amp; "." &amp; TEXT($A$1,"00"))</f>
        <v>0</v>
      </c>
      <c r="X28" s="297">
        <f>SUMIFS($G:$G,$H:$H,$P28,$F:$F,TEXT(X$5,"00") &amp; "." &amp; TEXT($A$1,"00"))</f>
        <v>0</v>
      </c>
      <c r="Y28" s="297">
        <f>SUMIFS($G:$G,$H:$H,$P28,$F:$F,TEXT(Y$5,"00") &amp; "." &amp; TEXT($A$1,"00"))</f>
        <v>0</v>
      </c>
      <c r="Z28" s="297">
        <f>SUMIFS($G:$G,$H:$H,$P28,$F:$F,TEXT(Z$5,"00") &amp; "." &amp; TEXT($A$1,"00"))</f>
        <v>0</v>
      </c>
      <c r="AA28" s="297">
        <f>SUMIFS($G:$G,$H:$H,$P28,$F:$F,TEXT(AA$5,"00") &amp; "." &amp; TEXT($A$1,"00"))</f>
        <v>0</v>
      </c>
      <c r="AB28" s="297">
        <f>SUMIFS($G:$G,$H:$H,$P28,$F:$F,TEXT(AB$5,"00") &amp; "." &amp; TEXT($A$1,"00"))</f>
        <v>0</v>
      </c>
      <c r="AC28" s="297">
        <f>SUMIFS($G:$G,$H:$H,$P28,$F:$F,TEXT(AC$5,"00") &amp; "." &amp; TEXT($A$1,"00"))</f>
        <v>0</v>
      </c>
      <c r="AD28" s="297">
        <f>SUMIFS($G:$G,$H:$H,$P28,$F:$F,TEXT(AD$5,"00") &amp; "." &amp; TEXT($A$1,"00"))</f>
        <v>0</v>
      </c>
      <c r="AE28" s="297">
        <f>SUMIFS($G:$G,$H:$H,$P28,$F:$F,TEXT(AE$5,"00") &amp; "." &amp; TEXT($A$1,"00"))</f>
        <v>0</v>
      </c>
      <c r="AF28" s="297">
        <f>SUMIFS($G:$G,$H:$H,$P28,$F:$F,TEXT(AF$5,"00") &amp; "." &amp; TEXT($A$1,"00"))</f>
        <v>0</v>
      </c>
      <c r="AG28" s="297">
        <f>SUMIFS($G:$G,$H:$H,$P28,$F:$F,TEXT(AG$5,"00") &amp; "." &amp; TEXT($A$1,"00"))</f>
        <v>0</v>
      </c>
      <c r="AH28" s="297">
        <f>SUMIFS($G:$G,$H:$H,$P28,$F:$F,TEXT(AH$5,"00") &amp; "." &amp; TEXT($A$1,"00"))</f>
        <v>0</v>
      </c>
      <c r="AI28" s="297">
        <f>SUMIFS($G:$G,$H:$H,$P28,$F:$F,TEXT(AI$5,"00") &amp; "." &amp; TEXT($A$1,"00"))</f>
        <v>0</v>
      </c>
      <c r="AJ28" s="297">
        <f>SUMIFS($G:$G,$H:$H,$P28,$F:$F,TEXT(AJ$5,"00") &amp; "." &amp; TEXT($A$1,"00"))</f>
        <v>0</v>
      </c>
      <c r="AK28" s="297">
        <f>SUMIFS($G:$G,$H:$H,$P28,$F:$F,TEXT(AK$5,"00") &amp; "." &amp; TEXT($A$1,"00"))</f>
        <v>0</v>
      </c>
      <c r="AL28" s="297">
        <f>SUMIFS($G:$G,$H:$H,$P28,$F:$F,TEXT(AL$5,"00") &amp; "." &amp; TEXT($A$1,"00"))</f>
        <v>0</v>
      </c>
      <c r="AM28" s="297">
        <f>SUMIFS($G:$G,$H:$H,$P28,$F:$F,TEXT(AM$5,"00") &amp; "." &amp; TEXT($A$1,"00"))</f>
        <v>0</v>
      </c>
      <c r="AN28" s="297">
        <f>SUMIFS($G:$G,$H:$H,$P28,$F:$F,TEXT(AN$5,"00") &amp; "." &amp; TEXT($A$1,"00"))</f>
        <v>0</v>
      </c>
      <c r="AO28" s="297">
        <f>SUMIFS($G:$G,$H:$H,$P28,$F:$F,TEXT(AO$5,"00") &amp; "." &amp; TEXT($A$1,"00"))</f>
        <v>0</v>
      </c>
      <c r="AP28" s="297">
        <f>SUMIFS($G:$G,$H:$H,$P28,$F:$F,TEXT(AP$5,"00") &amp; "." &amp; TEXT($A$1,"00"))</f>
        <v>0</v>
      </c>
      <c r="AQ28" s="297">
        <f>SUMIFS($G:$G,$H:$H,$P28,$F:$F,TEXT(AQ$5,"00") &amp; "." &amp; TEXT($A$1,"00"))</f>
        <v>0</v>
      </c>
      <c r="AR28" s="297">
        <f>SUMIFS($G:$G,$H:$H,$P28,$F:$F,TEXT(AR$5,"00") &amp; "." &amp; TEXT($A$1,"00"))</f>
        <v>0</v>
      </c>
      <c r="AS28" s="297">
        <f>SUMIFS($G:$G,$H:$H,$P28,$F:$F,TEXT(AS$5,"00") &amp; "." &amp; TEXT($A$1,"00"))</f>
        <v>0</v>
      </c>
      <c r="AT28" s="297">
        <f>SUMIFS($G:$G,$H:$H,$P28,$F:$F,TEXT(AT$5,"00") &amp; "." &amp; TEXT($A$1,"00"))</f>
        <v>0</v>
      </c>
      <c r="AU28" s="297">
        <f>SUMIFS($G:$G,$H:$H,$P28,$F:$F,TEXT(AU$5,"00") &amp; "." &amp; TEXT($A$1,"00"))</f>
        <v>0</v>
      </c>
      <c r="AV28" s="297">
        <f>SUMIFS($G:$G,$H:$H,$P28,$F:$F,TEXT(AV$5,"00") &amp; "." &amp; TEXT($A$1,"00"))</f>
        <v>0</v>
      </c>
      <c r="AW28" s="294">
        <f t="shared" si="1"/>
        <v>0</v>
      </c>
    </row>
    <row r="29" spans="1:49">
      <c r="A29" s="468"/>
      <c r="B29" s="204" t="s">
        <v>30</v>
      </c>
      <c r="C29" s="241">
        <f ca="1">C28+C24-C18</f>
        <v>358473.58999999997</v>
      </c>
      <c r="D29" s="242">
        <f ca="1">D28+D24-D18</f>
        <v>-31216.770000000004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דמי כיס</v>
      </c>
      <c r="Q29" s="297">
        <f>SUMIFS($G:$G,$H:$H,$P29,$F:$F,"")</f>
        <v>0</v>
      </c>
      <c r="R29" s="297">
        <f>SUMIFS($G:$G,$H:$H,$P29,$F:$F,TEXT(R$5,"00") &amp; "." &amp; TEXT($A$1,"00"))</f>
        <v>0</v>
      </c>
      <c r="S29" s="297">
        <f>SUMIFS($G:$G,$H:$H,$P29,$F:$F,TEXT(S$5,"00") &amp; "." &amp; TEXT($A$1,"00"))</f>
        <v>0</v>
      </c>
      <c r="T29" s="297">
        <f>SUMIFS($G:$G,$H:$H,$P29,$F:$F,TEXT(T$5,"00") &amp; "." &amp; TEXT($A$1,"00"))</f>
        <v>0</v>
      </c>
      <c r="U29" s="297">
        <f>SUMIFS($G:$G,$H:$H,$P29,$F:$F,TEXT(U$5,"00") &amp; "." &amp; TEXT($A$1,"00"))</f>
        <v>0</v>
      </c>
      <c r="V29" s="297">
        <f>SUMIFS($G:$G,$H:$H,$P29,$F:$F,TEXT(V$5,"00") &amp; "." &amp; TEXT($A$1,"00"))</f>
        <v>0</v>
      </c>
      <c r="W29" s="297">
        <f>SUMIFS($G:$G,$H:$H,$P29,$F:$F,TEXT(W$5,"00") &amp; "." &amp; TEXT($A$1,"00"))</f>
        <v>0</v>
      </c>
      <c r="X29" s="297">
        <f>SUMIFS($G:$G,$H:$H,$P29,$F:$F,TEXT(X$5,"00") &amp; "." &amp; TEXT($A$1,"00"))</f>
        <v>0</v>
      </c>
      <c r="Y29" s="297">
        <f>SUMIFS($G:$G,$H:$H,$P29,$F:$F,TEXT(Y$5,"00") &amp; "." &amp; TEXT($A$1,"00"))</f>
        <v>0</v>
      </c>
      <c r="Z29" s="297">
        <f>SUMIFS($G:$G,$H:$H,$P29,$F:$F,TEXT(Z$5,"00") &amp; "." &amp; TEXT($A$1,"00"))</f>
        <v>0</v>
      </c>
      <c r="AA29" s="297">
        <f>SUMIFS($G:$G,$H:$H,$P29,$F:$F,TEXT(AA$5,"00") &amp; "." &amp; TEXT($A$1,"00"))</f>
        <v>0</v>
      </c>
      <c r="AB29" s="297">
        <f>SUMIFS($G:$G,$H:$H,$P29,$F:$F,TEXT(AB$5,"00") &amp; "." &amp; TEXT($A$1,"00"))</f>
        <v>0</v>
      </c>
      <c r="AC29" s="297">
        <f>SUMIFS($G:$G,$H:$H,$P29,$F:$F,TEXT(AC$5,"00") &amp; "." &amp; TEXT($A$1,"00"))</f>
        <v>0</v>
      </c>
      <c r="AD29" s="297">
        <f>SUMIFS($G:$G,$H:$H,$P29,$F:$F,TEXT(AD$5,"00") &amp; "." &amp; TEXT($A$1,"00"))</f>
        <v>0</v>
      </c>
      <c r="AE29" s="297">
        <f>SUMIFS($G:$G,$H:$H,$P29,$F:$F,TEXT(AE$5,"00") &amp; "." &amp; TEXT($A$1,"00"))</f>
        <v>0</v>
      </c>
      <c r="AF29" s="297">
        <f>SUMIFS($G:$G,$H:$H,$P29,$F:$F,TEXT(AF$5,"00") &amp; "." &amp; TEXT($A$1,"00"))</f>
        <v>0</v>
      </c>
      <c r="AG29" s="297">
        <f>SUMIFS($G:$G,$H:$H,$P29,$F:$F,TEXT(AG$5,"00") &amp; "." &amp; TEXT($A$1,"00"))</f>
        <v>0</v>
      </c>
      <c r="AH29" s="297">
        <f>SUMIFS($G:$G,$H:$H,$P29,$F:$F,TEXT(AH$5,"00") &amp; "." &amp; TEXT($A$1,"00"))</f>
        <v>0</v>
      </c>
      <c r="AI29" s="297">
        <f>SUMIFS($G:$G,$H:$H,$P29,$F:$F,TEXT(AI$5,"00") &amp; "." &amp; TEXT($A$1,"00"))</f>
        <v>0</v>
      </c>
      <c r="AJ29" s="297">
        <f>SUMIFS($G:$G,$H:$H,$P29,$F:$F,TEXT(AJ$5,"00") &amp; "." &amp; TEXT($A$1,"00"))</f>
        <v>0</v>
      </c>
      <c r="AK29" s="297">
        <f>SUMIFS($G:$G,$H:$H,$P29,$F:$F,TEXT(AK$5,"00") &amp; "." &amp; TEXT($A$1,"00"))</f>
        <v>0</v>
      </c>
      <c r="AL29" s="297">
        <f>SUMIFS($G:$G,$H:$H,$P29,$F:$F,TEXT(AL$5,"00") &amp; "." &amp; TEXT($A$1,"00"))</f>
        <v>0</v>
      </c>
      <c r="AM29" s="297">
        <f>SUMIFS($G:$G,$H:$H,$P29,$F:$F,TEXT(AM$5,"00") &amp; "." &amp; TEXT($A$1,"00"))</f>
        <v>0</v>
      </c>
      <c r="AN29" s="297">
        <f>SUMIFS($G:$G,$H:$H,$P29,$F:$F,TEXT(AN$5,"00") &amp; "." &amp; TEXT($A$1,"00"))</f>
        <v>0</v>
      </c>
      <c r="AO29" s="297">
        <f>SUMIFS($G:$G,$H:$H,$P29,$F:$F,TEXT(AO$5,"00") &amp; "." &amp; TEXT($A$1,"00"))</f>
        <v>0</v>
      </c>
      <c r="AP29" s="297">
        <f>SUMIFS($G:$G,$H:$H,$P29,$F:$F,TEXT(AP$5,"00") &amp; "." &amp; TEXT($A$1,"00"))</f>
        <v>0</v>
      </c>
      <c r="AQ29" s="297">
        <f>SUMIFS($G:$G,$H:$H,$P29,$F:$F,TEXT(AQ$5,"00") &amp; "." &amp; TEXT($A$1,"00"))</f>
        <v>0</v>
      </c>
      <c r="AR29" s="297">
        <f>SUMIFS($G:$G,$H:$H,$P29,$F:$F,TEXT(AR$5,"00") &amp; "." &amp; TEXT($A$1,"00"))</f>
        <v>0</v>
      </c>
      <c r="AS29" s="297">
        <f>SUMIFS($G:$G,$H:$H,$P29,$F:$F,TEXT(AS$5,"00") &amp; "." &amp; TEXT($A$1,"00"))</f>
        <v>0</v>
      </c>
      <c r="AT29" s="297">
        <f>SUMIFS($G:$G,$H:$H,$P29,$F:$F,TEXT(AT$5,"00") &amp; "." &amp; TEXT($A$1,"00"))</f>
        <v>0</v>
      </c>
      <c r="AU29" s="297">
        <f>SUMIFS($G:$G,$H:$H,$P29,$F:$F,TEXT(AU$5,"00") &amp; "." &amp; TEXT($A$1,"00"))</f>
        <v>0</v>
      </c>
      <c r="AV29" s="297">
        <f>SUMIFS($G:$G,$H:$H,$P29,$F:$F,TEXT(AV$5,"00") &amp; "." &amp; TEXT($A$1,"00"))</f>
        <v>0</v>
      </c>
      <c r="AW29" s="294">
        <f t="shared" si="1"/>
        <v>0</v>
      </c>
    </row>
    <row r="30" spans="1:49">
      <c r="A30" s="243" t="s">
        <v>31</v>
      </c>
      <c r="B30" s="204" t="s">
        <v>32</v>
      </c>
      <c r="C30" s="204">
        <f ca="1">SUM(Data!$B$2+C29)</f>
        <v>393473.58999999997</v>
      </c>
      <c r="D30" s="244">
        <f ca="1">SUM(Data!$B$3+D29)</f>
        <v>-21216.770000000004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ריהוט ומצרכים</v>
      </c>
      <c r="Q30" s="297">
        <f>SUMIFS($G:$G,$H:$H,$P30,$F:$F,"")</f>
        <v>0</v>
      </c>
      <c r="R30" s="297">
        <f>SUMIFS($G:$G,$H:$H,$P30,$F:$F,TEXT(R$5,"00") &amp; "." &amp; TEXT($A$1,"00"))</f>
        <v>0</v>
      </c>
      <c r="S30" s="297">
        <f>SUMIFS($G:$G,$H:$H,$P30,$F:$F,TEXT(S$5,"00") &amp; "." &amp; TEXT($A$1,"00"))</f>
        <v>0</v>
      </c>
      <c r="T30" s="297">
        <f>SUMIFS($G:$G,$H:$H,$P30,$F:$F,TEXT(T$5,"00") &amp; "." &amp; TEXT($A$1,"00"))</f>
        <v>0</v>
      </c>
      <c r="U30" s="297">
        <f>SUMIFS($G:$G,$H:$H,$P30,$F:$F,TEXT(U$5,"00") &amp; "." &amp; TEXT($A$1,"00"))</f>
        <v>0</v>
      </c>
      <c r="V30" s="297">
        <f>SUMIFS($G:$G,$H:$H,$P30,$F:$F,TEXT(V$5,"00") &amp; "." &amp; TEXT($A$1,"00"))</f>
        <v>0</v>
      </c>
      <c r="W30" s="297">
        <f>SUMIFS($G:$G,$H:$H,$P30,$F:$F,TEXT(W$5,"00") &amp; "." &amp; TEXT($A$1,"00"))</f>
        <v>0</v>
      </c>
      <c r="X30" s="297">
        <f>SUMIFS($G:$G,$H:$H,$P30,$F:$F,TEXT(X$5,"00") &amp; "." &amp; TEXT($A$1,"00"))</f>
        <v>0</v>
      </c>
      <c r="Y30" s="297">
        <f>SUMIFS($G:$G,$H:$H,$P30,$F:$F,TEXT(Y$5,"00") &amp; "." &amp; TEXT($A$1,"00"))</f>
        <v>0</v>
      </c>
      <c r="Z30" s="297">
        <f>SUMIFS($G:$G,$H:$H,$P30,$F:$F,TEXT(Z$5,"00") &amp; "." &amp; TEXT($A$1,"00"))</f>
        <v>0</v>
      </c>
      <c r="AA30" s="297">
        <f>SUMIFS($G:$G,$H:$H,$P30,$F:$F,TEXT(AA$5,"00") &amp; "." &amp; TEXT($A$1,"00"))</f>
        <v>0</v>
      </c>
      <c r="AB30" s="297">
        <f>SUMIFS($G:$G,$H:$H,$P30,$F:$F,TEXT(AB$5,"00") &amp; "." &amp; TEXT($A$1,"00"))</f>
        <v>0</v>
      </c>
      <c r="AC30" s="297">
        <f>SUMIFS($G:$G,$H:$H,$P30,$F:$F,TEXT(AC$5,"00") &amp; "." &amp; TEXT($A$1,"00"))</f>
        <v>0</v>
      </c>
      <c r="AD30" s="297">
        <f>SUMIFS($G:$G,$H:$H,$P30,$F:$F,TEXT(AD$5,"00") &amp; "." &amp; TEXT($A$1,"00"))</f>
        <v>0</v>
      </c>
      <c r="AE30" s="297">
        <f>SUMIFS($G:$G,$H:$H,$P30,$F:$F,TEXT(AE$5,"00") &amp; "." &amp; TEXT($A$1,"00"))</f>
        <v>0</v>
      </c>
      <c r="AF30" s="297">
        <f>SUMIFS($G:$G,$H:$H,$P30,$F:$F,TEXT(AF$5,"00") &amp; "." &amp; TEXT($A$1,"00"))</f>
        <v>0</v>
      </c>
      <c r="AG30" s="297">
        <f>SUMIFS($G:$G,$H:$H,$P30,$F:$F,TEXT(AG$5,"00") &amp; "." &amp; TEXT($A$1,"00"))</f>
        <v>0</v>
      </c>
      <c r="AH30" s="297">
        <f>SUMIFS($G:$G,$H:$H,$P30,$F:$F,TEXT(AH$5,"00") &amp; "." &amp; TEXT($A$1,"00"))</f>
        <v>0</v>
      </c>
      <c r="AI30" s="297">
        <f>SUMIFS($G:$G,$H:$H,$P30,$F:$F,TEXT(AI$5,"00") &amp; "." &amp; TEXT($A$1,"00"))</f>
        <v>0</v>
      </c>
      <c r="AJ30" s="297">
        <f>SUMIFS($G:$G,$H:$H,$P30,$F:$F,TEXT(AJ$5,"00") &amp; "." &amp; TEXT($A$1,"00"))</f>
        <v>0</v>
      </c>
      <c r="AK30" s="297">
        <f>SUMIFS($G:$G,$H:$H,$P30,$F:$F,TEXT(AK$5,"00") &amp; "." &amp; TEXT($A$1,"00"))</f>
        <v>0</v>
      </c>
      <c r="AL30" s="297">
        <f>SUMIFS($G:$G,$H:$H,$P30,$F:$F,TEXT(AL$5,"00") &amp; "." &amp; TEXT($A$1,"00"))</f>
        <v>0</v>
      </c>
      <c r="AM30" s="297">
        <f>SUMIFS($G:$G,$H:$H,$P30,$F:$F,TEXT(AM$5,"00") &amp; "." &amp; TEXT($A$1,"00"))</f>
        <v>0</v>
      </c>
      <c r="AN30" s="297">
        <f>SUMIFS($G:$G,$H:$H,$P30,$F:$F,TEXT(AN$5,"00") &amp; "." &amp; TEXT($A$1,"00"))</f>
        <v>0</v>
      </c>
      <c r="AO30" s="297">
        <f>SUMIFS($G:$G,$H:$H,$P30,$F:$F,TEXT(AO$5,"00") &amp; "." &amp; TEXT($A$1,"00"))</f>
        <v>0</v>
      </c>
      <c r="AP30" s="297">
        <f>SUMIFS($G:$G,$H:$H,$P30,$F:$F,TEXT(AP$5,"00") &amp; "." &amp; TEXT($A$1,"00"))</f>
        <v>0</v>
      </c>
      <c r="AQ30" s="297">
        <f>SUMIFS($G:$G,$H:$H,$P30,$F:$F,TEXT(AQ$5,"00") &amp; "." &amp; TEXT($A$1,"00"))</f>
        <v>0</v>
      </c>
      <c r="AR30" s="297">
        <f>SUMIFS($G:$G,$H:$H,$P30,$F:$F,TEXT(AR$5,"00") &amp; "." &amp; TEXT($A$1,"00"))</f>
        <v>0</v>
      </c>
      <c r="AS30" s="297">
        <f>SUMIFS($G:$G,$H:$H,$P30,$F:$F,TEXT(AS$5,"00") &amp; "." &amp; TEXT($A$1,"00"))</f>
        <v>0</v>
      </c>
      <c r="AT30" s="297">
        <f>SUMIFS($G:$G,$H:$H,$P30,$F:$F,TEXT(AT$5,"00") &amp; "." &amp; TEXT($A$1,"00"))</f>
        <v>0</v>
      </c>
      <c r="AU30" s="297">
        <f>SUMIFS($G:$G,$H:$H,$P30,$F:$F,TEXT(AU$5,"00") &amp; "." &amp; TEXT($A$1,"00"))</f>
        <v>0</v>
      </c>
      <c r="AV30" s="297">
        <f>SUMIFS($G:$G,$H:$H,$P30,$F:$F,TEXT(AV$5,"00") &amp; "." &amp; TEXT($A$1,"00"))</f>
        <v>0</v>
      </c>
      <c r="AW30" s="294">
        <f t="shared" si="1"/>
        <v>0</v>
      </c>
    </row>
    <row r="31" spans="1:49">
      <c r="A31" s="463" t="s">
        <v>14</v>
      </c>
      <c r="B31" s="204" t="s">
        <v>33</v>
      </c>
      <c r="C31" s="204">
        <f ca="1">SUM(C29+C16-C28+C15)</f>
        <v>-13081.349999999977</v>
      </c>
      <c r="D31" s="244">
        <f ca="1">SUM(D29+D16-D28)</f>
        <v>-32941.490000000005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אחר</v>
      </c>
      <c r="Q31" s="297">
        <f>SUMIFS($G:$G,$H:$H,$P31,$F:$F,"")</f>
        <v>0</v>
      </c>
      <c r="R31" s="297">
        <f>SUMIFS($G:$G,$H:$H,$P31,$F:$F,TEXT(R$5,"00") &amp; "." &amp; TEXT($A$1,"00"))</f>
        <v>0</v>
      </c>
      <c r="S31" s="297">
        <f>SUMIFS($G:$G,$H:$H,$P31,$F:$F,TEXT(S$5,"00") &amp; "." &amp; TEXT($A$1,"00"))</f>
        <v>0</v>
      </c>
      <c r="T31" s="297">
        <f>SUMIFS($G:$G,$H:$H,$P31,$F:$F,TEXT(T$5,"00") &amp; "." &amp; TEXT($A$1,"00"))</f>
        <v>0</v>
      </c>
      <c r="U31" s="297">
        <f>SUMIFS($G:$G,$H:$H,$P31,$F:$F,TEXT(U$5,"00") &amp; "." &amp; TEXT($A$1,"00"))</f>
        <v>0</v>
      </c>
      <c r="V31" s="297">
        <f>SUMIFS($G:$G,$H:$H,$P31,$F:$F,TEXT(V$5,"00") &amp; "." &amp; TEXT($A$1,"00"))</f>
        <v>0</v>
      </c>
      <c r="W31" s="297">
        <f>SUMIFS($G:$G,$H:$H,$P31,$F:$F,TEXT(W$5,"00") &amp; "." &amp; TEXT($A$1,"00"))</f>
        <v>0</v>
      </c>
      <c r="X31" s="297">
        <f>SUMIFS($G:$G,$H:$H,$P31,$F:$F,TEXT(X$5,"00") &amp; "." &amp; TEXT($A$1,"00"))</f>
        <v>0</v>
      </c>
      <c r="Y31" s="297">
        <f>SUMIFS($G:$G,$H:$H,$P31,$F:$F,TEXT(Y$5,"00") &amp; "." &amp; TEXT($A$1,"00"))</f>
        <v>0</v>
      </c>
      <c r="Z31" s="297">
        <f>SUMIFS($G:$G,$H:$H,$P31,$F:$F,TEXT(Z$5,"00") &amp; "." &amp; TEXT($A$1,"00"))</f>
        <v>0</v>
      </c>
      <c r="AA31" s="297">
        <f>SUMIFS($G:$G,$H:$H,$P31,$F:$F,TEXT(AA$5,"00") &amp; "." &amp; TEXT($A$1,"00"))</f>
        <v>0</v>
      </c>
      <c r="AB31" s="297">
        <f>SUMIFS($G:$G,$H:$H,$P31,$F:$F,TEXT(AB$5,"00") &amp; "." &amp; TEXT($A$1,"00"))</f>
        <v>0</v>
      </c>
      <c r="AC31" s="297">
        <f>SUMIFS($G:$G,$H:$H,$P31,$F:$F,TEXT(AC$5,"00") &amp; "." &amp; TEXT($A$1,"00"))</f>
        <v>0</v>
      </c>
      <c r="AD31" s="297">
        <f>SUMIFS($G:$G,$H:$H,$P31,$F:$F,TEXT(AD$5,"00") &amp; "." &amp; TEXT($A$1,"00"))</f>
        <v>0</v>
      </c>
      <c r="AE31" s="297">
        <f>SUMIFS($G:$G,$H:$H,$P31,$F:$F,TEXT(AE$5,"00") &amp; "." &amp; TEXT($A$1,"00"))</f>
        <v>0</v>
      </c>
      <c r="AF31" s="297">
        <f>SUMIFS($G:$G,$H:$H,$P31,$F:$F,TEXT(AF$5,"00") &amp; "." &amp; TEXT($A$1,"00"))</f>
        <v>0</v>
      </c>
      <c r="AG31" s="297">
        <f>SUMIFS($G:$G,$H:$H,$P31,$F:$F,TEXT(AG$5,"00") &amp; "." &amp; TEXT($A$1,"00"))</f>
        <v>0</v>
      </c>
      <c r="AH31" s="297">
        <f>SUMIFS($G:$G,$H:$H,$P31,$F:$F,TEXT(AH$5,"00") &amp; "." &amp; TEXT($A$1,"00"))</f>
        <v>0</v>
      </c>
      <c r="AI31" s="297">
        <f>SUMIFS($G:$G,$H:$H,$P31,$F:$F,TEXT(AI$5,"00") &amp; "." &amp; TEXT($A$1,"00"))</f>
        <v>0</v>
      </c>
      <c r="AJ31" s="297">
        <f>SUMIFS($G:$G,$H:$H,$P31,$F:$F,TEXT(AJ$5,"00") &amp; "." &amp; TEXT($A$1,"00"))</f>
        <v>0</v>
      </c>
      <c r="AK31" s="297">
        <f>SUMIFS($G:$G,$H:$H,$P31,$F:$F,TEXT(AK$5,"00") &amp; "." &amp; TEXT($A$1,"00"))</f>
        <v>0</v>
      </c>
      <c r="AL31" s="297">
        <f>SUMIFS($G:$G,$H:$H,$P31,$F:$F,TEXT(AL$5,"00") &amp; "." &amp; TEXT($A$1,"00"))</f>
        <v>0</v>
      </c>
      <c r="AM31" s="297">
        <f>SUMIFS($G:$G,$H:$H,$P31,$F:$F,TEXT(AM$5,"00") &amp; "." &amp; TEXT($A$1,"00"))</f>
        <v>0</v>
      </c>
      <c r="AN31" s="297">
        <f>SUMIFS($G:$G,$H:$H,$P31,$F:$F,TEXT(AN$5,"00") &amp; "." &amp; TEXT($A$1,"00"))</f>
        <v>0</v>
      </c>
      <c r="AO31" s="297">
        <f>SUMIFS($G:$G,$H:$H,$P31,$F:$F,TEXT(AO$5,"00") &amp; "." &amp; TEXT($A$1,"00"))</f>
        <v>0</v>
      </c>
      <c r="AP31" s="297">
        <f>SUMIFS($G:$G,$H:$H,$P31,$F:$F,TEXT(AP$5,"00") &amp; "." &amp; TEXT($A$1,"00"))</f>
        <v>0</v>
      </c>
      <c r="AQ31" s="297">
        <f>SUMIFS($G:$G,$H:$H,$P31,$F:$F,TEXT(AQ$5,"00") &amp; "." &amp; TEXT($A$1,"00"))</f>
        <v>0</v>
      </c>
      <c r="AR31" s="297">
        <f>SUMIFS($G:$G,$H:$H,$P31,$F:$F,TEXT(AR$5,"00") &amp; "." &amp; TEXT($A$1,"00"))</f>
        <v>0</v>
      </c>
      <c r="AS31" s="297">
        <f>SUMIFS($G:$G,$H:$H,$P31,$F:$F,TEXT(AS$5,"00") &amp; "." &amp; TEXT($A$1,"00"))</f>
        <v>0</v>
      </c>
      <c r="AT31" s="297">
        <f>SUMIFS($G:$G,$H:$H,$P31,$F:$F,TEXT(AT$5,"00") &amp; "." &amp; TEXT($A$1,"00"))</f>
        <v>0</v>
      </c>
      <c r="AU31" s="297">
        <f>SUMIFS($G:$G,$H:$H,$P31,$F:$F,TEXT(AU$5,"00") &amp; "." &amp; TEXT($A$1,"00"))</f>
        <v>0</v>
      </c>
      <c r="AV31" s="297">
        <f>SUMIFS($G:$G,$H:$H,$P31,$F:$F,TEXT(AV$5,"00") &amp; "." &amp; TEXT($A$1,"00"))</f>
        <v>0</v>
      </c>
      <c r="AW31" s="294">
        <f t="shared" si="1"/>
        <v>0</v>
      </c>
    </row>
    <row r="32" spans="1:49" ht="13.5" thickBot="1">
      <c r="A32" s="464"/>
      <c r="B32" s="245" t="s">
        <v>34</v>
      </c>
      <c r="C32" s="245">
        <f ca="1">C24-C18</f>
        <v>-13581.349999999999</v>
      </c>
      <c r="D32" s="246">
        <f ca="1">D24-D18</f>
        <v>-32941.490000000005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>SUMIFS($G:$G,$H:$H,$P32,$F:$F,"")</f>
        <v>0</v>
      </c>
      <c r="R32" s="297">
        <f>SUMIFS($G:$G,$H:$H,$P32,$F:$F,TEXT(R$5,"00") &amp; "." &amp; TEXT($A$1,"00"))</f>
        <v>0</v>
      </c>
      <c r="S32" s="297">
        <f>SUMIFS($G:$G,$H:$H,$P32,$F:$F,TEXT(S$5,"00") &amp; "." &amp; TEXT($A$1,"00"))</f>
        <v>0</v>
      </c>
      <c r="T32" s="297">
        <f>SUMIFS($G:$G,$H:$H,$P32,$F:$F,TEXT(T$5,"00") &amp; "." &amp; TEXT($A$1,"00"))</f>
        <v>0</v>
      </c>
      <c r="U32" s="297">
        <f>SUMIFS($G:$G,$H:$H,$P32,$F:$F,TEXT(U$5,"00") &amp; "." &amp; TEXT($A$1,"00"))</f>
        <v>0</v>
      </c>
      <c r="V32" s="297">
        <f>SUMIFS($G:$G,$H:$H,$P32,$F:$F,TEXT(V$5,"00") &amp; "." &amp; TEXT($A$1,"00"))</f>
        <v>0</v>
      </c>
      <c r="W32" s="297">
        <f>SUMIFS($G:$G,$H:$H,$P32,$F:$F,TEXT(W$5,"00") &amp; "." &amp; TEXT($A$1,"00"))</f>
        <v>0</v>
      </c>
      <c r="X32" s="297">
        <f>SUMIFS($G:$G,$H:$H,$P32,$F:$F,TEXT(X$5,"00") &amp; "." &amp; TEXT($A$1,"00"))</f>
        <v>0</v>
      </c>
      <c r="Y32" s="297">
        <f>SUMIFS($G:$G,$H:$H,$P32,$F:$F,TEXT(Y$5,"00") &amp; "." &amp; TEXT($A$1,"00"))</f>
        <v>0</v>
      </c>
      <c r="Z32" s="297">
        <f>SUMIFS($G:$G,$H:$H,$P32,$F:$F,TEXT(Z$5,"00") &amp; "." &amp; TEXT($A$1,"00"))</f>
        <v>0</v>
      </c>
      <c r="AA32" s="297">
        <f>SUMIFS($G:$G,$H:$H,$P32,$F:$F,TEXT(AA$5,"00") &amp; "." &amp; TEXT($A$1,"00"))</f>
        <v>0</v>
      </c>
      <c r="AB32" s="297">
        <f>SUMIFS($G:$G,$H:$H,$P32,$F:$F,TEXT(AB$5,"00") &amp; "." &amp; TEXT($A$1,"00"))</f>
        <v>0</v>
      </c>
      <c r="AC32" s="297">
        <f>SUMIFS($G:$G,$H:$H,$P32,$F:$F,TEXT(AC$5,"00") &amp; "." &amp; TEXT($A$1,"00"))</f>
        <v>0</v>
      </c>
      <c r="AD32" s="297">
        <f>SUMIFS($G:$G,$H:$H,$P32,$F:$F,TEXT(AD$5,"00") &amp; "." &amp; TEXT($A$1,"00"))</f>
        <v>0</v>
      </c>
      <c r="AE32" s="297">
        <f>SUMIFS($G:$G,$H:$H,$P32,$F:$F,TEXT(AE$5,"00") &amp; "." &amp; TEXT($A$1,"00"))</f>
        <v>0</v>
      </c>
      <c r="AF32" s="297">
        <f>SUMIFS($G:$G,$H:$H,$P32,$F:$F,TEXT(AF$5,"00") &amp; "." &amp; TEXT($A$1,"00"))</f>
        <v>0</v>
      </c>
      <c r="AG32" s="297">
        <f>SUMIFS($G:$G,$H:$H,$P32,$F:$F,TEXT(AG$5,"00") &amp; "." &amp; TEXT($A$1,"00"))</f>
        <v>0</v>
      </c>
      <c r="AH32" s="297">
        <f>SUMIFS($G:$G,$H:$H,$P32,$F:$F,TEXT(AH$5,"00") &amp; "." &amp; TEXT($A$1,"00"))</f>
        <v>0</v>
      </c>
      <c r="AI32" s="297">
        <f>SUMIFS($G:$G,$H:$H,$P32,$F:$F,TEXT(AI$5,"00") &amp; "." &amp; TEXT($A$1,"00"))</f>
        <v>0</v>
      </c>
      <c r="AJ32" s="297">
        <f>SUMIFS($G:$G,$H:$H,$P32,$F:$F,TEXT(AJ$5,"00") &amp; "." &amp; TEXT($A$1,"00"))</f>
        <v>0</v>
      </c>
      <c r="AK32" s="297">
        <f>SUMIFS($G:$G,$H:$H,$P32,$F:$F,TEXT(AK$5,"00") &amp; "." &amp; TEXT($A$1,"00"))</f>
        <v>0</v>
      </c>
      <c r="AL32" s="297">
        <f>SUMIFS($G:$G,$H:$H,$P32,$F:$F,TEXT(AL$5,"00") &amp; "." &amp; TEXT($A$1,"00"))</f>
        <v>0</v>
      </c>
      <c r="AM32" s="297">
        <f>SUMIFS($G:$G,$H:$H,$P32,$F:$F,TEXT(AM$5,"00") &amp; "." &amp; TEXT($A$1,"00"))</f>
        <v>0</v>
      </c>
      <c r="AN32" s="297">
        <f>SUMIFS($G:$G,$H:$H,$P32,$F:$F,TEXT(AN$5,"00") &amp; "." &amp; TEXT($A$1,"00"))</f>
        <v>0</v>
      </c>
      <c r="AO32" s="297">
        <f>SUMIFS($G:$G,$H:$H,$P32,$F:$F,TEXT(AO$5,"00") &amp; "." &amp; TEXT($A$1,"00"))</f>
        <v>0</v>
      </c>
      <c r="AP32" s="297">
        <f>SUMIFS($G:$G,$H:$H,$P32,$F:$F,TEXT(AP$5,"00") &amp; "." &amp; TEXT($A$1,"00"))</f>
        <v>0</v>
      </c>
      <c r="AQ32" s="297">
        <f>SUMIFS($G:$G,$H:$H,$P32,$F:$F,TEXT(AQ$5,"00") &amp; "." &amp; TEXT($A$1,"00"))</f>
        <v>0</v>
      </c>
      <c r="AR32" s="297">
        <f>SUMIFS($G:$G,$H:$H,$P32,$F:$F,TEXT(AR$5,"00") &amp; "." &amp; TEXT($A$1,"00"))</f>
        <v>0</v>
      </c>
      <c r="AS32" s="297">
        <f>SUMIFS($G:$G,$H:$H,$P32,$F:$F,TEXT(AS$5,"00") &amp; "." &amp; TEXT($A$1,"00"))</f>
        <v>0</v>
      </c>
      <c r="AT32" s="297">
        <f>SUMIFS($G:$G,$H:$H,$P32,$F:$F,TEXT(AT$5,"00") &amp; "." &amp; TEXT($A$1,"00"))</f>
        <v>0</v>
      </c>
      <c r="AU32" s="297">
        <f>SUMIFS($G:$G,$H:$H,$P32,$F:$F,TEXT(AU$5,"00") &amp; "." &amp; TEXT($A$1,"00"))</f>
        <v>0</v>
      </c>
      <c r="AV32" s="297">
        <f>SUMIFS($G:$G,$H:$H,$P32,$F:$F,TEXT(AV$5,"00") &amp; "." &amp; TEXT($A$1,"00"))</f>
        <v>0</v>
      </c>
      <c r="AW32" s="294">
        <f t="shared" si="1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>SUMIFS($G:$G,$H:$H,$P33,$F:$F,"")</f>
        <v>0</v>
      </c>
      <c r="R33" s="297">
        <f>SUMIFS($G:$G,$H:$H,$P33,$F:$F,TEXT(R$5,"00") &amp; "." &amp; TEXT($A$1,"00"))</f>
        <v>0</v>
      </c>
      <c r="S33" s="297">
        <f>SUMIFS($G:$G,$H:$H,$P33,$F:$F,TEXT(S$5,"00") &amp; "." &amp; TEXT($A$1,"00"))</f>
        <v>0</v>
      </c>
      <c r="T33" s="297">
        <f>SUMIFS($G:$G,$H:$H,$P33,$F:$F,TEXT(T$5,"00") &amp; "." &amp; TEXT($A$1,"00"))</f>
        <v>0</v>
      </c>
      <c r="U33" s="297">
        <f>SUMIFS($G:$G,$H:$H,$P33,$F:$F,TEXT(U$5,"00") &amp; "." &amp; TEXT($A$1,"00"))</f>
        <v>0</v>
      </c>
      <c r="V33" s="297">
        <f>SUMIFS($G:$G,$H:$H,$P33,$F:$F,TEXT(V$5,"00") &amp; "." &amp; TEXT($A$1,"00"))</f>
        <v>0</v>
      </c>
      <c r="W33" s="297">
        <f>SUMIFS($G:$G,$H:$H,$P33,$F:$F,TEXT(W$5,"00") &amp; "." &amp; TEXT($A$1,"00"))</f>
        <v>0</v>
      </c>
      <c r="X33" s="297">
        <f>SUMIFS($G:$G,$H:$H,$P33,$F:$F,TEXT(X$5,"00") &amp; "." &amp; TEXT($A$1,"00"))</f>
        <v>0</v>
      </c>
      <c r="Y33" s="297">
        <f>SUMIFS($G:$G,$H:$H,$P33,$F:$F,TEXT(Y$5,"00") &amp; "." &amp; TEXT($A$1,"00"))</f>
        <v>0</v>
      </c>
      <c r="Z33" s="297">
        <f>SUMIFS($G:$G,$H:$H,$P33,$F:$F,TEXT(Z$5,"00") &amp; "." &amp; TEXT($A$1,"00"))</f>
        <v>0</v>
      </c>
      <c r="AA33" s="297">
        <f>SUMIFS($G:$G,$H:$H,$P33,$F:$F,TEXT(AA$5,"00") &amp; "." &amp; TEXT($A$1,"00"))</f>
        <v>0</v>
      </c>
      <c r="AB33" s="297">
        <f>SUMIFS($G:$G,$H:$H,$P33,$F:$F,TEXT(AB$5,"00") &amp; "." &amp; TEXT($A$1,"00"))</f>
        <v>0</v>
      </c>
      <c r="AC33" s="297">
        <f>SUMIFS($G:$G,$H:$H,$P33,$F:$F,TEXT(AC$5,"00") &amp; "." &amp; TEXT($A$1,"00"))</f>
        <v>0</v>
      </c>
      <c r="AD33" s="297">
        <f>SUMIFS($G:$G,$H:$H,$P33,$F:$F,TEXT(AD$5,"00") &amp; "." &amp; TEXT($A$1,"00"))</f>
        <v>0</v>
      </c>
      <c r="AE33" s="297">
        <f>SUMIFS($G:$G,$H:$H,$P33,$F:$F,TEXT(AE$5,"00") &amp; "." &amp; TEXT($A$1,"00"))</f>
        <v>0</v>
      </c>
      <c r="AF33" s="297">
        <f>SUMIFS($G:$G,$H:$H,$P33,$F:$F,TEXT(AF$5,"00") &amp; "." &amp; TEXT($A$1,"00"))</f>
        <v>0</v>
      </c>
      <c r="AG33" s="297">
        <f>SUMIFS($G:$G,$H:$H,$P33,$F:$F,TEXT(AG$5,"00") &amp; "." &amp; TEXT($A$1,"00"))</f>
        <v>0</v>
      </c>
      <c r="AH33" s="297">
        <f>SUMIFS($G:$G,$H:$H,$P33,$F:$F,TEXT(AH$5,"00") &amp; "." &amp; TEXT($A$1,"00"))</f>
        <v>0</v>
      </c>
      <c r="AI33" s="297">
        <f>SUMIFS($G:$G,$H:$H,$P33,$F:$F,TEXT(AI$5,"00") &amp; "." &amp; TEXT($A$1,"00"))</f>
        <v>0</v>
      </c>
      <c r="AJ33" s="297">
        <f>SUMIFS($G:$G,$H:$H,$P33,$F:$F,TEXT(AJ$5,"00") &amp; "." &amp; TEXT($A$1,"00"))</f>
        <v>0</v>
      </c>
      <c r="AK33" s="297">
        <f>SUMIFS($G:$G,$H:$H,$P33,$F:$F,TEXT(AK$5,"00") &amp; "." &amp; TEXT($A$1,"00"))</f>
        <v>0</v>
      </c>
      <c r="AL33" s="297">
        <f>SUMIFS($G:$G,$H:$H,$P33,$F:$F,TEXT(AL$5,"00") &amp; "." &amp; TEXT($A$1,"00"))</f>
        <v>0</v>
      </c>
      <c r="AM33" s="297">
        <f>SUMIFS($G:$G,$H:$H,$P33,$F:$F,TEXT(AM$5,"00") &amp; "." &amp; TEXT($A$1,"00"))</f>
        <v>0</v>
      </c>
      <c r="AN33" s="297">
        <f>SUMIFS($G:$G,$H:$H,$P33,$F:$F,TEXT(AN$5,"00") &amp; "." &amp; TEXT($A$1,"00"))</f>
        <v>0</v>
      </c>
      <c r="AO33" s="297">
        <f>SUMIFS($G:$G,$H:$H,$P33,$F:$F,TEXT(AO$5,"00") &amp; "." &amp; TEXT($A$1,"00"))</f>
        <v>0</v>
      </c>
      <c r="AP33" s="297">
        <f>SUMIFS($G:$G,$H:$H,$P33,$F:$F,TEXT(AP$5,"00") &amp; "." &amp; TEXT($A$1,"00"))</f>
        <v>0</v>
      </c>
      <c r="AQ33" s="297">
        <f>SUMIFS($G:$G,$H:$H,$P33,$F:$F,TEXT(AQ$5,"00") &amp; "." &amp; TEXT($A$1,"00"))</f>
        <v>0</v>
      </c>
      <c r="AR33" s="297">
        <f>SUMIFS($G:$G,$H:$H,$P33,$F:$F,TEXT(AR$5,"00") &amp; "." &amp; TEXT($A$1,"00"))</f>
        <v>0</v>
      </c>
      <c r="AS33" s="297">
        <f>SUMIFS($G:$G,$H:$H,$P33,$F:$F,TEXT(AS$5,"00") &amp; "." &amp; TEXT($A$1,"00"))</f>
        <v>0</v>
      </c>
      <c r="AT33" s="297">
        <f>SUMIFS($G:$G,$H:$H,$P33,$F:$F,TEXT(AT$5,"00") &amp; "." &amp; TEXT($A$1,"00"))</f>
        <v>0</v>
      </c>
      <c r="AU33" s="297">
        <f>SUMIFS($G:$G,$H:$H,$P33,$F:$F,TEXT(AU$5,"00") &amp; "." &amp; TEXT($A$1,"00"))</f>
        <v>0</v>
      </c>
      <c r="AV33" s="297">
        <f>SUMIFS($G:$G,$H:$H,$P33,$F:$F,TEXT(AV$5,"00") &amp; "." &amp; TEXT($A$1,"00"))</f>
        <v>0</v>
      </c>
      <c r="AW33" s="294">
        <f t="shared" si="1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>SUMIFS($G:$G,$H:$H,$P34,$F:$F,"")</f>
        <v>0</v>
      </c>
      <c r="R34" s="297">
        <f>SUMIFS($G:$G,$H:$H,$P34,$F:$F,TEXT(R$5,"00") &amp; "." &amp; TEXT($A$1,"00"))</f>
        <v>0</v>
      </c>
      <c r="S34" s="297">
        <f>SUMIFS($G:$G,$H:$H,$P34,$F:$F,TEXT(S$5,"00") &amp; "." &amp; TEXT($A$1,"00"))</f>
        <v>0</v>
      </c>
      <c r="T34" s="297">
        <f>SUMIFS($G:$G,$H:$H,$P34,$F:$F,TEXT(T$5,"00") &amp; "." &amp; TEXT($A$1,"00"))</f>
        <v>0</v>
      </c>
      <c r="U34" s="297">
        <f>SUMIFS($G:$G,$H:$H,$P34,$F:$F,TEXT(U$5,"00") &amp; "." &amp; TEXT($A$1,"00"))</f>
        <v>0</v>
      </c>
      <c r="V34" s="297">
        <f>SUMIFS($G:$G,$H:$H,$P34,$F:$F,TEXT(V$5,"00") &amp; "." &amp; TEXT($A$1,"00"))</f>
        <v>0</v>
      </c>
      <c r="W34" s="297">
        <f>SUMIFS($G:$G,$H:$H,$P34,$F:$F,TEXT(W$5,"00") &amp; "." &amp; TEXT($A$1,"00"))</f>
        <v>0</v>
      </c>
      <c r="X34" s="297">
        <f>SUMIFS($G:$G,$H:$H,$P34,$F:$F,TEXT(X$5,"00") &amp; "." &amp; TEXT($A$1,"00"))</f>
        <v>0</v>
      </c>
      <c r="Y34" s="297">
        <f>SUMIFS($G:$G,$H:$H,$P34,$F:$F,TEXT(Y$5,"00") &amp; "." &amp; TEXT($A$1,"00"))</f>
        <v>0</v>
      </c>
      <c r="Z34" s="297">
        <f>SUMIFS($G:$G,$H:$H,$P34,$F:$F,TEXT(Z$5,"00") &amp; "." &amp; TEXT($A$1,"00"))</f>
        <v>0</v>
      </c>
      <c r="AA34" s="297">
        <f>SUMIFS($G:$G,$H:$H,$P34,$F:$F,TEXT(AA$5,"00") &amp; "." &amp; TEXT($A$1,"00"))</f>
        <v>0</v>
      </c>
      <c r="AB34" s="297">
        <f>SUMIFS($G:$G,$H:$H,$P34,$F:$F,TEXT(AB$5,"00") &amp; "." &amp; TEXT($A$1,"00"))</f>
        <v>0</v>
      </c>
      <c r="AC34" s="297">
        <f>SUMIFS($G:$G,$H:$H,$P34,$F:$F,TEXT(AC$5,"00") &amp; "." &amp; TEXT($A$1,"00"))</f>
        <v>0</v>
      </c>
      <c r="AD34" s="297">
        <f>SUMIFS($G:$G,$H:$H,$P34,$F:$F,TEXT(AD$5,"00") &amp; "." &amp; TEXT($A$1,"00"))</f>
        <v>0</v>
      </c>
      <c r="AE34" s="297">
        <f>SUMIFS($G:$G,$H:$H,$P34,$F:$F,TEXT(AE$5,"00") &amp; "." &amp; TEXT($A$1,"00"))</f>
        <v>0</v>
      </c>
      <c r="AF34" s="297">
        <f>SUMIFS($G:$G,$H:$H,$P34,$F:$F,TEXT(AF$5,"00") &amp; "." &amp; TEXT($A$1,"00"))</f>
        <v>0</v>
      </c>
      <c r="AG34" s="297">
        <f>SUMIFS($G:$G,$H:$H,$P34,$F:$F,TEXT(AG$5,"00") &amp; "." &amp; TEXT($A$1,"00"))</f>
        <v>0</v>
      </c>
      <c r="AH34" s="297">
        <f>SUMIFS($G:$G,$H:$H,$P34,$F:$F,TEXT(AH$5,"00") &amp; "." &amp; TEXT($A$1,"00"))</f>
        <v>0</v>
      </c>
      <c r="AI34" s="297">
        <f>SUMIFS($G:$G,$H:$H,$P34,$F:$F,TEXT(AI$5,"00") &amp; "." &amp; TEXT($A$1,"00"))</f>
        <v>0</v>
      </c>
      <c r="AJ34" s="297">
        <f>SUMIFS($G:$G,$H:$H,$P34,$F:$F,TEXT(AJ$5,"00") &amp; "." &amp; TEXT($A$1,"00"))</f>
        <v>0</v>
      </c>
      <c r="AK34" s="297">
        <f>SUMIFS($G:$G,$H:$H,$P34,$F:$F,TEXT(AK$5,"00") &amp; "." &amp; TEXT($A$1,"00"))</f>
        <v>0</v>
      </c>
      <c r="AL34" s="297">
        <f>SUMIFS($G:$G,$H:$H,$P34,$F:$F,TEXT(AL$5,"00") &amp; "." &amp; TEXT($A$1,"00"))</f>
        <v>0</v>
      </c>
      <c r="AM34" s="297">
        <f>SUMIFS($G:$G,$H:$H,$P34,$F:$F,TEXT(AM$5,"00") &amp; "." &amp; TEXT($A$1,"00"))</f>
        <v>0</v>
      </c>
      <c r="AN34" s="297">
        <f>SUMIFS($G:$G,$H:$H,$P34,$F:$F,TEXT(AN$5,"00") &amp; "." &amp; TEXT($A$1,"00"))</f>
        <v>0</v>
      </c>
      <c r="AO34" s="297">
        <f>SUMIFS($G:$G,$H:$H,$P34,$F:$F,TEXT(AO$5,"00") &amp; "." &amp; TEXT($A$1,"00"))</f>
        <v>0</v>
      </c>
      <c r="AP34" s="297">
        <f>SUMIFS($G:$G,$H:$H,$P34,$F:$F,TEXT(AP$5,"00") &amp; "." &amp; TEXT($A$1,"00"))</f>
        <v>0</v>
      </c>
      <c r="AQ34" s="297">
        <f>SUMIFS($G:$G,$H:$H,$P34,$F:$F,TEXT(AQ$5,"00") &amp; "." &amp; TEXT($A$1,"00"))</f>
        <v>0</v>
      </c>
      <c r="AR34" s="297">
        <f>SUMIFS($G:$G,$H:$H,$P34,$F:$F,TEXT(AR$5,"00") &amp; "." &amp; TEXT($A$1,"00"))</f>
        <v>0</v>
      </c>
      <c r="AS34" s="297">
        <f>SUMIFS($G:$G,$H:$H,$P34,$F:$F,TEXT(AS$5,"00") &amp; "." &amp; TEXT($A$1,"00"))</f>
        <v>0</v>
      </c>
      <c r="AT34" s="297">
        <f>SUMIFS($G:$G,$H:$H,$P34,$F:$F,TEXT(AT$5,"00") &amp; "." &amp; TEXT($A$1,"00"))</f>
        <v>0</v>
      </c>
      <c r="AU34" s="297">
        <f>SUMIFS($G:$G,$H:$H,$P34,$F:$F,TEXT(AU$5,"00") &amp; "." &amp; TEXT($A$1,"00"))</f>
        <v>0</v>
      </c>
      <c r="AV34" s="297">
        <f>SUMIFS($G:$G,$H:$H,$P34,$F:$F,TEXT(AV$5,"00") &amp; "." &amp; TEXT($A$1,"00"))</f>
        <v>0</v>
      </c>
      <c r="AW34" s="294">
        <f t="shared" si="1"/>
        <v>0</v>
      </c>
    </row>
    <row r="35" spans="1:49">
      <c r="A35" s="457" t="s">
        <v>36</v>
      </c>
      <c r="B35" s="223" t="s">
        <v>288</v>
      </c>
      <c r="C35" s="249"/>
      <c r="D35" s="205">
        <f>'4'!D35-C35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/>
      <c r="Q35" s="297">
        <f>SUMIFS($G:$G,$H:$H,$P35,$F:$F,"")</f>
        <v>0</v>
      </c>
      <c r="R35" s="297">
        <f>SUMIFS($G:$G,$H:$H,$P35,$F:$F,TEXT(R$5,"00") &amp; "." &amp; TEXT($A$1,"00"))</f>
        <v>0</v>
      </c>
      <c r="S35" s="297">
        <f>SUMIFS($G:$G,$H:$H,$P35,$F:$F,TEXT(S$5,"00") &amp; "." &amp; TEXT($A$1,"00"))</f>
        <v>0</v>
      </c>
      <c r="T35" s="297">
        <f>SUMIFS($G:$G,$H:$H,$P35,$F:$F,TEXT(T$5,"00") &amp; "." &amp; TEXT($A$1,"00"))</f>
        <v>0</v>
      </c>
      <c r="U35" s="297">
        <f>SUMIFS($G:$G,$H:$H,$P35,$F:$F,TEXT(U$5,"00") &amp; "." &amp; TEXT($A$1,"00"))</f>
        <v>0</v>
      </c>
      <c r="V35" s="297">
        <f>SUMIFS($G:$G,$H:$H,$P35,$F:$F,TEXT(V$5,"00") &amp; "." &amp; TEXT($A$1,"00"))</f>
        <v>0</v>
      </c>
      <c r="W35" s="297">
        <f>SUMIFS($G:$G,$H:$H,$P35,$F:$F,TEXT(W$5,"00") &amp; "." &amp; TEXT($A$1,"00"))</f>
        <v>0</v>
      </c>
      <c r="X35" s="297">
        <f>SUMIFS($G:$G,$H:$H,$P35,$F:$F,TEXT(X$5,"00") &amp; "." &amp; TEXT($A$1,"00"))</f>
        <v>0</v>
      </c>
      <c r="Y35" s="297">
        <f>SUMIFS($G:$G,$H:$H,$P35,$F:$F,TEXT(Y$5,"00") &amp; "." &amp; TEXT($A$1,"00"))</f>
        <v>0</v>
      </c>
      <c r="Z35" s="297">
        <f>SUMIFS($G:$G,$H:$H,$P35,$F:$F,TEXT(Z$5,"00") &amp; "." &amp; TEXT($A$1,"00"))</f>
        <v>0</v>
      </c>
      <c r="AA35" s="297">
        <f>SUMIFS($G:$G,$H:$H,$P35,$F:$F,TEXT(AA$5,"00") &amp; "." &amp; TEXT($A$1,"00"))</f>
        <v>0</v>
      </c>
      <c r="AB35" s="297">
        <f>SUMIFS($G:$G,$H:$H,$P35,$F:$F,TEXT(AB$5,"00") &amp; "." &amp; TEXT($A$1,"00"))</f>
        <v>0</v>
      </c>
      <c r="AC35" s="297">
        <f>SUMIFS($G:$G,$H:$H,$P35,$F:$F,TEXT(AC$5,"00") &amp; "." &amp; TEXT($A$1,"00"))</f>
        <v>0</v>
      </c>
      <c r="AD35" s="297">
        <f>SUMIFS($G:$G,$H:$H,$P35,$F:$F,TEXT(AD$5,"00") &amp; "." &amp; TEXT($A$1,"00"))</f>
        <v>0</v>
      </c>
      <c r="AE35" s="297">
        <f>SUMIFS($G:$G,$H:$H,$P35,$F:$F,TEXT(AE$5,"00") &amp; "." &amp; TEXT($A$1,"00"))</f>
        <v>0</v>
      </c>
      <c r="AF35" s="297">
        <f>SUMIFS($G:$G,$H:$H,$P35,$F:$F,TEXT(AF$5,"00") &amp; "." &amp; TEXT($A$1,"00"))</f>
        <v>0</v>
      </c>
      <c r="AG35" s="297">
        <f>SUMIFS($G:$G,$H:$H,$P35,$F:$F,TEXT(AG$5,"00") &amp; "." &amp; TEXT($A$1,"00"))</f>
        <v>0</v>
      </c>
      <c r="AH35" s="297">
        <f>SUMIFS($G:$G,$H:$H,$P35,$F:$F,TEXT(AH$5,"00") &amp; "." &amp; TEXT($A$1,"00"))</f>
        <v>0</v>
      </c>
      <c r="AI35" s="297">
        <f>SUMIFS($G:$G,$H:$H,$P35,$F:$F,TEXT(AI$5,"00") &amp; "." &amp; TEXT($A$1,"00"))</f>
        <v>0</v>
      </c>
      <c r="AJ35" s="297">
        <f>SUMIFS($G:$G,$H:$H,$P35,$F:$F,TEXT(AJ$5,"00") &amp; "." &amp; TEXT($A$1,"00"))</f>
        <v>0</v>
      </c>
      <c r="AK35" s="297">
        <f>SUMIFS($G:$G,$H:$H,$P35,$F:$F,TEXT(AK$5,"00") &amp; "." &amp; TEXT($A$1,"00"))</f>
        <v>0</v>
      </c>
      <c r="AL35" s="297">
        <f>SUMIFS($G:$G,$H:$H,$P35,$F:$F,TEXT(AL$5,"00") &amp; "." &amp; TEXT($A$1,"00"))</f>
        <v>0</v>
      </c>
      <c r="AM35" s="297">
        <f>SUMIFS($G:$G,$H:$H,$P35,$F:$F,TEXT(AM$5,"00") &amp; "." &amp; TEXT($A$1,"00"))</f>
        <v>0</v>
      </c>
      <c r="AN35" s="297">
        <f>SUMIFS($G:$G,$H:$H,$P35,$F:$F,TEXT(AN$5,"00") &amp; "." &amp; TEXT($A$1,"00"))</f>
        <v>0</v>
      </c>
      <c r="AO35" s="297">
        <f>SUMIFS($G:$G,$H:$H,$P35,$F:$F,TEXT(AO$5,"00") &amp; "." &amp; TEXT($A$1,"00"))</f>
        <v>0</v>
      </c>
      <c r="AP35" s="297">
        <f>SUMIFS($G:$G,$H:$H,$P35,$F:$F,TEXT(AP$5,"00") &amp; "." &amp; TEXT($A$1,"00"))</f>
        <v>0</v>
      </c>
      <c r="AQ35" s="297">
        <f>SUMIFS($G:$G,$H:$H,$P35,$F:$F,TEXT(AQ$5,"00") &amp; "." &amp; TEXT($A$1,"00"))</f>
        <v>0</v>
      </c>
      <c r="AR35" s="297">
        <f>SUMIFS($G:$G,$H:$H,$P35,$F:$F,TEXT(AR$5,"00") &amp; "." &amp; TEXT($A$1,"00"))</f>
        <v>0</v>
      </c>
      <c r="AS35" s="297">
        <f>SUMIFS($G:$G,$H:$H,$P35,$F:$F,TEXT(AS$5,"00") &amp; "." &amp; TEXT($A$1,"00"))</f>
        <v>0</v>
      </c>
      <c r="AT35" s="297">
        <f>SUMIFS($G:$G,$H:$H,$P35,$F:$F,TEXT(AT$5,"00") &amp; "." &amp; TEXT($A$1,"00"))</f>
        <v>0</v>
      </c>
      <c r="AU35" s="297">
        <f>SUMIFS($G:$G,$H:$H,$P35,$F:$F,TEXT(AU$5,"00") &amp; "." &amp; TEXT($A$1,"00"))</f>
        <v>0</v>
      </c>
      <c r="AV35" s="297">
        <f>SUMIFS($G:$G,$H:$H,$P35,$F:$F,TEXT(AV$5,"00") &amp; "." &amp; TEXT($A$1,"00"))</f>
        <v>0</v>
      </c>
      <c r="AW35" s="294">
        <f t="shared" si="1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>SUMIFS($G:$G,$H:$H,$P36,$F:$F,"")</f>
        <v>0</v>
      </c>
      <c r="R36" s="297">
        <f>SUMIFS($G:$G,$H:$H,$P36,$F:$F,TEXT(R$5,"00") &amp; "." &amp; TEXT($A$1,"00"))</f>
        <v>0</v>
      </c>
      <c r="S36" s="297">
        <f>SUMIFS($G:$G,$H:$H,$P36,$F:$F,TEXT(S$5,"00") &amp; "." &amp; TEXT($A$1,"00"))</f>
        <v>0</v>
      </c>
      <c r="T36" s="297">
        <f>SUMIFS($G:$G,$H:$H,$P36,$F:$F,TEXT(T$5,"00") &amp; "." &amp; TEXT($A$1,"00"))</f>
        <v>0</v>
      </c>
      <c r="U36" s="297">
        <f>SUMIFS($G:$G,$H:$H,$P36,$F:$F,TEXT(U$5,"00") &amp; "." &amp; TEXT($A$1,"00"))</f>
        <v>0</v>
      </c>
      <c r="V36" s="297">
        <f>SUMIFS($G:$G,$H:$H,$P36,$F:$F,TEXT(V$5,"00") &amp; "." &amp; TEXT($A$1,"00"))</f>
        <v>0</v>
      </c>
      <c r="W36" s="297">
        <f>SUMIFS($G:$G,$H:$H,$P36,$F:$F,TEXT(W$5,"00") &amp; "." &amp; TEXT($A$1,"00"))</f>
        <v>0</v>
      </c>
      <c r="X36" s="297">
        <f>SUMIFS($G:$G,$H:$H,$P36,$F:$F,TEXT(X$5,"00") &amp; "." &amp; TEXT($A$1,"00"))</f>
        <v>0</v>
      </c>
      <c r="Y36" s="297">
        <f>SUMIFS($G:$G,$H:$H,$P36,$F:$F,TEXT(Y$5,"00") &amp; "." &amp; TEXT($A$1,"00"))</f>
        <v>0</v>
      </c>
      <c r="Z36" s="297">
        <f>SUMIFS($G:$G,$H:$H,$P36,$F:$F,TEXT(Z$5,"00") &amp; "." &amp; TEXT($A$1,"00"))</f>
        <v>0</v>
      </c>
      <c r="AA36" s="297">
        <f>SUMIFS($G:$G,$H:$H,$P36,$F:$F,TEXT(AA$5,"00") &amp; "." &amp; TEXT($A$1,"00"))</f>
        <v>0</v>
      </c>
      <c r="AB36" s="297">
        <f>SUMIFS($G:$G,$H:$H,$P36,$F:$F,TEXT(AB$5,"00") &amp; "." &amp; TEXT($A$1,"00"))</f>
        <v>0</v>
      </c>
      <c r="AC36" s="297">
        <f>SUMIFS($G:$G,$H:$H,$P36,$F:$F,TEXT(AC$5,"00") &amp; "." &amp; TEXT($A$1,"00"))</f>
        <v>0</v>
      </c>
      <c r="AD36" s="297">
        <f>SUMIFS($G:$G,$H:$H,$P36,$F:$F,TEXT(AD$5,"00") &amp; "." &amp; TEXT($A$1,"00"))</f>
        <v>0</v>
      </c>
      <c r="AE36" s="297">
        <f>SUMIFS($G:$G,$H:$H,$P36,$F:$F,TEXT(AE$5,"00") &amp; "." &amp; TEXT($A$1,"00"))</f>
        <v>0</v>
      </c>
      <c r="AF36" s="297">
        <f>SUMIFS($G:$G,$H:$H,$P36,$F:$F,TEXT(AF$5,"00") &amp; "." &amp; TEXT($A$1,"00"))</f>
        <v>0</v>
      </c>
      <c r="AG36" s="297">
        <f>SUMIFS($G:$G,$H:$H,$P36,$F:$F,TEXT(AG$5,"00") &amp; "." &amp; TEXT($A$1,"00"))</f>
        <v>0</v>
      </c>
      <c r="AH36" s="297">
        <f>SUMIFS($G:$G,$H:$H,$P36,$F:$F,TEXT(AH$5,"00") &amp; "." &amp; TEXT($A$1,"00"))</f>
        <v>0</v>
      </c>
      <c r="AI36" s="297">
        <f>SUMIFS($G:$G,$H:$H,$P36,$F:$F,TEXT(AI$5,"00") &amp; "." &amp; TEXT($A$1,"00"))</f>
        <v>0</v>
      </c>
      <c r="AJ36" s="297">
        <f>SUMIFS($G:$G,$H:$H,$P36,$F:$F,TEXT(AJ$5,"00") &amp; "." &amp; TEXT($A$1,"00"))</f>
        <v>0</v>
      </c>
      <c r="AK36" s="297">
        <f>SUMIFS($G:$G,$H:$H,$P36,$F:$F,TEXT(AK$5,"00") &amp; "." &amp; TEXT($A$1,"00"))</f>
        <v>0</v>
      </c>
      <c r="AL36" s="297">
        <f>SUMIFS($G:$G,$H:$H,$P36,$F:$F,TEXT(AL$5,"00") &amp; "." &amp; TEXT($A$1,"00"))</f>
        <v>0</v>
      </c>
      <c r="AM36" s="297">
        <f>SUMIFS($G:$G,$H:$H,$P36,$F:$F,TEXT(AM$5,"00") &amp; "." &amp; TEXT($A$1,"00"))</f>
        <v>0</v>
      </c>
      <c r="AN36" s="297">
        <f>SUMIFS($G:$G,$H:$H,$P36,$F:$F,TEXT(AN$5,"00") &amp; "." &amp; TEXT($A$1,"00"))</f>
        <v>0</v>
      </c>
      <c r="AO36" s="297">
        <f>SUMIFS($G:$G,$H:$H,$P36,$F:$F,TEXT(AO$5,"00") &amp; "." &amp; TEXT($A$1,"00"))</f>
        <v>0</v>
      </c>
      <c r="AP36" s="297">
        <f>SUMIFS($G:$G,$H:$H,$P36,$F:$F,TEXT(AP$5,"00") &amp; "." &amp; TEXT($A$1,"00"))</f>
        <v>0</v>
      </c>
      <c r="AQ36" s="297">
        <f>SUMIFS($G:$G,$H:$H,$P36,$F:$F,TEXT(AQ$5,"00") &amp; "." &amp; TEXT($A$1,"00"))</f>
        <v>0</v>
      </c>
      <c r="AR36" s="297">
        <f>SUMIFS($G:$G,$H:$H,$P36,$F:$F,TEXT(AR$5,"00") &amp; "." &amp; TEXT($A$1,"00"))</f>
        <v>0</v>
      </c>
      <c r="AS36" s="297">
        <f>SUMIFS($G:$G,$H:$H,$P36,$F:$F,TEXT(AS$5,"00") &amp; "." &amp; TEXT($A$1,"00"))</f>
        <v>0</v>
      </c>
      <c r="AT36" s="297">
        <f>SUMIFS($G:$G,$H:$H,$P36,$F:$F,TEXT(AT$5,"00") &amp; "." &amp; TEXT($A$1,"00"))</f>
        <v>0</v>
      </c>
      <c r="AU36" s="297">
        <f>SUMIFS($G:$G,$H:$H,$P36,$F:$F,TEXT(AU$5,"00") &amp; "." &amp; TEXT($A$1,"00"))</f>
        <v>0</v>
      </c>
      <c r="AV36" s="297">
        <f>SUMIFS($G:$G,$H:$H,$P36,$F:$F,TEXT(AV$5,"00") &amp; "." &amp; TEXT($A$1,"00"))</f>
        <v>0</v>
      </c>
      <c r="AW36" s="294">
        <f t="shared" si="1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>SUMIFS($G:$G,$H:$H,$P37,$F:$F,"")</f>
        <v>0</v>
      </c>
      <c r="R37" s="297">
        <f>SUMIFS($G:$G,$H:$H,$P37,$F:$F,TEXT(R$5,"00") &amp; "." &amp; TEXT($A$1,"00"))</f>
        <v>0</v>
      </c>
      <c r="S37" s="297">
        <f>SUMIFS($G:$G,$H:$H,$P37,$F:$F,TEXT(S$5,"00") &amp; "." &amp; TEXT($A$1,"00"))</f>
        <v>0</v>
      </c>
      <c r="T37" s="297">
        <f>SUMIFS($G:$G,$H:$H,$P37,$F:$F,TEXT(T$5,"00") &amp; "." &amp; TEXT($A$1,"00"))</f>
        <v>0</v>
      </c>
      <c r="U37" s="297">
        <f>SUMIFS($G:$G,$H:$H,$P37,$F:$F,TEXT(U$5,"00") &amp; "." &amp; TEXT($A$1,"00"))</f>
        <v>0</v>
      </c>
      <c r="V37" s="297">
        <f>SUMIFS($G:$G,$H:$H,$P37,$F:$F,TEXT(V$5,"00") &amp; "." &amp; TEXT($A$1,"00"))</f>
        <v>0</v>
      </c>
      <c r="W37" s="297">
        <f>SUMIFS($G:$G,$H:$H,$P37,$F:$F,TEXT(W$5,"00") &amp; "." &amp; TEXT($A$1,"00"))</f>
        <v>0</v>
      </c>
      <c r="X37" s="297">
        <f>SUMIFS($G:$G,$H:$H,$P37,$F:$F,TEXT(X$5,"00") &amp; "." &amp; TEXT($A$1,"00"))</f>
        <v>0</v>
      </c>
      <c r="Y37" s="297">
        <f>SUMIFS($G:$G,$H:$H,$P37,$F:$F,TEXT(Y$5,"00") &amp; "." &amp; TEXT($A$1,"00"))</f>
        <v>0</v>
      </c>
      <c r="Z37" s="297">
        <f>SUMIFS($G:$G,$H:$H,$P37,$F:$F,TEXT(Z$5,"00") &amp; "." &amp; TEXT($A$1,"00"))</f>
        <v>0</v>
      </c>
      <c r="AA37" s="297">
        <f>SUMIFS($G:$G,$H:$H,$P37,$F:$F,TEXT(AA$5,"00") &amp; "." &amp; TEXT($A$1,"00"))</f>
        <v>0</v>
      </c>
      <c r="AB37" s="297">
        <f>SUMIFS($G:$G,$H:$H,$P37,$F:$F,TEXT(AB$5,"00") &amp; "." &amp; TEXT($A$1,"00"))</f>
        <v>0</v>
      </c>
      <c r="AC37" s="297">
        <f>SUMIFS($G:$G,$H:$H,$P37,$F:$F,TEXT(AC$5,"00") &amp; "." &amp; TEXT($A$1,"00"))</f>
        <v>0</v>
      </c>
      <c r="AD37" s="297">
        <f>SUMIFS($G:$G,$H:$H,$P37,$F:$F,TEXT(AD$5,"00") &amp; "." &amp; TEXT($A$1,"00"))</f>
        <v>0</v>
      </c>
      <c r="AE37" s="297">
        <f>SUMIFS($G:$G,$H:$H,$P37,$F:$F,TEXT(AE$5,"00") &amp; "." &amp; TEXT($A$1,"00"))</f>
        <v>0</v>
      </c>
      <c r="AF37" s="297">
        <f>SUMIFS($G:$G,$H:$H,$P37,$F:$F,TEXT(AF$5,"00") &amp; "." &amp; TEXT($A$1,"00"))</f>
        <v>0</v>
      </c>
      <c r="AG37" s="297">
        <f>SUMIFS($G:$G,$H:$H,$P37,$F:$F,TEXT(AG$5,"00") &amp; "." &amp; TEXT($A$1,"00"))</f>
        <v>0</v>
      </c>
      <c r="AH37" s="297">
        <f>SUMIFS($G:$G,$H:$H,$P37,$F:$F,TEXT(AH$5,"00") &amp; "." &amp; TEXT($A$1,"00"))</f>
        <v>0</v>
      </c>
      <c r="AI37" s="297">
        <f>SUMIFS($G:$G,$H:$H,$P37,$F:$F,TEXT(AI$5,"00") &amp; "." &amp; TEXT($A$1,"00"))</f>
        <v>0</v>
      </c>
      <c r="AJ37" s="297">
        <f>SUMIFS($G:$G,$H:$H,$P37,$F:$F,TEXT(AJ$5,"00") &amp; "." &amp; TEXT($A$1,"00"))</f>
        <v>0</v>
      </c>
      <c r="AK37" s="297">
        <f>SUMIFS($G:$G,$H:$H,$P37,$F:$F,TEXT(AK$5,"00") &amp; "." &amp; TEXT($A$1,"00"))</f>
        <v>0</v>
      </c>
      <c r="AL37" s="297">
        <f>SUMIFS($G:$G,$H:$H,$P37,$F:$F,TEXT(AL$5,"00") &amp; "." &amp; TEXT($A$1,"00"))</f>
        <v>0</v>
      </c>
      <c r="AM37" s="297">
        <f>SUMIFS($G:$G,$H:$H,$P37,$F:$F,TEXT(AM$5,"00") &amp; "." &amp; TEXT($A$1,"00"))</f>
        <v>0</v>
      </c>
      <c r="AN37" s="297">
        <f>SUMIFS($G:$G,$H:$H,$P37,$F:$F,TEXT(AN$5,"00") &amp; "." &amp; TEXT($A$1,"00"))</f>
        <v>0</v>
      </c>
      <c r="AO37" s="297">
        <f>SUMIFS($G:$G,$H:$H,$P37,$F:$F,TEXT(AO$5,"00") &amp; "." &amp; TEXT($A$1,"00"))</f>
        <v>0</v>
      </c>
      <c r="AP37" s="297">
        <f>SUMIFS($G:$G,$H:$H,$P37,$F:$F,TEXT(AP$5,"00") &amp; "." &amp; TEXT($A$1,"00"))</f>
        <v>0</v>
      </c>
      <c r="AQ37" s="297">
        <f>SUMIFS($G:$G,$H:$H,$P37,$F:$F,TEXT(AQ$5,"00") &amp; "." &amp; TEXT($A$1,"00"))</f>
        <v>0</v>
      </c>
      <c r="AR37" s="297">
        <f>SUMIFS($G:$G,$H:$H,$P37,$F:$F,TEXT(AR$5,"00") &amp; "." &amp; TEXT($A$1,"00"))</f>
        <v>0</v>
      </c>
      <c r="AS37" s="297">
        <f>SUMIFS($G:$G,$H:$H,$P37,$F:$F,TEXT(AS$5,"00") &amp; "." &amp; TEXT($A$1,"00"))</f>
        <v>0</v>
      </c>
      <c r="AT37" s="297">
        <f>SUMIFS($G:$G,$H:$H,$P37,$F:$F,TEXT(AT$5,"00") &amp; "." &amp; TEXT($A$1,"00"))</f>
        <v>0</v>
      </c>
      <c r="AU37" s="297">
        <f>SUMIFS($G:$G,$H:$H,$P37,$F:$F,TEXT(AU$5,"00") &amp; "." &amp; TEXT($A$1,"00"))</f>
        <v>0</v>
      </c>
      <c r="AV37" s="297">
        <f>SUMIFS($G:$G,$H:$H,$P37,$F:$F,TEXT(AV$5,"00") &amp; "." &amp; TEXT($A$1,"00"))</f>
        <v>0</v>
      </c>
      <c r="AW37" s="294">
        <f t="shared" si="1"/>
        <v>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15000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30141.25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  <c r="P42" s="204" t="s">
        <v>28</v>
      </c>
      <c r="Q42" s="204" t="s">
        <v>638</v>
      </c>
      <c r="R42" s="204" t="s">
        <v>374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8359.33</v>
      </c>
      <c r="C43" s="269" t="s">
        <v>451</v>
      </c>
      <c r="D43" s="205">
        <f ca="1">50000-C4</f>
        <v>39500.9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  <c r="P43" s="204" t="s">
        <v>639</v>
      </c>
      <c r="Q43" s="352">
        <f ca="1">'4'!Q46</f>
        <v>-3820.6700000000274</v>
      </c>
      <c r="R43" s="352">
        <f ca="1">'4'!R46</f>
        <v>360190.61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37400.28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  <c r="P44" s="204" t="s">
        <v>25</v>
      </c>
      <c r="Q44" s="352">
        <f ca="1">C24</f>
        <v>29269</v>
      </c>
      <c r="R44" s="352">
        <v>0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  <c r="P45" s="204" t="s">
        <v>49</v>
      </c>
      <c r="Q45" s="352">
        <f ca="1">C18-R45+R44+SUMIFS((INDIRECT("'"&amp;$A$1&amp;"'!"&amp;"G:G")), (INDIRECT("'"&amp;$A$1&amp;"'!"&amp;"H:H")), R42, (INDIRECT("'"&amp;$A$1&amp;"'!"&amp;"J:J")), "ל-פ 1")+SUMIFS((INDIRECT("'"&amp;$B$1&amp;"'!"&amp;"G:G")),(INDIRECT("'"&amp;$B$1&amp;"'!"&amp;"H:H")), R42,(INDIRECT("'"&amp;$B$1&amp;"'!"&amp;"J:J")), "ל-פ 2")</f>
        <v>40159.35</v>
      </c>
      <c r="R45" s="352">
        <f ca="1">SUMIFS(G:G,H:H,R42,J:J,"העברה")+SUMIFS((INDIRECT("'"&amp;$A$1&amp;"'!"&amp;"G:G")), (INDIRECT("'"&amp;$A$1&amp;"'!"&amp;"H:H")), R42, (INDIRECT("'"&amp;$A$1&amp;"'!"&amp;"J:J")), "*1*")+SUMIFS((INDIRECT("'"&amp;$B$1&amp;"'!"&amp;"G:G")),(INDIRECT("'"&amp;$B$1&amp;"'!"&amp;"H:H")), R42,(INDIRECT("'"&amp;$B$1&amp;"'!"&amp;"J:J")), "*2*")</f>
        <v>3260.48</v>
      </c>
    </row>
    <row r="46" spans="1:49" ht="13.5" thickBot="1">
      <c r="B46" s="268"/>
      <c r="C46" s="272"/>
      <c r="D46" s="257">
        <f ca="1">SUM(D42:D45)</f>
        <v>107042.43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  <c r="P46" s="204" t="s">
        <v>273</v>
      </c>
      <c r="Q46" s="352">
        <f ca="1">Q43+Q44-Q45</f>
        <v>-14711.020000000026</v>
      </c>
      <c r="R46" s="352">
        <f ca="1">R43+R44-R45</f>
        <v>356930.13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f>1810/4</f>
        <v>452.5</v>
      </c>
      <c r="H53" s="204" t="s">
        <v>102</v>
      </c>
      <c r="I53" s="204" t="str">
        <f>_xlfn.XLOOKUP(H53,[2]Dropdown!B:B,[2]Dropdown!C:C)</f>
        <v>רכב ונסיעות</v>
      </c>
      <c r="J53" s="204" t="s">
        <v>399</v>
      </c>
      <c r="K53" s="227">
        <v>1</v>
      </c>
      <c r="L53" s="228" t="s">
        <v>620</v>
      </c>
      <c r="M53" s="228" t="s">
        <v>405</v>
      </c>
      <c r="N53" s="228"/>
    </row>
    <row r="54" spans="1:14">
      <c r="G54" s="204">
        <f>2929/4</f>
        <v>732.25</v>
      </c>
      <c r="H54" s="204" t="s">
        <v>102</v>
      </c>
      <c r="I54" s="204" t="str">
        <f>_xlfn.XLOOKUP(H54,[2]Dropdown!B:B,[2]Dropdown!C:C)</f>
        <v>רכב ונסיעות</v>
      </c>
      <c r="J54" s="204" t="s">
        <v>400</v>
      </c>
      <c r="K54" s="227">
        <v>1</v>
      </c>
      <c r="L54" s="228" t="s">
        <v>620</v>
      </c>
      <c r="M54" s="228" t="s">
        <v>405</v>
      </c>
      <c r="N54" s="228"/>
    </row>
    <row r="55" spans="1:14">
      <c r="G55" s="204">
        <v>1106.25</v>
      </c>
      <c r="H55" s="204" t="s">
        <v>124</v>
      </c>
      <c r="I55" s="204" t="str">
        <f>_xlfn.XLOOKUP(H55,Dropdown!B:B,Dropdown!C:C)</f>
        <v>תרבות ופנאי</v>
      </c>
      <c r="J55" s="204" t="s">
        <v>165</v>
      </c>
      <c r="K55" s="227">
        <v>0</v>
      </c>
      <c r="L55" s="253" t="s">
        <v>588</v>
      </c>
      <c r="M55" s="275" t="s">
        <v>589</v>
      </c>
    </row>
    <row r="56" spans="1:14">
      <c r="G56" s="204">
        <v>2000</v>
      </c>
      <c r="H56" s="204" t="s">
        <v>374</v>
      </c>
      <c r="I56" s="204" t="str">
        <f>_xlfn.XLOOKUP(H56,[2]Dropdown!B:B,[2]Dropdown!C:C)</f>
        <v>תחזוקת דירה ותקשורת</v>
      </c>
      <c r="J56" s="204" t="s">
        <v>168</v>
      </c>
      <c r="K56" s="227">
        <v>8</v>
      </c>
      <c r="L56" s="253" t="s">
        <v>610</v>
      </c>
      <c r="M56" s="275" t="s">
        <v>609</v>
      </c>
    </row>
    <row r="57" spans="1:14">
      <c r="G57" s="204">
        <v>1501</v>
      </c>
      <c r="H57" s="204" t="s">
        <v>118</v>
      </c>
      <c r="I57" s="204" t="str">
        <f>_xlfn.XLOOKUP(H57,[2]Dropdown!B:B,[2]Dropdown!C:C)</f>
        <v>תרבות ופנאי</v>
      </c>
      <c r="J57" s="204" t="s">
        <v>400</v>
      </c>
      <c r="K57" s="227">
        <v>1</v>
      </c>
      <c r="L57" s="253" t="s">
        <v>612</v>
      </c>
      <c r="M57" s="275" t="s">
        <v>613</v>
      </c>
    </row>
    <row r="58" spans="1:14">
      <c r="G58" s="204">
        <v>1079.6099999999999</v>
      </c>
      <c r="H58" s="204" t="s">
        <v>118</v>
      </c>
      <c r="I58" s="204" t="str">
        <f>_xlfn.XLOOKUP(H58,Dropdown!B:B,Dropdown!C:C)</f>
        <v>תרבות ופנאי</v>
      </c>
      <c r="J58" s="204" t="s">
        <v>166</v>
      </c>
      <c r="K58" s="227">
        <v>1</v>
      </c>
      <c r="L58" s="253" t="s">
        <v>719</v>
      </c>
      <c r="M58" s="275" t="s">
        <v>724</v>
      </c>
    </row>
    <row r="59" spans="1:14">
      <c r="G59" s="204">
        <v>300</v>
      </c>
      <c r="H59" s="204" t="s">
        <v>279</v>
      </c>
      <c r="I59" s="204" t="str">
        <f>_xlfn.XLOOKUP(H59,Dropdown!B:B,Dropdown!C:C)</f>
        <v>מזון וקניות</v>
      </c>
      <c r="J59" s="204" t="s">
        <v>166</v>
      </c>
      <c r="K59" s="227">
        <v>0</v>
      </c>
      <c r="L59" s="253" t="s">
        <v>722</v>
      </c>
      <c r="M59" s="275" t="s">
        <v>723</v>
      </c>
    </row>
    <row r="60" spans="1:14">
      <c r="G60" s="204">
        <v>600</v>
      </c>
      <c r="H60" s="204" t="s">
        <v>100</v>
      </c>
      <c r="I60" s="204" t="str">
        <f>_xlfn.XLOOKUP(H60,Dropdown!B:B,Dropdown!C:C)</f>
        <v>רכב ונסיעות</v>
      </c>
      <c r="J60" s="204" t="s">
        <v>400</v>
      </c>
      <c r="K60" s="227">
        <v>0</v>
      </c>
      <c r="L60" s="253" t="s">
        <v>737</v>
      </c>
      <c r="M60" s="275" t="s">
        <v>738</v>
      </c>
    </row>
    <row r="61" spans="1:14" ht="13.5" thickBot="1">
      <c r="G61" s="204">
        <v>587.72</v>
      </c>
      <c r="H61" s="204" t="s">
        <v>111</v>
      </c>
      <c r="I61" s="204" t="str">
        <f>_xlfn.XLOOKUP(H61,Dropdown!B:B,Dropdown!C:C)</f>
        <v>ילדים וחינוך</v>
      </c>
      <c r="J61" s="204" t="s">
        <v>165</v>
      </c>
      <c r="K61" s="227">
        <v>2</v>
      </c>
      <c r="M61" s="275" t="s">
        <v>412</v>
      </c>
    </row>
    <row r="62" spans="1:14">
      <c r="F62" s="219" t="s">
        <v>287</v>
      </c>
      <c r="G62" s="225"/>
      <c r="H62" s="225"/>
      <c r="I62" s="225"/>
      <c r="J62" s="225"/>
      <c r="K62" s="225"/>
      <c r="L62" s="225"/>
      <c r="M62" s="274"/>
      <c r="N62" s="274"/>
    </row>
    <row r="63" spans="1:14">
      <c r="I63" s="204">
        <f>_xlfn.XLOOKUP(H63,Dropdown!B:B,Dropdown!C:C)</f>
        <v>0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I64" s="204">
        <f>_xlfn.XLOOKUP(H64,Dropdown!B:B,Dropdown!C:C)</f>
        <v>0</v>
      </c>
    </row>
    <row r="65" spans="1:10">
      <c r="A65" s="204" t="s">
        <v>426</v>
      </c>
      <c r="B65" s="204">
        <f>SUMIF(I:I,A65,G:G)-SUMIF(H:H,"הוצאות על הבנייה",G:G)</f>
        <v>15203.96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2381.9599999999991</v>
      </c>
      <c r="I65" s="204">
        <f>_xlfn.XLOOKUP(H65,Dropdown!B:B,Dropdown!C:C)</f>
        <v>0</v>
      </c>
    </row>
    <row r="66" spans="1:10">
      <c r="A66" s="227" t="s">
        <v>425</v>
      </c>
      <c r="B66" s="251">
        <f>SUMIF(I:I,A66,G:G)</f>
        <v>4410.5200000000004</v>
      </c>
      <c r="C66" s="204">
        <f>'ממוצע ורצוי'!$N$38</f>
        <v>9000</v>
      </c>
      <c r="D66" s="204">
        <f t="shared" ref="D66:D71" si="2">IF(C66-B66&lt;0,0,C66-B66)</f>
        <v>4589.4799999999996</v>
      </c>
      <c r="E66" s="204">
        <f t="shared" ref="E66:E71" si="3">IF(C66-B66&lt;0,(C66-B66)*-1,0)</f>
        <v>0</v>
      </c>
      <c r="I66" s="204">
        <f>_xlfn.XLOOKUP(H66,Dropdown!B:B,Dropdown!C:C)</f>
        <v>0</v>
      </c>
    </row>
    <row r="67" spans="1:10">
      <c r="A67" s="227" t="s">
        <v>424</v>
      </c>
      <c r="B67" s="136">
        <f>SUMIF(I:I,A67,G:G)</f>
        <v>1784.75</v>
      </c>
      <c r="C67" s="204">
        <f>'ממוצע ורצוי'!$N$54</f>
        <v>3240</v>
      </c>
      <c r="D67" s="204">
        <f t="shared" si="2"/>
        <v>1455.25</v>
      </c>
      <c r="E67" s="204">
        <f t="shared" si="3"/>
        <v>0</v>
      </c>
      <c r="G67" s="250"/>
      <c r="I67" s="204">
        <f>_xlfn.XLOOKUP(H67,Dropdown!B:B,Dropdown!C:C)</f>
        <v>0</v>
      </c>
    </row>
    <row r="68" spans="1:10">
      <c r="A68" s="227" t="s">
        <v>423</v>
      </c>
      <c r="B68" s="136">
        <f>SUMIF(I:I,A68,G:G)</f>
        <v>3257.7200000000003</v>
      </c>
      <c r="C68" s="204">
        <f>'ממוצע ורצוי'!$N$71</f>
        <v>4900</v>
      </c>
      <c r="D68" s="204">
        <f t="shared" si="2"/>
        <v>1642.2799999999997</v>
      </c>
      <c r="E68" s="204">
        <f t="shared" si="3"/>
        <v>0</v>
      </c>
      <c r="G68" s="250"/>
      <c r="I68" s="204">
        <f>_xlfn.XLOOKUP(H68,Dropdown!B:B,Dropdown!C:C)</f>
        <v>0</v>
      </c>
    </row>
    <row r="69" spans="1:10">
      <c r="A69" s="252" t="s">
        <v>422</v>
      </c>
      <c r="B69" s="136">
        <f>SUMIF(I:I,A69,G:G)</f>
        <v>3686.8599999999997</v>
      </c>
      <c r="C69" s="204">
        <f>'ממוצע ורצוי'!$N$88</f>
        <v>2600</v>
      </c>
      <c r="D69" s="204">
        <f t="shared" si="2"/>
        <v>0</v>
      </c>
      <c r="E69" s="204">
        <f t="shared" si="3"/>
        <v>1086.8599999999997</v>
      </c>
      <c r="G69" s="250">
        <v>1000</v>
      </c>
      <c r="H69" s="204" t="s">
        <v>91</v>
      </c>
      <c r="I69" s="204" t="str">
        <f>_xlfn.XLOOKUP(H69,Dropdown!B:B,Dropdown!C:C)</f>
        <v>מזון וקניות</v>
      </c>
      <c r="J69" s="204" t="s">
        <v>165</v>
      </c>
    </row>
    <row r="70" spans="1:10">
      <c r="A70" s="227" t="s">
        <v>421</v>
      </c>
      <c r="B70" s="136">
        <f>SUMIF(I:I,A70,G:G)</f>
        <v>1402</v>
      </c>
      <c r="C70" s="204">
        <f>'ממוצע ורצוי'!$N$98</f>
        <v>980</v>
      </c>
      <c r="D70" s="204">
        <f t="shared" si="2"/>
        <v>0</v>
      </c>
      <c r="E70" s="204">
        <f t="shared" si="3"/>
        <v>422</v>
      </c>
      <c r="G70" s="250"/>
      <c r="I70" s="204">
        <f>_xlfn.XLOOKUP(H70,Dropdown!B:B,Dropdown!C:C)</f>
        <v>0</v>
      </c>
    </row>
    <row r="71" spans="1:10">
      <c r="A71" s="227" t="s">
        <v>420</v>
      </c>
      <c r="B71" s="136">
        <f ca="1">SUMIF(I:I,A71,G:G)</f>
        <v>1475</v>
      </c>
      <c r="C71" s="204">
        <f>'ממוצע ורצוי'!$N$111</f>
        <v>1330</v>
      </c>
      <c r="D71" s="204">
        <f t="shared" ca="1" si="2"/>
        <v>0</v>
      </c>
      <c r="E71" s="204">
        <f t="shared" ca="1" si="3"/>
        <v>145</v>
      </c>
      <c r="G71" s="250"/>
      <c r="I71" s="204">
        <f>_xlfn.XLOOKUP(H71,Dropdown!B:B,Dropdown!C:C)</f>
        <v>0</v>
      </c>
    </row>
    <row r="72" spans="1:10">
      <c r="A72" s="227"/>
      <c r="B72" s="136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/>
      <c r="I74" s="204">
        <f>_xlfn.XLOOKUP(H74,Dropdown!B:B,Dropdown!C:C)</f>
        <v>0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>
        <v>1000</v>
      </c>
      <c r="H81" s="204" t="s">
        <v>91</v>
      </c>
      <c r="I81" s="204" t="str">
        <f>_xlfn.XLOOKUP(H81,Dropdown!B:B,Dropdown!C:C)</f>
        <v>מזון וקניות</v>
      </c>
      <c r="J81" s="204" t="s">
        <v>166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/>
      <c r="I86" s="204">
        <f>_xlfn.XLOOKUP(H86,Dropdown!B:B,Dropdown!C:C)</f>
        <v>0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>
        <v>1000</v>
      </c>
      <c r="H93" s="204" t="s">
        <v>91</v>
      </c>
      <c r="I93" s="204" t="str">
        <f>_xlfn.XLOOKUP(H93,Dropdown!B:B,Dropdown!C:C)</f>
        <v>מזון וקניות</v>
      </c>
      <c r="J93" s="204" t="s">
        <v>166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/>
      <c r="I100" s="204">
        <f>_xlfn.XLOOKUP(H100,Dropdown!B:B,Dropdown!C:C)</f>
        <v>0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>
        <v>1000</v>
      </c>
      <c r="H107" s="204" t="s">
        <v>91</v>
      </c>
      <c r="I107" s="204" t="str">
        <f>_xlfn.XLOOKUP(H107,Dropdown!B:B,Dropdown!C:C)</f>
        <v>מזון וקניות</v>
      </c>
      <c r="J107" s="204" t="s">
        <v>166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  <c r="I217" s="204">
        <f>_xlfn.XLOOKUP(H217,Dropdown!B:B,Dropdown!C:C)</f>
        <v>0</v>
      </c>
    </row>
    <row r="218" spans="7:9">
      <c r="G218" s="250"/>
      <c r="I218" s="204">
        <f>_xlfn.XLOOKUP(H218,Dropdown!B:B,Dropdown!C:C)</f>
        <v>0</v>
      </c>
    </row>
    <row r="219" spans="7:9">
      <c r="G219" s="250"/>
      <c r="I219" s="204">
        <f>_xlfn.XLOOKUP(H219,Dropdown!B:B,Dropdown!C:C)</f>
        <v>0</v>
      </c>
    </row>
    <row r="220" spans="7:9">
      <c r="G220" s="250"/>
      <c r="I220" s="204">
        <f>_xlfn.XLOOKUP(H220,Dropdown!B:B,Dropdown!C:C)</f>
        <v>0</v>
      </c>
    </row>
    <row r="221" spans="7:9">
      <c r="G221" s="250"/>
      <c r="I221" s="204">
        <f>_xlfn.XLOOKUP(H221,Dropdown!B:B,Dropdown!C:C)</f>
        <v>0</v>
      </c>
    </row>
    <row r="222" spans="7:9">
      <c r="G222" s="250"/>
      <c r="I222" s="204">
        <f>_xlfn.XLOOKUP(H222,Dropdown!B:B,Dropdown!C:C)</f>
        <v>0</v>
      </c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  <row r="262" spans="7:7">
      <c r="G262" s="250"/>
    </row>
    <row r="263" spans="7:7">
      <c r="G263" s="250"/>
    </row>
    <row r="264" spans="7:7">
      <c r="G264" s="250"/>
    </row>
    <row r="265" spans="7:7">
      <c r="G265" s="250"/>
    </row>
    <row r="266" spans="7:7">
      <c r="G266" s="250"/>
    </row>
  </sheetData>
  <sheetProtection selectLockedCells="1" selectUnlockedCells="1"/>
  <autoFilter ref="F1:N459" xr:uid="{00000000-0009-0000-0000-000009000000}"/>
  <sortState xmlns:xlrd2="http://schemas.microsoft.com/office/spreadsheetml/2017/richdata2" ref="F63:N204">
    <sortCondition ref="F63:F204"/>
  </sortState>
  <mergeCells count="8">
    <mergeCell ref="A35:A38"/>
    <mergeCell ref="A2:A6"/>
    <mergeCell ref="A9:A10"/>
    <mergeCell ref="A11:A13"/>
    <mergeCell ref="A20:A23"/>
    <mergeCell ref="A31:A32"/>
    <mergeCell ref="A7:A8"/>
    <mergeCell ref="A28:A29"/>
  </mergeCells>
  <conditionalFormatting sqref="C2">
    <cfRule type="duplicateValues" dxfId="104" priority="1" stopIfTrue="1"/>
  </conditionalFormatting>
  <conditionalFormatting sqref="Q6:AV13">
    <cfRule type="cellIs" dxfId="103" priority="2" operator="greaterThan">
      <formula>0</formula>
    </cfRule>
  </conditionalFormatting>
  <conditionalFormatting sqref="Q19:AV37">
    <cfRule type="cellIs" dxfId="102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63:J174 J3:J51 J53:J61" xr:uid="{EF8CDFD6-E3BC-46DE-95F8-463B3D37ABC3}">
      <formula1>סוג_תשלום</formula1>
    </dataValidation>
    <dataValidation type="list" errorStyle="warning" allowBlank="1" showInputMessage="1" showErrorMessage="1" errorTitle="חסרה קטגוריה" sqref="H63:H174 H3:H51 H53:H61" xr:uid="{DE7E4E5C-7F25-4366-B0EA-01DFA257FF82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ignoredErrors>
    <ignoredError sqref="B1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8047D5-823B-414A-A886-081323088BD2}">
          <x14:formula1>
            <xm:f>Dropdown!$D$2:$D$9</xm:f>
          </x14:formula1>
          <xm:sqref>P18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W263"/>
  <sheetViews>
    <sheetView rightToLeft="1" topLeftCell="B1" zoomScale="85" zoomScaleNormal="85" workbookViewId="0">
      <pane ySplit="1" topLeftCell="A14" activePane="bottomLeft" state="frozen"/>
      <selection activeCell="F21" sqref="F21"/>
      <selection pane="bottomLef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19.7109375" style="204" bestFit="1" customWidth="1"/>
    <col min="17" max="17" width="6.5703125" style="204" bestFit="1" customWidth="1"/>
    <col min="18" max="18" width="2.140625" style="204" bestFit="1" customWidth="1"/>
    <col min="19" max="20" width="3.28515625" style="204" bestFit="1" customWidth="1"/>
    <col min="21" max="21" width="4.28515625" style="204" bestFit="1" customWidth="1"/>
    <col min="22" max="22" width="5.42578125" style="204" bestFit="1" customWidth="1"/>
    <col min="23" max="23" width="4.28515625" style="204" bestFit="1" customWidth="1"/>
    <col min="24" max="24" width="3.28515625" style="204" bestFit="1" customWidth="1"/>
    <col min="25" max="28" width="4.28515625" style="204" bestFit="1" customWidth="1"/>
    <col min="29" max="29" width="5.42578125" style="204" bestFit="1" customWidth="1"/>
    <col min="30" max="30" width="4.28515625" style="204" bestFit="1" customWidth="1"/>
    <col min="31" max="31" width="3.28515625" style="204" bestFit="1" customWidth="1"/>
    <col min="32" max="36" width="4.28515625" style="204" bestFit="1" customWidth="1"/>
    <col min="37" max="37" width="4.85546875" style="204" bestFit="1" customWidth="1"/>
    <col min="38" max="38" width="4.28515625" style="204" bestFit="1" customWidth="1"/>
    <col min="39" max="39" width="3.28515625" style="204" bestFit="1" customWidth="1"/>
    <col min="40" max="40" width="4.28515625" style="204" bestFit="1" customWidth="1"/>
    <col min="41" max="42" width="4.85546875" style="204" bestFit="1" customWidth="1"/>
    <col min="43" max="45" width="4.28515625" style="204" bestFit="1" customWidth="1"/>
    <col min="46" max="46" width="5.42578125" style="204" bestFit="1" customWidth="1"/>
    <col min="47" max="47" width="4.28515625" style="204" bestFit="1" customWidth="1"/>
    <col min="48" max="48" width="3.285156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 t="s">
        <v>267</v>
      </c>
      <c r="B1" s="214" t="s">
        <v>208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10218.630000000001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34498.620000000003</v>
      </c>
      <c r="G4" s="279">
        <v>400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650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16253.96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16253.96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4110.5200000000004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1184.75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1184.75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3257.7200000000003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3257.7200000000003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2580.6099999999997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2580.6099999999997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35745.770000000004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35745.770000000004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27154.83</v>
      </c>
      <c r="D18" s="259">
        <f ca="1">SUM(D2:D17)</f>
        <v>54840.39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423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1">_xlfn._xlws.FILTER(Dropdown!$B:$B,Dropdown!$C:$C = $P$18)</f>
        <v>גנים</v>
      </c>
      <c r="Q19" s="297">
        <f t="shared" ref="Q19:Q37" si="5">SUMIFS($G:$G,$H:$H,$P19,$F:$F,"")</f>
        <v>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בתי ספר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אוניברסיטה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ספרים ועזרי לימוד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שיעורים פרטיים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תחבורה ונסיעות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חוגים וקייטנות</v>
      </c>
      <c r="Q25" s="297">
        <f t="shared" si="5"/>
        <v>3257.7200000000003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3257.7200000000003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מטפלת / שמרטף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צעצועים ומתנות</v>
      </c>
      <c r="Q27" s="297">
        <f t="shared" si="5"/>
        <v>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0</v>
      </c>
    </row>
    <row r="28" spans="1:49">
      <c r="A28" s="467" t="s">
        <v>28</v>
      </c>
      <c r="B28" s="239" t="s">
        <v>29</v>
      </c>
      <c r="C28" s="239">
        <f ca="1">'5'!C29</f>
        <v>358473.58999999997</v>
      </c>
      <c r="D28" s="240">
        <f ca="1">'5'!D29</f>
        <v>-31216.770000000004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מוצרי תינוקות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360587.75999999995</v>
      </c>
      <c r="D29" s="242">
        <f ca="1">D28+D24-D18</f>
        <v>-86057.16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דמי כיס</v>
      </c>
      <c r="Q29" s="297">
        <f t="shared" si="5"/>
        <v>0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0</v>
      </c>
    </row>
    <row r="30" spans="1:49">
      <c r="A30" s="243" t="s">
        <v>31</v>
      </c>
      <c r="B30" s="204" t="s">
        <v>32</v>
      </c>
      <c r="C30" s="204">
        <f ca="1">SUM(Data!$B$2+C29)</f>
        <v>395587.75999999995</v>
      </c>
      <c r="D30" s="244">
        <f ca="1">SUM(Data!$B$3+D29)</f>
        <v>-76057.16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ריהוט ומצרכים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2614.1699999999837</v>
      </c>
      <c r="D31" s="244">
        <f ca="1">SUM(D29+D16-D28)</f>
        <v>-54840.39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אחר</v>
      </c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2114.1699999999983</v>
      </c>
      <c r="D32" s="246">
        <f ca="1">D24-D18</f>
        <v>-54840.39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'5'!D35-C35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38661.57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6353.08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15501.379999999997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100839.04999999999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f>1810/4</f>
        <v>452.5</v>
      </c>
      <c r="H53" s="204" t="s">
        <v>102</v>
      </c>
      <c r="I53" s="204" t="str">
        <f>_xlfn.XLOOKUP(H53,[2]Dropdown!B:B,[2]Dropdown!C:C)</f>
        <v>רכב ונסיעות</v>
      </c>
      <c r="J53" s="204" t="s">
        <v>399</v>
      </c>
      <c r="K53" s="227">
        <v>0</v>
      </c>
      <c r="L53" s="228" t="s">
        <v>620</v>
      </c>
      <c r="M53" s="228" t="s">
        <v>405</v>
      </c>
      <c r="N53" s="228"/>
    </row>
    <row r="54" spans="1:14">
      <c r="G54" s="204">
        <f>2929/4</f>
        <v>732.25</v>
      </c>
      <c r="H54" s="204" t="s">
        <v>102</v>
      </c>
      <c r="I54" s="204" t="str">
        <f>_xlfn.XLOOKUP(H54,[2]Dropdown!B:B,[2]Dropdown!C:C)</f>
        <v>רכב ונסיעות</v>
      </c>
      <c r="J54" s="204" t="s">
        <v>399</v>
      </c>
      <c r="K54" s="227">
        <v>0</v>
      </c>
      <c r="L54" s="228" t="s">
        <v>620</v>
      </c>
      <c r="M54" s="228" t="s">
        <v>405</v>
      </c>
      <c r="N54" s="228"/>
    </row>
    <row r="55" spans="1:14">
      <c r="G55" s="204">
        <v>2000</v>
      </c>
      <c r="H55" s="204" t="s">
        <v>374</v>
      </c>
      <c r="I55" s="204" t="str">
        <f>_xlfn.XLOOKUP(H55,[2]Dropdown!B:B,[2]Dropdown!C:C)</f>
        <v>תחזוקת דירה ותקשורת</v>
      </c>
      <c r="J55" s="204" t="s">
        <v>168</v>
      </c>
      <c r="K55" s="227">
        <v>7</v>
      </c>
      <c r="L55" s="253" t="s">
        <v>610</v>
      </c>
      <c r="M55" s="275" t="s">
        <v>609</v>
      </c>
    </row>
    <row r="56" spans="1:14">
      <c r="G56" s="204">
        <v>1501</v>
      </c>
      <c r="H56" s="204" t="s">
        <v>118</v>
      </c>
      <c r="I56" s="204" t="str">
        <f>_xlfn.XLOOKUP(H56,[2]Dropdown!B:B,[2]Dropdown!C:C)</f>
        <v>תרבות ופנאי</v>
      </c>
      <c r="J56" s="204" t="s">
        <v>400</v>
      </c>
      <c r="K56" s="227">
        <v>0</v>
      </c>
      <c r="L56" s="253" t="s">
        <v>612</v>
      </c>
      <c r="M56" s="275" t="s">
        <v>613</v>
      </c>
    </row>
    <row r="57" spans="1:14">
      <c r="G57" s="204">
        <v>1079.6099999999999</v>
      </c>
      <c r="H57" s="204" t="s">
        <v>118</v>
      </c>
      <c r="I57" s="204" t="str">
        <f>_xlfn.XLOOKUP(H57,Dropdown!B:B,Dropdown!C:C)</f>
        <v>תרבות ופנאי</v>
      </c>
      <c r="J57" s="204" t="s">
        <v>166</v>
      </c>
      <c r="K57" s="227">
        <v>0</v>
      </c>
      <c r="L57" s="253" t="s">
        <v>719</v>
      </c>
      <c r="M57" s="275" t="s">
        <v>724</v>
      </c>
    </row>
    <row r="58" spans="1:14" ht="13.5" thickBot="1">
      <c r="G58" s="204">
        <v>587.72</v>
      </c>
      <c r="H58" s="204" t="s">
        <v>111</v>
      </c>
      <c r="I58" s="204" t="str">
        <f>_xlfn.XLOOKUP(H58,Dropdown!B:B,Dropdown!C:C)</f>
        <v>ילדים וחינוך</v>
      </c>
      <c r="J58" s="204" t="s">
        <v>165</v>
      </c>
      <c r="K58" s="227">
        <v>1</v>
      </c>
      <c r="M58" s="275" t="s">
        <v>412</v>
      </c>
    </row>
    <row r="59" spans="1:14">
      <c r="F59" s="219" t="s">
        <v>287</v>
      </c>
      <c r="G59" s="225"/>
      <c r="H59" s="225"/>
      <c r="I59" s="225"/>
      <c r="J59" s="225"/>
      <c r="K59" s="225"/>
      <c r="L59" s="225"/>
      <c r="M59" s="274"/>
      <c r="N59" s="274"/>
    </row>
    <row r="60" spans="1:14">
      <c r="I60" s="204">
        <f>_xlfn.XLOOKUP(H60,Dropdown!B:B,Dropdown!C:C)</f>
        <v>0</v>
      </c>
    </row>
    <row r="61" spans="1:14">
      <c r="I61" s="204">
        <f>_xlfn.XLOOKUP(H61,Dropdown!B:B,Dropdown!C:C)</f>
        <v>0</v>
      </c>
    </row>
    <row r="62" spans="1:14">
      <c r="I62" s="204">
        <f>_xlfn.XLOOKUP(H62,Dropdown!B:B,Dropdown!C:C)</f>
        <v>0</v>
      </c>
    </row>
    <row r="63" spans="1:14">
      <c r="A63" s="204" t="s">
        <v>214</v>
      </c>
      <c r="B63" s="204" t="s">
        <v>204</v>
      </c>
      <c r="C63" s="204" t="s">
        <v>181</v>
      </c>
      <c r="D63" s="204" t="s">
        <v>182</v>
      </c>
      <c r="E63" s="204" t="s">
        <v>238</v>
      </c>
      <c r="I63" s="204">
        <f>_xlfn.XLOOKUP(H63,Dropdown!B:B,Dropdown!C:C)</f>
        <v>0</v>
      </c>
    </row>
    <row r="64" spans="1:14">
      <c r="A64" s="204" t="s">
        <v>426</v>
      </c>
      <c r="B64" s="204">
        <f>SUMIF(I:I,A64,G:G)-SUMIF(H:H,"הוצאות על הבנייה",G:G)</f>
        <v>16253.96</v>
      </c>
      <c r="C64" s="204">
        <f>'ממוצע ורצוי'!$N$22</f>
        <v>12822</v>
      </c>
      <c r="D64" s="204">
        <f>IF(C64-B64&lt;0,0,C64-B64)</f>
        <v>0</v>
      </c>
      <c r="E64" s="204">
        <f>IF(C64-B64&lt;0,(C64-B64)*-1,0)</f>
        <v>3431.9599999999991</v>
      </c>
      <c r="G64" s="250"/>
      <c r="I64" s="204">
        <f>_xlfn.XLOOKUP(H64,Dropdown!B:B,Dropdown!C:C)</f>
        <v>0</v>
      </c>
    </row>
    <row r="65" spans="1:10">
      <c r="A65" s="227" t="s">
        <v>425</v>
      </c>
      <c r="B65" s="251">
        <f t="shared" ref="B65:B70" si="13">SUMIF(I:I,A65,G:G)</f>
        <v>4110.5200000000004</v>
      </c>
      <c r="C65" s="204">
        <f>'ממוצע ורצוי'!$N$38</f>
        <v>9000</v>
      </c>
      <c r="D65" s="204">
        <f t="shared" ref="D65:D70" si="14">IF(C65-B65&lt;0,0,C65-B65)</f>
        <v>4889.4799999999996</v>
      </c>
      <c r="E65" s="204">
        <f t="shared" ref="E65:E70" si="15">IF(C65-B65&lt;0,(C65-B65)*-1,0)</f>
        <v>0</v>
      </c>
      <c r="G65" s="250"/>
      <c r="I65" s="204">
        <f>_xlfn.XLOOKUP(H65,Dropdown!B:B,Dropdown!C:C)</f>
        <v>0</v>
      </c>
    </row>
    <row r="66" spans="1:10">
      <c r="A66" s="227" t="s">
        <v>424</v>
      </c>
      <c r="B66" s="136">
        <f t="shared" si="13"/>
        <v>1184.75</v>
      </c>
      <c r="C66" s="204">
        <f>'ממוצע ורצוי'!$N$54</f>
        <v>3240</v>
      </c>
      <c r="D66" s="204">
        <f t="shared" si="14"/>
        <v>2055.25</v>
      </c>
      <c r="E66" s="204">
        <f t="shared" si="15"/>
        <v>0</v>
      </c>
      <c r="G66" s="250">
        <v>1000</v>
      </c>
      <c r="H66" s="204" t="s">
        <v>91</v>
      </c>
      <c r="I66" s="204" t="str">
        <f>_xlfn.XLOOKUP(H66,Dropdown!B:B,Dropdown!C:C)</f>
        <v>מזון וקניות</v>
      </c>
      <c r="J66" s="204" t="s">
        <v>165</v>
      </c>
    </row>
    <row r="67" spans="1:10">
      <c r="A67" s="227" t="s">
        <v>423</v>
      </c>
      <c r="B67" s="136">
        <f t="shared" si="13"/>
        <v>3257.7200000000003</v>
      </c>
      <c r="C67" s="204">
        <f>'ממוצע ורצוי'!$N$71</f>
        <v>4900</v>
      </c>
      <c r="D67" s="204">
        <f t="shared" si="14"/>
        <v>1642.2799999999997</v>
      </c>
      <c r="E67" s="204">
        <f t="shared" si="15"/>
        <v>0</v>
      </c>
      <c r="G67" s="250"/>
      <c r="I67" s="204">
        <f>_xlfn.XLOOKUP(H67,Dropdown!B:B,Dropdown!C:C)</f>
        <v>0</v>
      </c>
    </row>
    <row r="68" spans="1:10">
      <c r="A68" s="252" t="s">
        <v>422</v>
      </c>
      <c r="B68" s="136">
        <f t="shared" si="13"/>
        <v>2580.6099999999997</v>
      </c>
      <c r="C68" s="204">
        <f>'ממוצע ורצוי'!$N$88</f>
        <v>2600</v>
      </c>
      <c r="D68" s="204">
        <f t="shared" si="14"/>
        <v>19.390000000000327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27" t="s">
        <v>421</v>
      </c>
      <c r="B69" s="136">
        <f t="shared" si="13"/>
        <v>1402</v>
      </c>
      <c r="C69" s="204">
        <f>'ממוצע ורצוי'!$N$98</f>
        <v>980</v>
      </c>
      <c r="D69" s="204">
        <f t="shared" si="14"/>
        <v>0</v>
      </c>
      <c r="E69" s="204">
        <f t="shared" si="15"/>
        <v>422</v>
      </c>
      <c r="G69" s="250"/>
      <c r="I69" s="204">
        <f>_xlfn.XLOOKUP(H69,Dropdown!B:B,Dropdown!C:C)</f>
        <v>0</v>
      </c>
    </row>
    <row r="70" spans="1:10">
      <c r="A70" s="227" t="s">
        <v>420</v>
      </c>
      <c r="B70" s="136">
        <f t="shared" ca="1" si="13"/>
        <v>1475</v>
      </c>
      <c r="C70" s="204">
        <f>'ממוצע ורצוי'!$N$111</f>
        <v>1330</v>
      </c>
      <c r="D70" s="204">
        <f t="shared" ca="1" si="14"/>
        <v>0</v>
      </c>
      <c r="E70" s="204">
        <f t="shared" ca="1" si="15"/>
        <v>145</v>
      </c>
      <c r="G70" s="250"/>
      <c r="I70" s="204">
        <f>_xlfn.XLOOKUP(H70,Dropdown!B:B,Dropdown!C:C)</f>
        <v>0</v>
      </c>
    </row>
    <row r="71" spans="1:10">
      <c r="A71" s="227"/>
      <c r="B71" s="136"/>
      <c r="E71" s="204"/>
      <c r="G71" s="250"/>
      <c r="I71" s="204">
        <f>_xlfn.XLOOKUP(H71,Dropdown!B:B,Dropdown!C:C)</f>
        <v>0</v>
      </c>
    </row>
    <row r="72" spans="1:10">
      <c r="A72" s="227"/>
      <c r="B72" s="136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/>
      <c r="I74" s="204">
        <f>_xlfn.XLOOKUP(H74,Dropdown!B:B,Dropdown!C:C)</f>
        <v>0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>
        <v>1000</v>
      </c>
      <c r="H78" s="204" t="s">
        <v>91</v>
      </c>
      <c r="I78" s="204" t="str">
        <f>_xlfn.XLOOKUP(H78,Dropdown!B:B,Dropdown!C:C)</f>
        <v>מזון וקניות</v>
      </c>
      <c r="J78" s="204" t="s">
        <v>166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/>
      <c r="I86" s="204">
        <f>_xlfn.XLOOKUP(H86,Dropdown!B:B,Dropdown!C:C)</f>
        <v>0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>
        <v>1000</v>
      </c>
      <c r="H90" s="204" t="s">
        <v>91</v>
      </c>
      <c r="I90" s="204" t="str">
        <f>_xlfn.XLOOKUP(H90,Dropdown!B:B,Dropdown!C:C)</f>
        <v>מזון וקניות</v>
      </c>
      <c r="J90" s="204" t="s">
        <v>166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/>
      <c r="I100" s="204">
        <f>_xlfn.XLOOKUP(H100,Dropdown!B:B,Dropdown!C:C)</f>
        <v>0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>
        <v>1000</v>
      </c>
      <c r="H104" s="204" t="s">
        <v>91</v>
      </c>
      <c r="I104" s="204" t="str">
        <f>_xlfn.XLOOKUP(H104,Dropdown!B:B,Dropdown!C:C)</f>
        <v>מזון וקניות</v>
      </c>
      <c r="J104" s="204" t="s">
        <v>166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  <c r="I217" s="204">
        <f>_xlfn.XLOOKUP(H217,Dropdown!B:B,Dropdown!C:C)</f>
        <v>0</v>
      </c>
    </row>
    <row r="218" spans="7:9">
      <c r="G218" s="250"/>
      <c r="I218" s="204">
        <f>_xlfn.XLOOKUP(H218,Dropdown!B:B,Dropdown!C:C)</f>
        <v>0</v>
      </c>
    </row>
    <row r="219" spans="7:9">
      <c r="G219" s="250"/>
      <c r="I219" s="204">
        <f>_xlfn.XLOOKUP(H219,Dropdown!B:B,Dropdown!C:C)</f>
        <v>0</v>
      </c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  <row r="261" spans="7:7">
      <c r="G261" s="250"/>
    </row>
    <row r="262" spans="7:7">
      <c r="G262" s="250"/>
    </row>
    <row r="263" spans="7:7">
      <c r="G263" s="250"/>
    </row>
  </sheetData>
  <sheetProtection selectLockedCells="1" selectUnlockedCells="1"/>
  <autoFilter ref="F1:N453" xr:uid="{00000000-0009-0000-0000-00000A000000}"/>
  <sortState xmlns:xlrd2="http://schemas.microsoft.com/office/spreadsheetml/2017/richdata2" ref="F61:N166">
    <sortCondition ref="F61:F166"/>
  </sortState>
  <mergeCells count="8">
    <mergeCell ref="A35:A38"/>
    <mergeCell ref="A2:A6"/>
    <mergeCell ref="A9:A10"/>
    <mergeCell ref="A11:A13"/>
    <mergeCell ref="A20:A23"/>
    <mergeCell ref="A31:A32"/>
    <mergeCell ref="A7:A8"/>
    <mergeCell ref="A28:A29"/>
  </mergeCells>
  <conditionalFormatting sqref="C2">
    <cfRule type="duplicateValues" dxfId="101" priority="1" stopIfTrue="1"/>
  </conditionalFormatting>
  <conditionalFormatting sqref="Q6:AV13">
    <cfRule type="cellIs" dxfId="100" priority="2" operator="greaterThan">
      <formula>0</formula>
    </cfRule>
  </conditionalFormatting>
  <conditionalFormatting sqref="Q19:AV37">
    <cfRule type="cellIs" dxfId="99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60:J171 J3:J51 J53:J58" xr:uid="{3F8D0947-44D9-445D-B7F9-D9420B8C5E89}">
      <formula1>סוג_תשלום</formula1>
    </dataValidation>
    <dataValidation type="list" errorStyle="warning" allowBlank="1" showInputMessage="1" showErrorMessage="1" errorTitle="חסרה קטגוריה" sqref="H60:H171 H3:H51 H53:H58" xr:uid="{2CCD6F34-5B78-416A-9A0F-1E5B514DF2A7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23A0F3-2A01-4A22-8995-AFDA81774937}">
          <x14:formula1>
            <xm:f>Dropdown!$D$2:$D$9</xm:f>
          </x14:formula1>
          <xm:sqref>P18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:S32"/>
  <sheetViews>
    <sheetView rightToLeft="1" topLeftCell="A7" workbookViewId="0">
      <selection activeCell="D14" sqref="D14"/>
    </sheetView>
  </sheetViews>
  <sheetFormatPr defaultRowHeight="12.75"/>
  <cols>
    <col min="1" max="6" width="8.7109375" customWidth="1"/>
    <col min="7" max="7" width="10" bestFit="1" customWidth="1"/>
    <col min="8" max="10" width="8.7109375" customWidth="1"/>
    <col min="11" max="11" width="12" customWidth="1"/>
    <col min="12" max="13" width="8.7109375" customWidth="1"/>
    <col min="15" max="15" width="8.7109375" customWidth="1"/>
  </cols>
  <sheetData>
    <row r="1" spans="1:19">
      <c r="A1" s="469" t="s">
        <v>60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</row>
    <row r="2" spans="1:19">
      <c r="A2" s="7" t="s">
        <v>49</v>
      </c>
      <c r="B2" s="8" t="s">
        <v>4</v>
      </c>
      <c r="C2" s="8" t="s">
        <v>61</v>
      </c>
      <c r="D2" s="8" t="s">
        <v>64</v>
      </c>
      <c r="E2" s="8" t="s">
        <v>63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21</v>
      </c>
      <c r="M2" s="8" t="s">
        <v>23</v>
      </c>
      <c r="N2" s="8" t="s">
        <v>37</v>
      </c>
      <c r="O2" s="9" t="s">
        <v>12</v>
      </c>
      <c r="P2" s="10" t="s">
        <v>25</v>
      </c>
    </row>
    <row r="3" spans="1:19">
      <c r="A3" s="11">
        <v>2014</v>
      </c>
      <c r="B3" s="34">
        <v>1431.2133333333334</v>
      </c>
      <c r="C3" s="34">
        <v>2295.6333333333337</v>
      </c>
      <c r="D3" s="34">
        <v>1201.0666666666666</v>
      </c>
      <c r="E3" s="2"/>
      <c r="F3" s="35">
        <v>294.875</v>
      </c>
      <c r="G3" s="35">
        <v>850.96</v>
      </c>
      <c r="H3" s="35">
        <v>1925.0400000000002</v>
      </c>
      <c r="I3" s="35">
        <v>2225.2849999999999</v>
      </c>
      <c r="J3" s="35">
        <v>2435.2399999999998</v>
      </c>
      <c r="K3" s="35">
        <v>12683.619999999999</v>
      </c>
      <c r="L3" s="35">
        <v>57.75</v>
      </c>
      <c r="M3" s="35">
        <v>0</v>
      </c>
      <c r="N3" s="35">
        <v>25413.759999999998</v>
      </c>
      <c r="O3" s="35">
        <v>2729.8249999999998</v>
      </c>
      <c r="P3" s="36">
        <v>22799.215</v>
      </c>
    </row>
    <row r="4" spans="1:19">
      <c r="A4" s="14" t="s">
        <v>50</v>
      </c>
      <c r="B4" s="15">
        <f t="shared" ref="B4:O4" si="0">B3/$N$3</f>
        <v>5.6316473175686457E-2</v>
      </c>
      <c r="C4" s="15">
        <f t="shared" si="0"/>
        <v>9.0330330235798784E-2</v>
      </c>
      <c r="D4" s="15">
        <f t="shared" si="0"/>
        <v>4.7260486707463467E-2</v>
      </c>
      <c r="E4" s="15"/>
      <c r="F4" s="15">
        <f t="shared" si="0"/>
        <v>1.1602966267093104E-2</v>
      </c>
      <c r="G4" s="15">
        <f t="shared" si="0"/>
        <v>3.3484222720290113E-2</v>
      </c>
      <c r="H4" s="15">
        <f t="shared" si="0"/>
        <v>7.5747941272759342E-2</v>
      </c>
      <c r="I4" s="15">
        <f t="shared" si="0"/>
        <v>8.7562210393109879E-2</v>
      </c>
      <c r="J4" s="15">
        <f t="shared" si="0"/>
        <v>9.5823679770329143E-2</v>
      </c>
      <c r="K4" s="15">
        <f t="shared" si="0"/>
        <v>0.49908474779017348</v>
      </c>
      <c r="L4" s="15">
        <f t="shared" si="0"/>
        <v>2.2723910196680856E-3</v>
      </c>
      <c r="M4" s="15">
        <f t="shared" si="0"/>
        <v>0</v>
      </c>
      <c r="N4" s="15">
        <f t="shared" si="0"/>
        <v>1</v>
      </c>
      <c r="O4" s="15">
        <f t="shared" si="0"/>
        <v>0.1074152348963711</v>
      </c>
      <c r="P4" s="13"/>
    </row>
    <row r="5" spans="1:19">
      <c r="A5" s="16" t="s">
        <v>51</v>
      </c>
      <c r="B5" s="31">
        <f t="shared" ref="B5:O5" si="1">B3/$P$3</f>
        <v>6.2774675940962588E-2</v>
      </c>
      <c r="C5" s="31">
        <f t="shared" si="1"/>
        <v>0.10068913922401862</v>
      </c>
      <c r="D5" s="31">
        <f t="shared" si="1"/>
        <v>5.2680176342328744E-2</v>
      </c>
      <c r="E5" s="31"/>
      <c r="F5" s="31">
        <f t="shared" si="1"/>
        <v>1.2933559335266588E-2</v>
      </c>
      <c r="G5" s="31">
        <f t="shared" si="1"/>
        <v>3.7324092079486074E-2</v>
      </c>
      <c r="H5" s="31">
        <f t="shared" si="1"/>
        <v>8.4434486011908755E-2</v>
      </c>
      <c r="I5" s="31">
        <f t="shared" si="1"/>
        <v>9.760357977237373E-2</v>
      </c>
      <c r="J5" s="31">
        <f t="shared" si="1"/>
        <v>0.10681244946372057</v>
      </c>
      <c r="K5" s="31">
        <f t="shared" si="1"/>
        <v>0.55631827674768619</v>
      </c>
      <c r="L5" s="31">
        <f t="shared" si="1"/>
        <v>2.5329819469661567E-3</v>
      </c>
      <c r="M5" s="31">
        <f t="shared" si="1"/>
        <v>0</v>
      </c>
      <c r="N5" s="31">
        <f t="shared" si="1"/>
        <v>1.1146769746239069</v>
      </c>
      <c r="O5" s="31">
        <f t="shared" si="1"/>
        <v>0.11973328906280326</v>
      </c>
      <c r="P5" s="32"/>
    </row>
    <row r="6" spans="1:19">
      <c r="A6" s="470" t="s">
        <v>52</v>
      </c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</row>
    <row r="7" spans="1:19">
      <c r="A7" s="7" t="s">
        <v>49</v>
      </c>
      <c r="B7" s="8" t="s">
        <v>4</v>
      </c>
      <c r="C7" s="8" t="s">
        <v>61</v>
      </c>
      <c r="D7" s="8" t="s">
        <v>64</v>
      </c>
      <c r="E7" s="8" t="s">
        <v>63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21</v>
      </c>
      <c r="M7" s="8" t="s">
        <v>23</v>
      </c>
      <c r="N7" s="8" t="s">
        <v>37</v>
      </c>
      <c r="O7" s="9" t="s">
        <v>12</v>
      </c>
      <c r="P7" s="10" t="s">
        <v>25</v>
      </c>
    </row>
    <row r="8" spans="1:19">
      <c r="A8" s="18" t="s">
        <v>0</v>
      </c>
      <c r="B8" s="19" t="e">
        <f>'1'!#REF!</f>
        <v>#REF!</v>
      </c>
      <c r="C8" s="19" t="e">
        <f>'1'!#REF!</f>
        <v>#REF!</v>
      </c>
      <c r="D8" s="19" t="e">
        <f>'1'!#REF!</f>
        <v>#REF!</v>
      </c>
      <c r="E8" s="19" t="e">
        <f>'1'!#REF!</f>
        <v>#REF!</v>
      </c>
      <c r="F8" s="19" t="e">
        <f>'1'!#REF!</f>
        <v>#REF!</v>
      </c>
      <c r="G8" s="19" t="e">
        <f>'1'!#REF!</f>
        <v>#REF!</v>
      </c>
      <c r="H8" s="19" t="e">
        <f>'1'!#REF!</f>
        <v>#REF!</v>
      </c>
      <c r="I8" s="19" t="e">
        <f ca="1">'1'!#REF!-L8</f>
        <v>#REF!</v>
      </c>
      <c r="J8" s="19" t="e">
        <f>'1'!#REF!</f>
        <v>#REF!</v>
      </c>
      <c r="K8" s="19" t="e">
        <f>'1'!#REF!</f>
        <v>#REF!</v>
      </c>
      <c r="L8" s="19">
        <f ca="1">'1'!$C$9+'1'!$D$9+'1'!$C$12+'1'!$D$12</f>
        <v>41436.01</v>
      </c>
      <c r="M8" s="19">
        <f>'1'!C13+'1'!D13</f>
        <v>526716.13</v>
      </c>
      <c r="N8" s="19" t="e">
        <f>SUM(B8:M8)</f>
        <v>#REF!</v>
      </c>
      <c r="O8" s="19" t="e">
        <f>'1'!#REF!</f>
        <v>#REF!</v>
      </c>
      <c r="P8" s="19">
        <f ca="1">'1'!$C$26+'1'!$D$26</f>
        <v>82935.760000000009</v>
      </c>
      <c r="R8">
        <v>1382.1000000000001</v>
      </c>
      <c r="S8">
        <f>R8-140-80-100</f>
        <v>1062.1000000000001</v>
      </c>
    </row>
    <row r="9" spans="1:19">
      <c r="A9" s="18" t="s">
        <v>38</v>
      </c>
      <c r="B9" s="19" t="e">
        <f>'2'!#REF!</f>
        <v>#REF!</v>
      </c>
      <c r="C9" s="19" t="e">
        <f>'2'!#REF!</f>
        <v>#REF!</v>
      </c>
      <c r="D9" s="19" t="e">
        <f>'2'!#REF!</f>
        <v>#REF!</v>
      </c>
      <c r="E9" s="19" t="e">
        <f>'2'!#REF!</f>
        <v>#REF!</v>
      </c>
      <c r="F9" s="19" t="e">
        <f>'2'!#REF!</f>
        <v>#REF!</v>
      </c>
      <c r="G9" s="19" t="e">
        <f>'2'!#REF!</f>
        <v>#REF!</v>
      </c>
      <c r="H9" s="19" t="e">
        <f>'2'!#REF!</f>
        <v>#REF!</v>
      </c>
      <c r="I9" s="19" t="e">
        <f ca="1">'2'!#REF!-L9</f>
        <v>#REF!</v>
      </c>
      <c r="J9" s="19" t="e">
        <f>'2'!#REF!</f>
        <v>#REF!</v>
      </c>
      <c r="K9" s="19" t="e">
        <f>'2'!#REF!</f>
        <v>#REF!</v>
      </c>
      <c r="L9" s="19">
        <f ca="1">'2'!$C$9+'2'!$D$9+'2'!$C$12+'2'!$D$12</f>
        <v>17123.79</v>
      </c>
      <c r="M9" s="19">
        <f>'2'!C13+'2'!D13</f>
        <v>-118430</v>
      </c>
      <c r="N9" s="19" t="e">
        <f t="shared" ref="N9:N19" si="2">SUM(B9:M9)</f>
        <v>#REF!</v>
      </c>
      <c r="O9" s="19" t="e">
        <f>'2'!#REF!</f>
        <v>#REF!</v>
      </c>
      <c r="P9" s="19">
        <f ca="1">'2'!$C$26+'2'!$D$26</f>
        <v>65975.759999999995</v>
      </c>
      <c r="R9">
        <v>918.58999999999992</v>
      </c>
      <c r="S9">
        <f>R9-140-80-69</f>
        <v>629.58999999999992</v>
      </c>
    </row>
    <row r="10" spans="1:19">
      <c r="A10" s="18" t="s">
        <v>39</v>
      </c>
      <c r="B10" s="19" t="e">
        <f>'3'!#REF!</f>
        <v>#REF!</v>
      </c>
      <c r="C10" s="19" t="e">
        <f>'3'!#REF!</f>
        <v>#REF!</v>
      </c>
      <c r="D10" s="19" t="e">
        <f>'3'!#REF!</f>
        <v>#REF!</v>
      </c>
      <c r="E10" s="19" t="e">
        <f>'3'!#REF!</f>
        <v>#REF!</v>
      </c>
      <c r="F10" s="19" t="e">
        <f>'3'!#REF!</f>
        <v>#REF!</v>
      </c>
      <c r="G10" s="19" t="e">
        <f>'3'!#REF!</f>
        <v>#REF!</v>
      </c>
      <c r="H10" s="19" t="e">
        <f>'3'!#REF!</f>
        <v>#REF!</v>
      </c>
      <c r="I10" s="19" t="e">
        <f ca="1">'3'!#REF!-L10</f>
        <v>#REF!</v>
      </c>
      <c r="J10" s="19" t="e">
        <f>'3'!#REF!</f>
        <v>#REF!</v>
      </c>
      <c r="K10" s="19" t="e">
        <f>'3'!#REF!</f>
        <v>#REF!</v>
      </c>
      <c r="L10" s="19">
        <f ca="1">'3'!$C$9+'3'!$D$9+'3'!$C$12+'3'!$D$12</f>
        <v>19442.79</v>
      </c>
      <c r="M10" s="19">
        <f>'3'!C13+'3'!D13</f>
        <v>0</v>
      </c>
      <c r="N10" s="19" t="e">
        <f t="shared" si="2"/>
        <v>#REF!</v>
      </c>
      <c r="O10" s="19" t="e">
        <f>'3'!#REF!</f>
        <v>#REF!</v>
      </c>
      <c r="P10" s="19">
        <f ca="1">'3'!$C$26+'3'!$D$26</f>
        <v>101418.01999999999</v>
      </c>
      <c r="R10">
        <v>658</v>
      </c>
      <c r="S10">
        <f t="shared" ref="S10:S17" si="3">R10-140-80-100</f>
        <v>338</v>
      </c>
    </row>
    <row r="11" spans="1:19">
      <c r="A11" s="18" t="s">
        <v>40</v>
      </c>
      <c r="B11" s="19" t="e">
        <f>'4'!#REF!</f>
        <v>#REF!</v>
      </c>
      <c r="C11" s="19" t="e">
        <f>'4'!#REF!</f>
        <v>#REF!</v>
      </c>
      <c r="D11" s="19" t="e">
        <f>'4'!#REF!</f>
        <v>#REF!</v>
      </c>
      <c r="E11" s="19" t="e">
        <f>'4'!#REF!</f>
        <v>#REF!</v>
      </c>
      <c r="F11" s="19" t="e">
        <f>'4'!#REF!</f>
        <v>#REF!</v>
      </c>
      <c r="G11" s="19" t="e">
        <f>'4'!#REF!</f>
        <v>#REF!</v>
      </c>
      <c r="H11" s="19" t="e">
        <f>'4'!#REF!</f>
        <v>#REF!</v>
      </c>
      <c r="I11" s="19" t="e">
        <f ca="1">'4'!#REF!-L11</f>
        <v>#REF!</v>
      </c>
      <c r="J11" s="19" t="e">
        <f>'4'!#REF!</f>
        <v>#REF!</v>
      </c>
      <c r="K11" s="19" t="e">
        <f>'4'!#REF!</f>
        <v>#REF!</v>
      </c>
      <c r="L11" s="19">
        <f ca="1">'4'!$C$9+'4'!$D$9+'4'!$C$12+'4'!$D$12</f>
        <v>18222.79</v>
      </c>
      <c r="M11" s="19">
        <f>'4'!C13+'4'!D13</f>
        <v>-177945</v>
      </c>
      <c r="N11" s="19" t="e">
        <f t="shared" si="2"/>
        <v>#REF!</v>
      </c>
      <c r="O11" s="19" t="e">
        <f>'4'!#REF!</f>
        <v>#REF!</v>
      </c>
      <c r="P11" s="19">
        <f ca="1">'4'!$C$26+'4'!$D$26</f>
        <v>98333.95</v>
      </c>
      <c r="R11">
        <v>817.2</v>
      </c>
      <c r="S11">
        <f t="shared" si="3"/>
        <v>497.20000000000005</v>
      </c>
    </row>
    <row r="12" spans="1:19">
      <c r="A12" s="18" t="s">
        <v>41</v>
      </c>
      <c r="B12" s="19" t="e">
        <f>'5'!#REF!</f>
        <v>#REF!</v>
      </c>
      <c r="C12" s="19" t="e">
        <f>'5'!#REF!</f>
        <v>#REF!</v>
      </c>
      <c r="D12" s="19" t="e">
        <f>'5'!#REF!</f>
        <v>#REF!</v>
      </c>
      <c r="E12" s="19" t="e">
        <f>'5'!#REF!</f>
        <v>#REF!</v>
      </c>
      <c r="F12" s="19" t="e">
        <f>'5'!#REF!</f>
        <v>#REF!</v>
      </c>
      <c r="G12" s="19" t="e">
        <f>'5'!#REF!</f>
        <v>#REF!</v>
      </c>
      <c r="H12" s="19" t="e">
        <f>'5'!#REF!</f>
        <v>#REF!</v>
      </c>
      <c r="I12" s="19" t="e">
        <f ca="1">'5'!#REF!-L12</f>
        <v>#REF!</v>
      </c>
      <c r="J12" s="19" t="e">
        <f>'5'!#REF!</f>
        <v>#REF!</v>
      </c>
      <c r="K12" s="19" t="e">
        <f>'5'!#REF!</f>
        <v>#REF!</v>
      </c>
      <c r="L12" s="19">
        <f ca="1">'5'!$C$9+'5'!$D$9+'5'!$C$12+'5'!$D$12</f>
        <v>23532.17</v>
      </c>
      <c r="M12" s="19">
        <f>'5'!C13+'5'!D13</f>
        <v>0</v>
      </c>
      <c r="N12" s="19" t="e">
        <f t="shared" si="2"/>
        <v>#REF!</v>
      </c>
      <c r="O12" s="19" t="e">
        <f>'5'!#REF!</f>
        <v>#REF!</v>
      </c>
      <c r="P12" s="19">
        <f ca="1">'5'!$C$26+'5'!$D$26</f>
        <v>29269</v>
      </c>
      <c r="R12">
        <v>568.22</v>
      </c>
      <c r="S12">
        <f t="shared" si="3"/>
        <v>248.22000000000003</v>
      </c>
    </row>
    <row r="13" spans="1:19">
      <c r="A13" s="18" t="s">
        <v>42</v>
      </c>
      <c r="B13" s="19" t="e">
        <f>'6'!#REF!</f>
        <v>#REF!</v>
      </c>
      <c r="C13" s="19" t="e">
        <f>'6'!#REF!</f>
        <v>#REF!</v>
      </c>
      <c r="D13" s="19" t="e">
        <f>'6'!#REF!</f>
        <v>#REF!</v>
      </c>
      <c r="E13" s="19" t="e">
        <f>'6'!#REF!</f>
        <v>#REF!</v>
      </c>
      <c r="F13" s="19" t="e">
        <f>'6'!#REF!</f>
        <v>#REF!</v>
      </c>
      <c r="G13" s="19" t="e">
        <f>'6'!#REF!</f>
        <v>#REF!</v>
      </c>
      <c r="H13" s="19" t="e">
        <f>'6'!#REF!</f>
        <v>#REF!</v>
      </c>
      <c r="I13" s="19" t="e">
        <f ca="1">'6'!#REF!-L13</f>
        <v>#REF!</v>
      </c>
      <c r="J13" s="19" t="e">
        <f>'6'!#REF!</f>
        <v>#REF!</v>
      </c>
      <c r="K13" s="19" t="e">
        <f>'6'!#REF!</f>
        <v>#REF!</v>
      </c>
      <c r="L13" s="19">
        <f ca="1">'6'!$C$9+'6'!$D$9+'6'!$C$12+'6'!$D$12</f>
        <v>23532.17</v>
      </c>
      <c r="M13" s="19">
        <f ca="1">'6'!C18+'6'!D18</f>
        <v>81995.22</v>
      </c>
      <c r="N13" s="19" t="e">
        <f t="shared" si="2"/>
        <v>#REF!</v>
      </c>
      <c r="O13" s="19" t="e">
        <f>'6'!#REF!</f>
        <v>#REF!</v>
      </c>
      <c r="P13" s="19">
        <f ca="1">'6'!$C$26+'6'!$D$26</f>
        <v>29269</v>
      </c>
      <c r="R13">
        <v>534.87</v>
      </c>
      <c r="S13">
        <f t="shared" si="3"/>
        <v>214.87</v>
      </c>
    </row>
    <row r="14" spans="1:19">
      <c r="A14" s="18" t="s">
        <v>43</v>
      </c>
      <c r="B14" s="19" t="e">
        <f>'7'!#REF!</f>
        <v>#REF!</v>
      </c>
      <c r="C14" s="19" t="e">
        <f>'7'!#REF!</f>
        <v>#REF!</v>
      </c>
      <c r="D14" s="19" t="e">
        <f>'7'!#REF!</f>
        <v>#REF!</v>
      </c>
      <c r="E14" s="19" t="e">
        <f>'7'!#REF!</f>
        <v>#REF!</v>
      </c>
      <c r="F14" s="19" t="e">
        <f>'7'!#REF!</f>
        <v>#REF!</v>
      </c>
      <c r="G14" s="19" t="e">
        <f>'7'!#REF!</f>
        <v>#REF!</v>
      </c>
      <c r="H14" s="19" t="e">
        <f>'7'!#REF!</f>
        <v>#REF!</v>
      </c>
      <c r="I14" s="19" t="e">
        <f ca="1">'7'!#REF!-L14</f>
        <v>#REF!</v>
      </c>
      <c r="J14" s="19" t="e">
        <f>'7'!#REF!</f>
        <v>#REF!</v>
      </c>
      <c r="K14" s="19" t="e">
        <f>'7'!#REF!</f>
        <v>#REF!</v>
      </c>
      <c r="L14" s="19">
        <f ca="1">'7'!$C$9+'7'!$D$9+'7'!$C$12+'7'!$D$12</f>
        <v>23532.17</v>
      </c>
      <c r="M14" s="19">
        <f ca="1">'7'!C16+'7'!D16</f>
        <v>500</v>
      </c>
      <c r="N14" s="19" t="e">
        <f t="shared" si="2"/>
        <v>#REF!</v>
      </c>
      <c r="O14" s="19" t="e">
        <f>'7'!#REF!</f>
        <v>#REF!</v>
      </c>
      <c r="P14" s="19">
        <f ca="1">'7'!$C$26+'7'!$D$26</f>
        <v>29269</v>
      </c>
      <c r="R14">
        <v>586.31999999999994</v>
      </c>
      <c r="S14">
        <f t="shared" si="3"/>
        <v>266.31999999999994</v>
      </c>
    </row>
    <row r="15" spans="1:19">
      <c r="A15" s="18" t="s">
        <v>44</v>
      </c>
      <c r="B15" s="19" t="e">
        <f>'8'!#REF!</f>
        <v>#REF!</v>
      </c>
      <c r="C15" s="19" t="e">
        <f>'8'!#REF!</f>
        <v>#REF!</v>
      </c>
      <c r="D15" s="19" t="e">
        <f>'8'!#REF!</f>
        <v>#REF!</v>
      </c>
      <c r="E15" s="19" t="e">
        <f>'8'!#REF!</f>
        <v>#REF!</v>
      </c>
      <c r="F15" s="19" t="e">
        <f>'8'!#REF!</f>
        <v>#REF!</v>
      </c>
      <c r="G15" s="19" t="e">
        <f>'8'!#REF!</f>
        <v>#REF!</v>
      </c>
      <c r="H15" s="19" t="e">
        <f>'8'!#REF!</f>
        <v>#REF!</v>
      </c>
      <c r="I15" s="19" t="e">
        <f ca="1">'8'!#REF!-L15</f>
        <v>#REF!</v>
      </c>
      <c r="J15" s="19" t="e">
        <f>'8'!#REF!</f>
        <v>#REF!</v>
      </c>
      <c r="K15" s="19" t="e">
        <f>'8'!#REF!</f>
        <v>#REF!</v>
      </c>
      <c r="L15" s="19">
        <f ca="1">'8'!$C$11+'8'!$D$11+'8'!$C$15+'8'!$D$15</f>
        <v>10</v>
      </c>
      <c r="M15" s="19">
        <f ca="1">'8'!C18+'8'!D18</f>
        <v>77196.89</v>
      </c>
      <c r="N15" s="19" t="e">
        <f t="shared" si="2"/>
        <v>#REF!</v>
      </c>
      <c r="O15" s="19" t="e">
        <f>'8'!#REF!</f>
        <v>#REF!</v>
      </c>
      <c r="P15" s="19">
        <f ca="1">'8'!$C$26+'8'!$D$26</f>
        <v>29269</v>
      </c>
      <c r="R15">
        <v>759.6</v>
      </c>
      <c r="S15">
        <f t="shared" si="3"/>
        <v>439.6</v>
      </c>
    </row>
    <row r="16" spans="1:19">
      <c r="A16" s="18" t="s">
        <v>45</v>
      </c>
      <c r="B16" s="19" t="e">
        <f>'9'!#REF!</f>
        <v>#REF!</v>
      </c>
      <c r="C16" s="19" t="e">
        <f>'9'!#REF!</f>
        <v>#REF!</v>
      </c>
      <c r="D16" s="19" t="e">
        <f>'9'!#REF!</f>
        <v>#REF!</v>
      </c>
      <c r="E16" s="19" t="e">
        <f>'9'!#REF!</f>
        <v>#REF!</v>
      </c>
      <c r="F16" s="19" t="e">
        <f>'9'!#REF!</f>
        <v>#REF!</v>
      </c>
      <c r="G16" s="19" t="e">
        <f>'9'!#REF!</f>
        <v>#REF!</v>
      </c>
      <c r="H16" s="19" t="e">
        <f>'9'!#REF!</f>
        <v>#REF!</v>
      </c>
      <c r="I16" s="19" t="e">
        <f ca="1">'9'!#REF!-L16</f>
        <v>#REF!</v>
      </c>
      <c r="J16" s="19" t="e">
        <f>'9'!#REF!</f>
        <v>#REF!</v>
      </c>
      <c r="K16" s="19" t="e">
        <f>'9'!#REF!</f>
        <v>#REF!</v>
      </c>
      <c r="L16" s="19">
        <f ca="1">'9'!$C$11+'9'!$D$11+'9'!$C$14+'9'!$D$14</f>
        <v>10</v>
      </c>
      <c r="M16" s="19">
        <f ca="1">'9'!C16+'9'!D16</f>
        <v>500</v>
      </c>
      <c r="N16" s="19" t="e">
        <f t="shared" si="2"/>
        <v>#REF!</v>
      </c>
      <c r="O16" s="19" t="e">
        <f>'9'!#REF!</f>
        <v>#REF!</v>
      </c>
      <c r="P16" s="19">
        <f ca="1">'9'!$C$26+'9'!$D$26</f>
        <v>29269</v>
      </c>
      <c r="R16">
        <v>585.38</v>
      </c>
      <c r="S16">
        <f t="shared" si="3"/>
        <v>265.38</v>
      </c>
    </row>
    <row r="17" spans="1:19">
      <c r="A17" s="18" t="s">
        <v>46</v>
      </c>
      <c r="B17" s="19" t="e">
        <f>'10'!#REF!</f>
        <v>#REF!</v>
      </c>
      <c r="C17" s="19" t="e">
        <f>'10'!#REF!</f>
        <v>#REF!</v>
      </c>
      <c r="D17" s="19" t="e">
        <f>'10'!#REF!</f>
        <v>#REF!</v>
      </c>
      <c r="E17" s="19" t="e">
        <f>'10'!#REF!</f>
        <v>#REF!</v>
      </c>
      <c r="F17" s="19" t="e">
        <f>'10'!#REF!</f>
        <v>#REF!</v>
      </c>
      <c r="G17" s="19" t="e">
        <f>'10'!#REF!</f>
        <v>#REF!</v>
      </c>
      <c r="H17" s="19" t="e">
        <f>'10'!#REF!</f>
        <v>#REF!</v>
      </c>
      <c r="I17" s="19" t="e">
        <f ca="1">'10'!#REF!-L17</f>
        <v>#REF!</v>
      </c>
      <c r="J17" s="19" t="e">
        <f>'10'!#REF!</f>
        <v>#REF!</v>
      </c>
      <c r="K17" s="19" t="e">
        <f>'10'!#REF!</f>
        <v>#REF!</v>
      </c>
      <c r="L17" s="19">
        <f ca="1">'10'!$C$11+'10'!$D$11+'10'!$C$14+'10'!$D$14</f>
        <v>10</v>
      </c>
      <c r="M17" s="19">
        <f ca="1">'10'!C16+'10'!D16</f>
        <v>500</v>
      </c>
      <c r="N17" s="19" t="e">
        <f t="shared" si="2"/>
        <v>#REF!</v>
      </c>
      <c r="O17" s="19" t="e">
        <f>'10'!#REF!</f>
        <v>#REF!</v>
      </c>
      <c r="P17" s="19">
        <f ca="1">'10'!$C$26+'10'!$D$26</f>
        <v>29269</v>
      </c>
      <c r="R17">
        <v>514.6</v>
      </c>
      <c r="S17">
        <f t="shared" si="3"/>
        <v>194.60000000000002</v>
      </c>
    </row>
    <row r="18" spans="1:19">
      <c r="A18" s="18" t="s">
        <v>47</v>
      </c>
      <c r="B18" s="19" t="e">
        <f>'11'!#REF!</f>
        <v>#REF!</v>
      </c>
      <c r="C18" s="19" t="e">
        <f>'11'!#REF!</f>
        <v>#REF!</v>
      </c>
      <c r="D18" s="19" t="e">
        <f>'11'!#REF!</f>
        <v>#REF!</v>
      </c>
      <c r="E18" s="19" t="e">
        <f>'11'!#REF!</f>
        <v>#REF!</v>
      </c>
      <c r="F18" s="19" t="e">
        <f>'11'!#REF!</f>
        <v>#REF!</v>
      </c>
      <c r="G18" s="19" t="e">
        <f>'11'!#REF!</f>
        <v>#REF!</v>
      </c>
      <c r="H18" s="19" t="e">
        <f>'11'!#REF!</f>
        <v>#REF!</v>
      </c>
      <c r="I18" s="19" t="e">
        <f ca="1">'11'!#REF!-L18</f>
        <v>#REF!</v>
      </c>
      <c r="J18" s="19" t="e">
        <f>'11'!#REF!</f>
        <v>#REF!</v>
      </c>
      <c r="K18" s="19" t="e">
        <f>'11'!#REF!</f>
        <v>#REF!</v>
      </c>
      <c r="L18" s="19">
        <f ca="1">'11'!$C$11+'11'!$D$11+'11'!$C$14+'11'!$D$14</f>
        <v>10</v>
      </c>
      <c r="M18" s="19">
        <f ca="1">'11'!C16+'11'!D16</f>
        <v>500</v>
      </c>
      <c r="N18" s="19" t="e">
        <f t="shared" si="2"/>
        <v>#REF!</v>
      </c>
      <c r="O18" s="19" t="e">
        <f>'11'!#REF!</f>
        <v>#REF!</v>
      </c>
      <c r="P18" s="19">
        <f ca="1">'11'!$C$26+'11'!$D$26</f>
        <v>29269</v>
      </c>
    </row>
    <row r="19" spans="1:19">
      <c r="A19" s="18" t="s">
        <v>48</v>
      </c>
      <c r="B19" s="19" t="e">
        <f>'12'!#REF!</f>
        <v>#REF!</v>
      </c>
      <c r="C19" s="19" t="e">
        <f>'12'!#REF!</f>
        <v>#REF!</v>
      </c>
      <c r="D19" s="19" t="e">
        <f>'12'!#REF!</f>
        <v>#REF!</v>
      </c>
      <c r="E19" s="19" t="e">
        <f>'12'!#REF!</f>
        <v>#REF!</v>
      </c>
      <c r="F19" s="19" t="e">
        <f>'12'!#REF!</f>
        <v>#REF!</v>
      </c>
      <c r="G19" s="19" t="e">
        <f>'12'!#REF!</f>
        <v>#REF!</v>
      </c>
      <c r="H19" s="19" t="e">
        <f>'12'!#REF!</f>
        <v>#REF!</v>
      </c>
      <c r="I19" s="19" t="e">
        <f ca="1">'12'!#REF!-L19</f>
        <v>#REF!</v>
      </c>
      <c r="J19" s="19" t="e">
        <f>'12'!#REF!</f>
        <v>#REF!</v>
      </c>
      <c r="K19" s="19" t="e">
        <f>'12'!#REF!</f>
        <v>#REF!</v>
      </c>
      <c r="L19" s="19">
        <f ca="1">'12'!$C$11+'12'!$D$11+'12'!$C$14+'12'!$D$14</f>
        <v>10</v>
      </c>
      <c r="M19" s="19">
        <f ca="1">'12'!C16+'12'!D16</f>
        <v>500</v>
      </c>
      <c r="N19" s="19" t="e">
        <f t="shared" si="2"/>
        <v>#REF!</v>
      </c>
      <c r="O19" s="19" t="e">
        <f>'12'!#REF!</f>
        <v>#REF!</v>
      </c>
      <c r="P19" s="19">
        <f ca="1">'12'!$C$26+'12'!$D$26</f>
        <v>29269</v>
      </c>
    </row>
    <row r="20" spans="1:19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10"/>
    </row>
    <row r="21" spans="1:19">
      <c r="A21" s="18" t="s">
        <v>53</v>
      </c>
      <c r="B21" s="19" t="e">
        <f>AVERAGE(B8:B10)</f>
        <v>#REF!</v>
      </c>
      <c r="C21" s="19" t="e">
        <f t="shared" ref="C21:P21" si="4">AVERAGE(C8:C10)</f>
        <v>#REF!</v>
      </c>
      <c r="D21" s="19" t="e">
        <f t="shared" si="4"/>
        <v>#REF!</v>
      </c>
      <c r="E21" s="19" t="e">
        <f t="shared" si="4"/>
        <v>#REF!</v>
      </c>
      <c r="F21" s="19" t="e">
        <f t="shared" si="4"/>
        <v>#REF!</v>
      </c>
      <c r="G21" s="19" t="e">
        <f t="shared" si="4"/>
        <v>#REF!</v>
      </c>
      <c r="H21" s="19" t="e">
        <f t="shared" si="4"/>
        <v>#REF!</v>
      </c>
      <c r="I21" s="19" t="e">
        <f t="shared" ca="1" si="4"/>
        <v>#REF!</v>
      </c>
      <c r="J21" s="19" t="e">
        <f t="shared" si="4"/>
        <v>#REF!</v>
      </c>
      <c r="K21" s="19" t="e">
        <f t="shared" si="4"/>
        <v>#REF!</v>
      </c>
      <c r="L21" s="19">
        <f t="shared" ca="1" si="4"/>
        <v>26000.863333333331</v>
      </c>
      <c r="M21" s="19">
        <f t="shared" si="4"/>
        <v>136095.37666666668</v>
      </c>
      <c r="N21" s="19" t="e">
        <f t="shared" si="4"/>
        <v>#REF!</v>
      </c>
      <c r="O21" s="19" t="e">
        <f t="shared" si="4"/>
        <v>#REF!</v>
      </c>
      <c r="P21" s="19">
        <f t="shared" ca="1" si="4"/>
        <v>83443.180000000008</v>
      </c>
    </row>
    <row r="22" spans="1:19">
      <c r="A22" s="14" t="s">
        <v>50</v>
      </c>
      <c r="B22" s="20" t="e">
        <f>B21/$N$21</f>
        <v>#REF!</v>
      </c>
      <c r="C22" s="20" t="e">
        <f t="shared" ref="C22:L22" si="5">C21/$N$21</f>
        <v>#REF!</v>
      </c>
      <c r="D22" s="20" t="e">
        <f t="shared" si="5"/>
        <v>#REF!</v>
      </c>
      <c r="E22" s="20" t="e">
        <f>E21/$N$21</f>
        <v>#REF!</v>
      </c>
      <c r="F22" s="20" t="e">
        <f t="shared" si="5"/>
        <v>#REF!</v>
      </c>
      <c r="G22" s="20" t="e">
        <f t="shared" si="5"/>
        <v>#REF!</v>
      </c>
      <c r="H22" s="20" t="e">
        <f t="shared" si="5"/>
        <v>#REF!</v>
      </c>
      <c r="I22" s="20" t="e">
        <f t="shared" ca="1" si="5"/>
        <v>#REF!</v>
      </c>
      <c r="J22" s="20" t="e">
        <f t="shared" si="5"/>
        <v>#REF!</v>
      </c>
      <c r="K22" s="20" t="e">
        <f t="shared" si="5"/>
        <v>#REF!</v>
      </c>
      <c r="L22" s="20" t="e">
        <f t="shared" ca="1" si="5"/>
        <v>#REF!</v>
      </c>
      <c r="M22" s="20" t="e">
        <f>M21/$N$21</f>
        <v>#REF!</v>
      </c>
      <c r="N22" s="20" t="e">
        <f>SUM(B22:M22)</f>
        <v>#REF!</v>
      </c>
      <c r="O22" s="20" t="e">
        <f>O21/$N$21</f>
        <v>#REF!</v>
      </c>
      <c r="P22" s="3"/>
    </row>
    <row r="23" spans="1:19" ht="13.5" thickBot="1">
      <c r="A23" s="16" t="s">
        <v>51</v>
      </c>
      <c r="B23" s="33" t="e">
        <f ca="1">B21/$P$21</f>
        <v>#REF!</v>
      </c>
      <c r="C23" s="21" t="e">
        <f t="shared" ref="C23:L23" ca="1" si="6">C21/$P$21</f>
        <v>#REF!</v>
      </c>
      <c r="D23" s="21" t="e">
        <f t="shared" ca="1" si="6"/>
        <v>#REF!</v>
      </c>
      <c r="E23" s="21" t="e">
        <f ca="1">E21/$P$21</f>
        <v>#REF!</v>
      </c>
      <c r="F23" s="21" t="e">
        <f t="shared" ca="1" si="6"/>
        <v>#REF!</v>
      </c>
      <c r="G23" s="21" t="e">
        <f t="shared" ca="1" si="6"/>
        <v>#REF!</v>
      </c>
      <c r="H23" s="21" t="e">
        <f t="shared" ca="1" si="6"/>
        <v>#REF!</v>
      </c>
      <c r="I23" s="21" t="e">
        <f t="shared" ca="1" si="6"/>
        <v>#REF!</v>
      </c>
      <c r="J23" s="21" t="e">
        <f t="shared" ca="1" si="6"/>
        <v>#REF!</v>
      </c>
      <c r="K23" s="21" t="e">
        <f t="shared" ca="1" si="6"/>
        <v>#REF!</v>
      </c>
      <c r="L23" s="21">
        <f t="shared" ca="1" si="6"/>
        <v>0.31159962184247209</v>
      </c>
      <c r="M23" s="21">
        <f ca="1">M21/$P$21</f>
        <v>1.6309946081473246</v>
      </c>
      <c r="N23" s="21" t="e">
        <f ca="1">SUM(B23:M23)</f>
        <v>#REF!</v>
      </c>
      <c r="O23" s="21" t="e">
        <f ca="1">O21/$P$21</f>
        <v>#REF!</v>
      </c>
      <c r="P23" s="4"/>
    </row>
    <row r="24" spans="1:19">
      <c r="A24" s="471" t="s">
        <v>54</v>
      </c>
      <c r="B24" s="470"/>
      <c r="C24" s="471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</row>
    <row r="25" spans="1:19">
      <c r="A25" s="7" t="s">
        <v>49</v>
      </c>
      <c r="B25" s="8" t="s">
        <v>4</v>
      </c>
      <c r="C25" s="8" t="s">
        <v>61</v>
      </c>
      <c r="D25" s="8" t="s">
        <v>64</v>
      </c>
      <c r="E25" s="8" t="s">
        <v>63</v>
      </c>
      <c r="F25" s="8" t="s">
        <v>5</v>
      </c>
      <c r="G25" s="8" t="s">
        <v>6</v>
      </c>
      <c r="H25" s="8" t="s">
        <v>7</v>
      </c>
      <c r="I25" s="8" t="s">
        <v>8</v>
      </c>
      <c r="J25" s="8" t="s">
        <v>9</v>
      </c>
      <c r="K25" s="8" t="s">
        <v>10</v>
      </c>
      <c r="L25" s="8" t="s">
        <v>21</v>
      </c>
      <c r="M25" s="8" t="s">
        <v>23</v>
      </c>
      <c r="N25" s="8" t="s">
        <v>37</v>
      </c>
      <c r="O25" s="9" t="s">
        <v>12</v>
      </c>
      <c r="P25" s="10" t="s">
        <v>25</v>
      </c>
    </row>
    <row r="26" spans="1:19">
      <c r="A26" s="18" t="s">
        <v>46</v>
      </c>
      <c r="B26" s="19" t="e">
        <f>B17</f>
        <v>#REF!</v>
      </c>
      <c r="C26" s="19" t="e">
        <f t="shared" ref="C26:P26" si="7">C17</f>
        <v>#REF!</v>
      </c>
      <c r="D26" s="19" t="e">
        <f t="shared" si="7"/>
        <v>#REF!</v>
      </c>
      <c r="E26" s="19" t="e">
        <f>E17</f>
        <v>#REF!</v>
      </c>
      <c r="F26" s="19" t="e">
        <f t="shared" si="7"/>
        <v>#REF!</v>
      </c>
      <c r="G26" s="19" t="e">
        <f t="shared" si="7"/>
        <v>#REF!</v>
      </c>
      <c r="H26" s="19" t="e">
        <f t="shared" si="7"/>
        <v>#REF!</v>
      </c>
      <c r="I26" s="19" t="e">
        <f t="shared" ca="1" si="7"/>
        <v>#REF!</v>
      </c>
      <c r="J26" s="19" t="e">
        <f t="shared" si="7"/>
        <v>#REF!</v>
      </c>
      <c r="K26" s="19" t="e">
        <f t="shared" si="7"/>
        <v>#REF!</v>
      </c>
      <c r="L26" s="19">
        <f t="shared" ca="1" si="7"/>
        <v>10</v>
      </c>
      <c r="M26" s="19">
        <f t="shared" ca="1" si="7"/>
        <v>500</v>
      </c>
      <c r="N26" s="19" t="e">
        <f t="shared" si="7"/>
        <v>#REF!</v>
      </c>
      <c r="O26" s="19" t="e">
        <f t="shared" si="7"/>
        <v>#REF!</v>
      </c>
      <c r="P26" s="19">
        <f t="shared" ca="1" si="7"/>
        <v>29269</v>
      </c>
    </row>
    <row r="27" spans="1:19">
      <c r="A27" s="14" t="s">
        <v>50</v>
      </c>
      <c r="B27" s="20" t="e">
        <f>B26/$N$26</f>
        <v>#REF!</v>
      </c>
      <c r="C27" s="20" t="e">
        <f t="shared" ref="C27:L27" si="8">C26/$N$26</f>
        <v>#REF!</v>
      </c>
      <c r="D27" s="20" t="e">
        <f t="shared" si="8"/>
        <v>#REF!</v>
      </c>
      <c r="E27" s="20" t="e">
        <f>E26/$N$26</f>
        <v>#REF!</v>
      </c>
      <c r="F27" s="20" t="e">
        <f t="shared" si="8"/>
        <v>#REF!</v>
      </c>
      <c r="G27" s="20" t="e">
        <f t="shared" si="8"/>
        <v>#REF!</v>
      </c>
      <c r="H27" s="20" t="e">
        <f t="shared" si="8"/>
        <v>#REF!</v>
      </c>
      <c r="I27" s="20" t="e">
        <f t="shared" ca="1" si="8"/>
        <v>#REF!</v>
      </c>
      <c r="J27" s="20" t="e">
        <f t="shared" si="8"/>
        <v>#REF!</v>
      </c>
      <c r="K27" s="20" t="e">
        <f t="shared" si="8"/>
        <v>#REF!</v>
      </c>
      <c r="L27" s="20" t="e">
        <f t="shared" ca="1" si="8"/>
        <v>#REF!</v>
      </c>
      <c r="M27" s="20" t="e">
        <f ca="1">M26/$N$26</f>
        <v>#REF!</v>
      </c>
      <c r="N27" s="20" t="e">
        <f>SUM(B27:M27)</f>
        <v>#REF!</v>
      </c>
      <c r="O27" s="20" t="e">
        <f>O26/$N$21</f>
        <v>#REF!</v>
      </c>
      <c r="P27" s="3"/>
    </row>
    <row r="28" spans="1:19">
      <c r="A28" s="14" t="s">
        <v>51</v>
      </c>
      <c r="B28" s="20" t="e">
        <f ca="1">B26/$P$26</f>
        <v>#REF!</v>
      </c>
      <c r="C28" s="20" t="e">
        <f t="shared" ref="C28:O28" ca="1" si="9">C26/$P$26</f>
        <v>#REF!</v>
      </c>
      <c r="D28" s="20" t="e">
        <f t="shared" ca="1" si="9"/>
        <v>#REF!</v>
      </c>
      <c r="E28" s="20" t="e">
        <f ca="1">E26/$P$26</f>
        <v>#REF!</v>
      </c>
      <c r="F28" s="20" t="e">
        <f t="shared" ca="1" si="9"/>
        <v>#REF!</v>
      </c>
      <c r="G28" s="20" t="e">
        <f t="shared" ca="1" si="9"/>
        <v>#REF!</v>
      </c>
      <c r="H28" s="20" t="e">
        <f t="shared" ca="1" si="9"/>
        <v>#REF!</v>
      </c>
      <c r="I28" s="20" t="e">
        <f t="shared" ca="1" si="9"/>
        <v>#REF!</v>
      </c>
      <c r="J28" s="20" t="e">
        <f t="shared" ca="1" si="9"/>
        <v>#REF!</v>
      </c>
      <c r="K28" s="20" t="e">
        <f t="shared" ca="1" si="9"/>
        <v>#REF!</v>
      </c>
      <c r="L28" s="20">
        <f t="shared" ca="1" si="9"/>
        <v>3.4165840992176022E-4</v>
      </c>
      <c r="M28" s="20">
        <f t="shared" ca="1" si="9"/>
        <v>1.7082920496088012E-2</v>
      </c>
      <c r="N28" s="20" t="e">
        <f t="shared" ca="1" si="9"/>
        <v>#REF!</v>
      </c>
      <c r="O28" s="20" t="e">
        <f t="shared" ca="1" si="9"/>
        <v>#REF!</v>
      </c>
      <c r="P28" s="3"/>
    </row>
    <row r="29" spans="1:19">
      <c r="A29" s="472" t="s">
        <v>55</v>
      </c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4"/>
    </row>
    <row r="30" spans="1:19">
      <c r="A30" s="11" t="s">
        <v>56</v>
      </c>
      <c r="B30" s="22">
        <v>0.09</v>
      </c>
      <c r="C30" s="22">
        <v>9.5000000000000001E-2</v>
      </c>
      <c r="D30" s="22">
        <v>2.5000000000000001E-2</v>
      </c>
      <c r="E30" s="22">
        <v>2.5000000000000001E-2</v>
      </c>
      <c r="F30" s="22">
        <v>1.4999999999999999E-2</v>
      </c>
      <c r="G30" s="22">
        <v>0.03</v>
      </c>
      <c r="H30" s="22">
        <v>0.12</v>
      </c>
      <c r="I30" s="22">
        <v>9.5000000000000001E-2</v>
      </c>
      <c r="J30" s="23">
        <v>0.2</v>
      </c>
      <c r="K30" s="23">
        <v>0.21</v>
      </c>
      <c r="L30" s="22">
        <v>0</v>
      </c>
      <c r="M30" s="23">
        <f ca="1">M31/$P$26</f>
        <v>6.833168198435205E-2</v>
      </c>
      <c r="N30" s="15">
        <f ca="1">SUM(B30:M30)</f>
        <v>0.97333168198435205</v>
      </c>
      <c r="O30" s="12"/>
      <c r="P30" s="13"/>
    </row>
    <row r="31" spans="1:19">
      <c r="A31" s="11" t="s">
        <v>57</v>
      </c>
      <c r="B31" s="24">
        <f ca="1">B30*$P$26</f>
        <v>2634.21</v>
      </c>
      <c r="C31" s="24">
        <f t="shared" ref="C31:L31" ca="1" si="10">C30*$P$26</f>
        <v>2780.5549999999998</v>
      </c>
      <c r="D31" s="24">
        <f t="shared" ca="1" si="10"/>
        <v>731.72500000000002</v>
      </c>
      <c r="E31" s="24">
        <f ca="1">E30*$P$26</f>
        <v>731.72500000000002</v>
      </c>
      <c r="F31" s="24">
        <f t="shared" ca="1" si="10"/>
        <v>439.03499999999997</v>
      </c>
      <c r="G31" s="24">
        <f t="shared" ca="1" si="10"/>
        <v>878.06999999999994</v>
      </c>
      <c r="H31" s="24">
        <f t="shared" ca="1" si="10"/>
        <v>3512.2799999999997</v>
      </c>
      <c r="I31" s="24">
        <f t="shared" ca="1" si="10"/>
        <v>2780.5549999999998</v>
      </c>
      <c r="J31" s="25">
        <f t="shared" ca="1" si="10"/>
        <v>5853.8</v>
      </c>
      <c r="K31" s="25">
        <f t="shared" ca="1" si="10"/>
        <v>6146.49</v>
      </c>
      <c r="L31" s="24">
        <f t="shared" ca="1" si="10"/>
        <v>0</v>
      </c>
      <c r="M31" s="25">
        <v>2000</v>
      </c>
      <c r="N31" s="26"/>
      <c r="O31" s="26"/>
      <c r="P31" s="27"/>
    </row>
    <row r="32" spans="1:19" ht="13.5" thickBot="1">
      <c r="A32" s="28" t="s">
        <v>14</v>
      </c>
      <c r="B32" s="29" t="e">
        <f t="shared" ref="B32:L32" ca="1" si="11">(B30*$P$26)-B26</f>
        <v>#REF!</v>
      </c>
      <c r="C32" s="29" t="e">
        <f t="shared" ca="1" si="11"/>
        <v>#REF!</v>
      </c>
      <c r="D32" s="29" t="e">
        <f t="shared" ca="1" si="11"/>
        <v>#REF!</v>
      </c>
      <c r="E32" s="29" t="e">
        <f ca="1">(E30*$P$26)-E26</f>
        <v>#REF!</v>
      </c>
      <c r="F32" s="29" t="e">
        <f t="shared" ca="1" si="11"/>
        <v>#REF!</v>
      </c>
      <c r="G32" s="29" t="e">
        <f t="shared" ca="1" si="11"/>
        <v>#REF!</v>
      </c>
      <c r="H32" s="29" t="e">
        <f t="shared" ca="1" si="11"/>
        <v>#REF!</v>
      </c>
      <c r="I32" s="29" t="e">
        <f t="shared" ca="1" si="11"/>
        <v>#REF!</v>
      </c>
      <c r="J32" s="29" t="e">
        <f t="shared" ca="1" si="11"/>
        <v>#REF!</v>
      </c>
      <c r="K32" s="29" t="e">
        <f t="shared" ca="1" si="11"/>
        <v>#REF!</v>
      </c>
      <c r="L32" s="29">
        <f t="shared" ca="1" si="11"/>
        <v>-10</v>
      </c>
      <c r="M32" s="29">
        <f ca="1">(M30*$P$21)-M26</f>
        <v>5201.812839523046</v>
      </c>
      <c r="N32" s="5" t="e">
        <f ca="1">SUM(B32:B32:M32)</f>
        <v>#REF!</v>
      </c>
      <c r="O32" s="5"/>
      <c r="P32" s="17"/>
    </row>
  </sheetData>
  <sheetProtection selectLockedCells="1" selectUnlockedCells="1"/>
  <mergeCells count="4">
    <mergeCell ref="A1:P1"/>
    <mergeCell ref="A6:P6"/>
    <mergeCell ref="A24:P24"/>
    <mergeCell ref="A29:P29"/>
  </mergeCells>
  <conditionalFormatting sqref="B8:B19">
    <cfRule type="cellIs" dxfId="98" priority="61" stopIfTrue="1" operator="lessThan">
      <formula>$B$21</formula>
    </cfRule>
    <cfRule type="cellIs" dxfId="97" priority="62" stopIfTrue="1" operator="greaterThan">
      <formula>$B$21</formula>
    </cfRule>
  </conditionalFormatting>
  <conditionalFormatting sqref="C8:H8">
    <cfRule type="cellIs" dxfId="96" priority="47" stopIfTrue="1" operator="lessThan">
      <formula>C$21</formula>
    </cfRule>
    <cfRule type="cellIs" dxfId="95" priority="48" stopIfTrue="1" operator="greaterThan">
      <formula>C$21</formula>
    </cfRule>
  </conditionalFormatting>
  <conditionalFormatting sqref="C9:H19">
    <cfRule type="cellIs" dxfId="94" priority="3" stopIfTrue="1" operator="lessThan">
      <formula>$B$21</formula>
    </cfRule>
    <cfRule type="cellIs" dxfId="93" priority="4" stopIfTrue="1" operator="greaterThan">
      <formula>$B$21</formula>
    </cfRule>
  </conditionalFormatting>
  <conditionalFormatting sqref="I8:I19 L8:L19 N8:O19">
    <cfRule type="cellIs" dxfId="92" priority="55" stopIfTrue="1" operator="lessThan">
      <formula>I$21</formula>
    </cfRule>
    <cfRule type="cellIs" dxfId="91" priority="56" stopIfTrue="1" operator="greaterThan">
      <formula>I$21</formula>
    </cfRule>
  </conditionalFormatting>
  <conditionalFormatting sqref="J8:K8">
    <cfRule type="cellIs" dxfId="90" priority="45" stopIfTrue="1" operator="lessThan">
      <formula>J$21</formula>
    </cfRule>
    <cfRule type="cellIs" dxfId="89" priority="46" stopIfTrue="1" operator="greaterThan">
      <formula>J$21</formula>
    </cfRule>
  </conditionalFormatting>
  <conditionalFormatting sqref="J9:K19">
    <cfRule type="cellIs" dxfId="88" priority="1" stopIfTrue="1" operator="lessThan">
      <formula>$B$21</formula>
    </cfRule>
    <cfRule type="cellIs" dxfId="87" priority="2" stopIfTrue="1" operator="greaterThan">
      <formula>$B$21</formula>
    </cfRule>
  </conditionalFormatting>
  <conditionalFormatting sqref="M8:M19">
    <cfRule type="cellIs" dxfId="86" priority="51" stopIfTrue="1" operator="lessThan">
      <formula>M$21</formula>
    </cfRule>
    <cfRule type="cellIs" dxfId="85" priority="52" stopIfTrue="1" operator="greaterThan">
      <formula>M$21</formula>
    </cfRule>
  </conditionalFormatting>
  <conditionalFormatting sqref="P8:P19">
    <cfRule type="cellIs" dxfId="84" priority="53" stopIfTrue="1" operator="lessThan">
      <formula>P$21</formula>
    </cfRule>
    <cfRule type="cellIs" dxfId="83" priority="54" stopIfTrue="1" operator="greaterThan">
      <formula>P$21</formula>
    </cfRule>
  </conditionalFormatting>
  <pageMargins left="0.7" right="0.7" top="0.75" bottom="0.75" header="0.51180555555555551" footer="0.51180555555555551"/>
  <pageSetup paperSize="9" scale="90" firstPageNumber="0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L42"/>
  <sheetViews>
    <sheetView rightToLeft="1" topLeftCell="G11" zoomScale="115" zoomScaleNormal="115" workbookViewId="0">
      <selection activeCell="G16" sqref="G16"/>
    </sheetView>
  </sheetViews>
  <sheetFormatPr defaultColWidth="9.28515625" defaultRowHeight="12.75"/>
  <cols>
    <col min="1" max="1" width="9.5703125" style="1" customWidth="1"/>
    <col min="2" max="3" width="9.7109375" style="1" customWidth="1"/>
    <col min="4" max="4" width="11" style="1" customWidth="1"/>
    <col min="5" max="5" width="9.28515625" style="1" customWidth="1"/>
    <col min="6" max="6" width="11" style="1" customWidth="1"/>
    <col min="7" max="7" width="10.7109375" style="1" customWidth="1"/>
    <col min="8" max="8" width="9.7109375" style="1" customWidth="1"/>
    <col min="9" max="9" width="10.28515625" style="1" bestFit="1" customWidth="1"/>
    <col min="10" max="10" width="9.28515625" style="1"/>
    <col min="11" max="11" width="9.28515625" style="1" customWidth="1"/>
    <col min="12" max="12" width="9.7109375" style="1" customWidth="1"/>
    <col min="13" max="20" width="9.28515625" style="1"/>
    <col min="21" max="21" width="5.28515625" style="1" customWidth="1"/>
    <col min="22" max="16384" width="9.28515625" style="1"/>
  </cols>
  <sheetData>
    <row r="2" spans="1:12">
      <c r="A2" s="8" t="s">
        <v>49</v>
      </c>
      <c r="B2" s="8" t="s">
        <v>4</v>
      </c>
      <c r="C2" s="8" t="s">
        <v>61</v>
      </c>
      <c r="D2" s="8" t="s">
        <v>64</v>
      </c>
      <c r="E2" s="8" t="s">
        <v>63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58</v>
      </c>
      <c r="K2" s="8" t="s">
        <v>59</v>
      </c>
      <c r="L2" s="8" t="s">
        <v>12</v>
      </c>
    </row>
    <row r="3" spans="1:12">
      <c r="A3" s="2" t="s">
        <v>0</v>
      </c>
      <c r="B3" s="2" t="e">
        <f>'1'!#REF!</f>
        <v>#REF!</v>
      </c>
      <c r="C3" s="2" t="e">
        <f>'1'!#REF!</f>
        <v>#REF!</v>
      </c>
      <c r="D3" s="2" t="e">
        <f>'1'!#REF!</f>
        <v>#REF!</v>
      </c>
      <c r="E3" s="2" t="e">
        <f>'1'!#REF!</f>
        <v>#REF!</v>
      </c>
      <c r="F3" s="2" t="e">
        <f>'1'!#REF!</f>
        <v>#REF!</v>
      </c>
      <c r="G3" s="2" t="e">
        <f>'1'!#REF!</f>
        <v>#REF!</v>
      </c>
      <c r="H3" s="2" t="e">
        <f>'1'!#REF!</f>
        <v>#REF!</v>
      </c>
      <c r="I3" s="2" t="e">
        <f>'1'!#REF!</f>
        <v>#REF!</v>
      </c>
      <c r="J3" s="2" t="e">
        <f>'1'!#REF!</f>
        <v>#REF!</v>
      </c>
      <c r="K3" s="2" t="e">
        <f>'1'!#REF!</f>
        <v>#REF!</v>
      </c>
      <c r="L3" s="2" t="e">
        <f>'1'!#REF!</f>
        <v>#REF!</v>
      </c>
    </row>
    <row r="4" spans="1:12">
      <c r="A4" s="2" t="s">
        <v>38</v>
      </c>
      <c r="B4" s="2" t="e">
        <f>'2'!#REF!</f>
        <v>#REF!</v>
      </c>
      <c r="C4" s="2" t="e">
        <f>'2'!#REF!</f>
        <v>#REF!</v>
      </c>
      <c r="D4" s="2" t="e">
        <f>'2'!#REF!</f>
        <v>#REF!</v>
      </c>
      <c r="E4" s="2" t="e">
        <f>'2'!#REF!</f>
        <v>#REF!</v>
      </c>
      <c r="F4" s="2" t="e">
        <f>'2'!#REF!</f>
        <v>#REF!</v>
      </c>
      <c r="G4" s="2" t="e">
        <f>'2'!#REF!</f>
        <v>#REF!</v>
      </c>
      <c r="H4" s="2" t="e">
        <f>'2'!#REF!</f>
        <v>#REF!</v>
      </c>
      <c r="I4" s="2" t="e">
        <f>'2'!#REF!</f>
        <v>#REF!</v>
      </c>
      <c r="J4" s="2" t="e">
        <f>'2'!#REF!</f>
        <v>#REF!</v>
      </c>
      <c r="K4" s="2" t="e">
        <f>'2'!#REF!</f>
        <v>#REF!</v>
      </c>
      <c r="L4" s="2" t="e">
        <f>'2'!#REF!</f>
        <v>#REF!</v>
      </c>
    </row>
    <row r="5" spans="1:12">
      <c r="A5" s="2" t="s">
        <v>39</v>
      </c>
      <c r="B5" s="2" t="e">
        <f>'3'!#REF!</f>
        <v>#REF!</v>
      </c>
      <c r="C5" s="2" t="e">
        <f>'3'!#REF!</f>
        <v>#REF!</v>
      </c>
      <c r="D5" s="2" t="e">
        <f>'3'!#REF!</f>
        <v>#REF!</v>
      </c>
      <c r="E5" s="2" t="e">
        <f>'3'!#REF!</f>
        <v>#REF!</v>
      </c>
      <c r="F5" s="2" t="e">
        <f>'3'!#REF!</f>
        <v>#REF!</v>
      </c>
      <c r="G5" s="2" t="e">
        <f>'3'!#REF!</f>
        <v>#REF!</v>
      </c>
      <c r="H5" s="2" t="e">
        <f>'3'!#REF!</f>
        <v>#REF!</v>
      </c>
      <c r="I5" s="2" t="e">
        <f>'3'!#REF!</f>
        <v>#REF!</v>
      </c>
      <c r="J5" s="2" t="e">
        <f>'3'!#REF!</f>
        <v>#REF!</v>
      </c>
      <c r="K5" s="2" t="e">
        <f>'3'!#REF!</f>
        <v>#REF!</v>
      </c>
      <c r="L5" s="2" t="e">
        <f>'3'!#REF!</f>
        <v>#REF!</v>
      </c>
    </row>
    <row r="6" spans="1:12">
      <c r="A6" s="2" t="s">
        <v>40</v>
      </c>
      <c r="B6" s="2" t="e">
        <f>'4'!#REF!</f>
        <v>#REF!</v>
      </c>
      <c r="C6" s="2" t="e">
        <f>'4'!#REF!</f>
        <v>#REF!</v>
      </c>
      <c r="D6" s="2" t="e">
        <f>'4'!#REF!</f>
        <v>#REF!</v>
      </c>
      <c r="E6" s="2" t="e">
        <f>'4'!#REF!</f>
        <v>#REF!</v>
      </c>
      <c r="F6" s="2" t="e">
        <f>'4'!#REF!</f>
        <v>#REF!</v>
      </c>
      <c r="G6" s="2" t="e">
        <f>'4'!#REF!</f>
        <v>#REF!</v>
      </c>
      <c r="H6" s="2" t="e">
        <f>'4'!#REF!</f>
        <v>#REF!</v>
      </c>
      <c r="I6" s="2" t="e">
        <f>'4'!#REF!</f>
        <v>#REF!</v>
      </c>
      <c r="J6" s="2" t="e">
        <f>'4'!#REF!</f>
        <v>#REF!</v>
      </c>
      <c r="K6" s="2" t="e">
        <f>'4'!#REF!</f>
        <v>#REF!</v>
      </c>
      <c r="L6" s="2" t="e">
        <f>'4'!#REF!</f>
        <v>#REF!</v>
      </c>
    </row>
    <row r="7" spans="1:12">
      <c r="A7" s="2" t="s">
        <v>41</v>
      </c>
      <c r="B7" s="2" t="e">
        <f>'5'!#REF!</f>
        <v>#REF!</v>
      </c>
      <c r="C7" s="2" t="e">
        <f>'5'!#REF!</f>
        <v>#REF!</v>
      </c>
      <c r="D7" s="2" t="e">
        <f>'5'!#REF!</f>
        <v>#REF!</v>
      </c>
      <c r="E7" s="2" t="e">
        <f>'5'!#REF!</f>
        <v>#REF!</v>
      </c>
      <c r="F7" s="2" t="e">
        <f>'5'!#REF!</f>
        <v>#REF!</v>
      </c>
      <c r="G7" s="2" t="e">
        <f>'5'!#REF!</f>
        <v>#REF!</v>
      </c>
      <c r="H7" s="2" t="e">
        <f>'5'!#REF!</f>
        <v>#REF!</v>
      </c>
      <c r="I7" s="2" t="e">
        <f>'5'!#REF!</f>
        <v>#REF!</v>
      </c>
      <c r="J7" s="2" t="e">
        <f>'5'!#REF!</f>
        <v>#REF!</v>
      </c>
      <c r="K7" s="2" t="e">
        <f>'5'!#REF!</f>
        <v>#REF!</v>
      </c>
      <c r="L7" s="2" t="e">
        <f>'5'!#REF!</f>
        <v>#REF!</v>
      </c>
    </row>
    <row r="8" spans="1:12">
      <c r="A8" s="2" t="s">
        <v>42</v>
      </c>
      <c r="B8" s="2" t="e">
        <f>'6'!#REF!</f>
        <v>#REF!</v>
      </c>
      <c r="C8" s="2" t="e">
        <f>'6'!#REF!</f>
        <v>#REF!</v>
      </c>
      <c r="D8" s="2" t="e">
        <f>'6'!#REF!</f>
        <v>#REF!</v>
      </c>
      <c r="E8" s="2" t="e">
        <f>'6'!#REF!</f>
        <v>#REF!</v>
      </c>
      <c r="F8" s="2" t="e">
        <f>'6'!#REF!</f>
        <v>#REF!</v>
      </c>
      <c r="G8" s="2" t="e">
        <f>'6'!#REF!</f>
        <v>#REF!</v>
      </c>
      <c r="H8" s="2" t="e">
        <f>'6'!#REF!</f>
        <v>#REF!</v>
      </c>
      <c r="I8" s="2" t="e">
        <f>'6'!#REF!</f>
        <v>#REF!</v>
      </c>
      <c r="J8" s="2" t="e">
        <f>'6'!#REF!</f>
        <v>#REF!</v>
      </c>
      <c r="K8" s="2" t="e">
        <f>'6'!#REF!</f>
        <v>#REF!</v>
      </c>
      <c r="L8" s="2" t="e">
        <f>'6'!#REF!</f>
        <v>#REF!</v>
      </c>
    </row>
    <row r="9" spans="1:12">
      <c r="A9" s="2" t="s">
        <v>43</v>
      </c>
      <c r="B9" s="2" t="e">
        <f>'7'!#REF!</f>
        <v>#REF!</v>
      </c>
      <c r="C9" s="2" t="e">
        <f>'7'!#REF!</f>
        <v>#REF!</v>
      </c>
      <c r="D9" s="2" t="e">
        <f>'7'!#REF!</f>
        <v>#REF!</v>
      </c>
      <c r="E9" s="2" t="e">
        <f>'7'!#REF!</f>
        <v>#REF!</v>
      </c>
      <c r="F9" s="2" t="e">
        <f>'7'!#REF!</f>
        <v>#REF!</v>
      </c>
      <c r="G9" s="2" t="e">
        <f>'7'!#REF!</f>
        <v>#REF!</v>
      </c>
      <c r="H9" s="2" t="e">
        <f>'7'!#REF!</f>
        <v>#REF!</v>
      </c>
      <c r="I9" s="2" t="e">
        <f>'7'!#REF!</f>
        <v>#REF!</v>
      </c>
      <c r="J9" s="2" t="e">
        <f>'7'!#REF!</f>
        <v>#REF!</v>
      </c>
      <c r="K9" s="2" t="e">
        <f>'7'!#REF!</f>
        <v>#REF!</v>
      </c>
      <c r="L9" s="2" t="e">
        <f>'7'!#REF!</f>
        <v>#REF!</v>
      </c>
    </row>
    <row r="10" spans="1:12">
      <c r="A10" s="2" t="s">
        <v>44</v>
      </c>
      <c r="B10" s="2" t="e">
        <f>'8'!#REF!</f>
        <v>#REF!</v>
      </c>
      <c r="C10" s="2" t="e">
        <f>'8'!#REF!</f>
        <v>#REF!</v>
      </c>
      <c r="D10" s="2" t="e">
        <f>'8'!#REF!</f>
        <v>#REF!</v>
      </c>
      <c r="E10" s="2" t="e">
        <f>'8'!#REF!</f>
        <v>#REF!</v>
      </c>
      <c r="F10" s="2" t="e">
        <f>'8'!#REF!</f>
        <v>#REF!</v>
      </c>
      <c r="G10" s="2" t="e">
        <f>'8'!#REF!</f>
        <v>#REF!</v>
      </c>
      <c r="H10" s="2" t="e">
        <f>'8'!#REF!</f>
        <v>#REF!</v>
      </c>
      <c r="I10" s="2" t="e">
        <f>'8'!#REF!</f>
        <v>#REF!</v>
      </c>
      <c r="J10" s="2" t="e">
        <f>'8'!#REF!</f>
        <v>#REF!</v>
      </c>
      <c r="K10" s="2" t="e">
        <f>'8'!#REF!</f>
        <v>#REF!</v>
      </c>
      <c r="L10" s="2" t="e">
        <f>'8'!#REF!</f>
        <v>#REF!</v>
      </c>
    </row>
    <row r="11" spans="1:12">
      <c r="A11" s="2" t="s">
        <v>45</v>
      </c>
      <c r="B11" s="2" t="e">
        <f>'9'!#REF!</f>
        <v>#REF!</v>
      </c>
      <c r="C11" s="2" t="e">
        <f>'9'!#REF!</f>
        <v>#REF!</v>
      </c>
      <c r="D11" s="2" t="e">
        <f>'9'!#REF!</f>
        <v>#REF!</v>
      </c>
      <c r="E11" s="2" t="e">
        <f>'9'!#REF!</f>
        <v>#REF!</v>
      </c>
      <c r="F11" s="2" t="e">
        <f>'9'!#REF!</f>
        <v>#REF!</v>
      </c>
      <c r="G11" s="2" t="e">
        <f>'9'!#REF!</f>
        <v>#REF!</v>
      </c>
      <c r="H11" s="2" t="e">
        <f>'9'!#REF!</f>
        <v>#REF!</v>
      </c>
      <c r="I11" s="2" t="e">
        <f>'9'!#REF!</f>
        <v>#REF!</v>
      </c>
      <c r="J11" s="2" t="e">
        <f>'9'!#REF!</f>
        <v>#REF!</v>
      </c>
      <c r="K11" s="2" t="e">
        <f>'9'!#REF!</f>
        <v>#REF!</v>
      </c>
      <c r="L11" s="2" t="e">
        <f>'9'!#REF!</f>
        <v>#REF!</v>
      </c>
    </row>
    <row r="12" spans="1:12">
      <c r="A12" s="2" t="s">
        <v>46</v>
      </c>
      <c r="B12" s="2" t="e">
        <f>'10'!#REF!</f>
        <v>#REF!</v>
      </c>
      <c r="C12" s="2" t="e">
        <f>'10'!#REF!</f>
        <v>#REF!</v>
      </c>
      <c r="D12" s="2" t="e">
        <f>'10'!#REF!</f>
        <v>#REF!</v>
      </c>
      <c r="E12" s="2" t="e">
        <f>'10'!#REF!</f>
        <v>#REF!</v>
      </c>
      <c r="F12" s="2" t="e">
        <f>'10'!#REF!</f>
        <v>#REF!</v>
      </c>
      <c r="G12" s="2" t="e">
        <f>'10'!#REF!</f>
        <v>#REF!</v>
      </c>
      <c r="H12" s="2" t="e">
        <f>'10'!#REF!</f>
        <v>#REF!</v>
      </c>
      <c r="I12" s="2" t="e">
        <f>'10'!#REF!</f>
        <v>#REF!</v>
      </c>
      <c r="J12" s="2" t="e">
        <f>'10'!#REF!</f>
        <v>#REF!</v>
      </c>
      <c r="K12" s="2" t="e">
        <f>'10'!#REF!</f>
        <v>#REF!</v>
      </c>
      <c r="L12" s="2" t="e">
        <f>'10'!#REF!</f>
        <v>#REF!</v>
      </c>
    </row>
    <row r="13" spans="1:12">
      <c r="A13" s="2" t="s">
        <v>47</v>
      </c>
      <c r="B13" s="2" t="e">
        <f>'11'!#REF!</f>
        <v>#REF!</v>
      </c>
      <c r="C13" s="2" t="e">
        <f>'11'!#REF!</f>
        <v>#REF!</v>
      </c>
      <c r="D13" s="2" t="e">
        <f>'11'!#REF!</f>
        <v>#REF!</v>
      </c>
      <c r="E13" s="2" t="e">
        <f>'11'!#REF!</f>
        <v>#REF!</v>
      </c>
      <c r="F13" s="2" t="e">
        <f>'11'!#REF!</f>
        <v>#REF!</v>
      </c>
      <c r="G13" s="2" t="e">
        <f>'11'!#REF!</f>
        <v>#REF!</v>
      </c>
      <c r="H13" s="2" t="e">
        <f>'11'!#REF!</f>
        <v>#REF!</v>
      </c>
      <c r="I13" s="2" t="e">
        <f>'11'!#REF!</f>
        <v>#REF!</v>
      </c>
      <c r="J13" s="2" t="e">
        <f>'11'!#REF!</f>
        <v>#REF!</v>
      </c>
      <c r="K13" s="2" t="e">
        <f>'11'!#REF!</f>
        <v>#REF!</v>
      </c>
      <c r="L13" s="2" t="e">
        <f>'11'!#REF!</f>
        <v>#REF!</v>
      </c>
    </row>
    <row r="14" spans="1:12">
      <c r="A14" s="2" t="s">
        <v>48</v>
      </c>
      <c r="B14" s="2" t="e">
        <f>'12'!#REF!</f>
        <v>#REF!</v>
      </c>
      <c r="C14" s="2" t="e">
        <f>'12'!#REF!</f>
        <v>#REF!</v>
      </c>
      <c r="D14" s="2" t="e">
        <f>'12'!#REF!</f>
        <v>#REF!</v>
      </c>
      <c r="E14" s="2" t="e">
        <f>'12'!#REF!</f>
        <v>#REF!</v>
      </c>
      <c r="F14" s="2" t="e">
        <f>'12'!#REF!</f>
        <v>#REF!</v>
      </c>
      <c r="G14" s="2" t="e">
        <f>'12'!#REF!</f>
        <v>#REF!</v>
      </c>
      <c r="H14" s="2" t="e">
        <f>'12'!#REF!</f>
        <v>#REF!</v>
      </c>
      <c r="I14" s="2" t="e">
        <f>'12'!#REF!</f>
        <v>#REF!</v>
      </c>
      <c r="J14" s="2" t="e">
        <f>'12'!#REF!</f>
        <v>#REF!</v>
      </c>
      <c r="K14" s="2" t="e">
        <f>'12'!#REF!</f>
        <v>#REF!</v>
      </c>
      <c r="L14" s="2" t="e">
        <f>'12'!#REF!</f>
        <v>#REF!</v>
      </c>
    </row>
    <row r="15" spans="1:1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>
      <c r="A16" s="6" t="s">
        <v>53</v>
      </c>
      <c r="B16" s="6" t="e">
        <f>AVERAGE(B3:B14)</f>
        <v>#REF!</v>
      </c>
      <c r="C16" s="6" t="e">
        <f t="shared" ref="C16:L16" si="0">AVERAGE(C3:C14)</f>
        <v>#REF!</v>
      </c>
      <c r="D16" s="6" t="e">
        <f t="shared" si="0"/>
        <v>#REF!</v>
      </c>
      <c r="E16" s="6" t="e">
        <f>AVERAGE(E3:E14)</f>
        <v>#REF!</v>
      </c>
      <c r="F16" s="6" t="e">
        <f t="shared" si="0"/>
        <v>#REF!</v>
      </c>
      <c r="G16" s="6" t="e">
        <f>AVERAGE(G2:G14)</f>
        <v>#REF!</v>
      </c>
      <c r="H16" s="6" t="e">
        <f t="shared" si="0"/>
        <v>#REF!</v>
      </c>
      <c r="I16" s="6" t="e">
        <f t="shared" si="0"/>
        <v>#REF!</v>
      </c>
      <c r="J16" s="6" t="e">
        <f t="shared" si="0"/>
        <v>#REF!</v>
      </c>
      <c r="K16" s="6" t="e">
        <f t="shared" si="0"/>
        <v>#REF!</v>
      </c>
      <c r="L16" s="6" t="e">
        <f t="shared" si="0"/>
        <v>#REF!</v>
      </c>
    </row>
    <row r="25" spans="1:11">
      <c r="A25" s="8" t="s">
        <v>28</v>
      </c>
      <c r="B25" s="475" t="s">
        <v>1</v>
      </c>
      <c r="C25" s="475"/>
      <c r="D25" s="475"/>
      <c r="E25" s="475"/>
      <c r="F25" s="475"/>
      <c r="G25" s="475" t="s">
        <v>2</v>
      </c>
      <c r="H25" s="475"/>
      <c r="I25" s="475"/>
      <c r="J25" s="475"/>
      <c r="K25" s="475"/>
    </row>
    <row r="26" spans="1:11">
      <c r="A26" s="8"/>
      <c r="B26" s="8" t="s">
        <v>25</v>
      </c>
      <c r="C26" s="8" t="s">
        <v>49</v>
      </c>
      <c r="D26" s="8" t="s">
        <v>28</v>
      </c>
      <c r="E26" s="8" t="s">
        <v>14</v>
      </c>
      <c r="F26" s="8" t="s">
        <v>33</v>
      </c>
      <c r="G26" s="8" t="s">
        <v>25</v>
      </c>
      <c r="H26" s="8" t="s">
        <v>49</v>
      </c>
      <c r="I26" s="8" t="s">
        <v>28</v>
      </c>
      <c r="J26" s="8" t="s">
        <v>14</v>
      </c>
      <c r="K26" s="8" t="s">
        <v>33</v>
      </c>
    </row>
    <row r="27" spans="1:11">
      <c r="A27" s="2" t="s">
        <v>0</v>
      </c>
      <c r="B27" s="2">
        <f ca="1">'1'!$C$24</f>
        <v>33089.760000000002</v>
      </c>
      <c r="C27" s="2">
        <f ca="1">'1'!$C$18</f>
        <v>586006.86</v>
      </c>
      <c r="D27" s="2">
        <f ca="1">'1'!$C$29</f>
        <v>70551.579999999958</v>
      </c>
      <c r="E27" s="2">
        <f ca="1">'1'!$C$32</f>
        <v>-552917.1</v>
      </c>
      <c r="F27" s="2">
        <f ca="1">'1'!$C$31</f>
        <v>-552417.1</v>
      </c>
      <c r="G27" s="2">
        <f>'1'!$D$24</f>
        <v>46926</v>
      </c>
      <c r="H27" s="2">
        <f ca="1">'1'!$D$18</f>
        <v>42871.560000000005</v>
      </c>
      <c r="I27" s="2">
        <f ca="1">'1'!$D$29</f>
        <v>10131.390000000007</v>
      </c>
      <c r="J27" s="2">
        <f ca="1">'1'!$D$32</f>
        <v>4054.4399999999951</v>
      </c>
      <c r="K27" s="2">
        <f ca="1">'1'!$D$31</f>
        <v>4054.4399999999951</v>
      </c>
    </row>
    <row r="28" spans="1:11">
      <c r="A28" s="2" t="s">
        <v>38</v>
      </c>
      <c r="B28" s="2">
        <f ca="1">'2'!$C$24</f>
        <v>26658.76</v>
      </c>
      <c r="C28" s="2">
        <f>'2'!$C$19</f>
        <v>0</v>
      </c>
      <c r="D28" s="2">
        <f ca="1">'2'!$C$29</f>
        <v>176836.32999999996</v>
      </c>
      <c r="E28" s="2">
        <f ca="1">'2'!$C$32</f>
        <v>106284.75</v>
      </c>
      <c r="F28" s="2">
        <f ca="1">'2'!$C$31</f>
        <v>106784.75</v>
      </c>
      <c r="G28" s="2">
        <f>'2'!$D$24</f>
        <v>39317</v>
      </c>
      <c r="H28" s="2">
        <f>'2'!$D$19</f>
        <v>0</v>
      </c>
      <c r="I28" s="2">
        <f ca="1">'2'!$D$29</f>
        <v>36.580000000001746</v>
      </c>
      <c r="J28" s="2">
        <f ca="1">'2'!$D$32</f>
        <v>-10094.810000000005</v>
      </c>
      <c r="K28" s="2">
        <f ca="1">'2'!$D$31</f>
        <v>-10094.810000000005</v>
      </c>
    </row>
    <row r="29" spans="1:11">
      <c r="A29" s="2" t="s">
        <v>39</v>
      </c>
      <c r="B29" s="2">
        <f ca="1">'3'!$C$24</f>
        <v>53217.02</v>
      </c>
      <c r="C29" s="2">
        <f>'3'!$C$19</f>
        <v>0</v>
      </c>
      <c r="D29" s="2">
        <f ca="1">'3'!$C$29</f>
        <v>183642.87999999995</v>
      </c>
      <c r="E29" s="2">
        <f ca="1">'3'!$C$32</f>
        <v>6806.5499999999884</v>
      </c>
      <c r="F29" s="2">
        <f ca="1">'3'!$C$31</f>
        <v>7306.5499999999884</v>
      </c>
      <c r="G29" s="2">
        <f>'3'!$D$24</f>
        <v>47501</v>
      </c>
      <c r="H29" s="2">
        <f>'3'!$D$19</f>
        <v>0</v>
      </c>
      <c r="I29" s="2">
        <f ca="1">'3'!$D$29</f>
        <v>5290.75</v>
      </c>
      <c r="J29" s="2">
        <f ca="1">'3'!$D$32</f>
        <v>5254.1699999999983</v>
      </c>
      <c r="K29" s="2">
        <f ca="1">'3'!$D$31</f>
        <v>5254.1699999999983</v>
      </c>
    </row>
    <row r="30" spans="1:11">
      <c r="A30" s="2" t="s">
        <v>40</v>
      </c>
      <c r="B30" s="2">
        <f ca="1">'4'!$C$24</f>
        <v>45009.95</v>
      </c>
      <c r="C30" s="2">
        <f>'4'!$C$19</f>
        <v>0</v>
      </c>
      <c r="D30" s="2">
        <f ca="1">'4'!$C$29</f>
        <v>372054.93999999994</v>
      </c>
      <c r="E30" s="2">
        <f ca="1">'4'!$C$32</f>
        <v>188412.06</v>
      </c>
      <c r="F30" s="2">
        <f ca="1">'4'!$C$31</f>
        <v>188912.06</v>
      </c>
      <c r="G30" s="2">
        <f>'4'!$D$24</f>
        <v>53324</v>
      </c>
      <c r="H30" s="2">
        <f>'4'!$D$19</f>
        <v>0</v>
      </c>
      <c r="I30" s="2">
        <f ca="1">'4'!$D$29</f>
        <v>1724.7200000000012</v>
      </c>
      <c r="J30" s="2">
        <f ca="1">'4'!$D$32</f>
        <v>-3566.0299999999988</v>
      </c>
      <c r="K30" s="2">
        <f ca="1">'4'!$D$31</f>
        <v>-3566.0299999999988</v>
      </c>
    </row>
    <row r="31" spans="1:11">
      <c r="A31" s="2" t="s">
        <v>41</v>
      </c>
      <c r="B31" s="2">
        <f ca="1">'5'!$C$24</f>
        <v>29269</v>
      </c>
      <c r="C31" s="2">
        <f>'5'!$C$19</f>
        <v>0</v>
      </c>
      <c r="D31" s="2">
        <f ca="1">'5'!$C$29</f>
        <v>358473.58999999997</v>
      </c>
      <c r="E31" s="2">
        <f ca="1">'5'!$C$32</f>
        <v>-13581.349999999999</v>
      </c>
      <c r="F31" s="2">
        <f ca="1">'5'!$C$31</f>
        <v>-13081.349999999977</v>
      </c>
      <c r="G31" s="2">
        <f>'5'!$D$24</f>
        <v>0</v>
      </c>
      <c r="H31" s="2">
        <f>'5'!$D$19</f>
        <v>0</v>
      </c>
      <c r="I31" s="2">
        <f ca="1">'5'!$D$29</f>
        <v>-31216.770000000004</v>
      </c>
      <c r="J31" s="2">
        <f ca="1">'5'!$D$32</f>
        <v>-32941.490000000005</v>
      </c>
      <c r="K31" s="2">
        <f ca="1">'5'!$D$31</f>
        <v>-32941.490000000005</v>
      </c>
    </row>
    <row r="32" spans="1:11">
      <c r="A32" s="2" t="s">
        <v>42</v>
      </c>
      <c r="B32" s="2">
        <f ca="1">'6'!$C$24</f>
        <v>29269</v>
      </c>
      <c r="C32" s="2">
        <f>'6'!$C$19</f>
        <v>0</v>
      </c>
      <c r="D32" s="2">
        <f ca="1">'6'!$C$29</f>
        <v>360587.75999999995</v>
      </c>
      <c r="E32" s="2">
        <f ca="1">'6'!$C$32</f>
        <v>2114.1699999999983</v>
      </c>
      <c r="F32" s="2">
        <f ca="1">'6'!$C$31</f>
        <v>2614.1699999999837</v>
      </c>
      <c r="G32" s="2">
        <f>'6'!$D$24</f>
        <v>0</v>
      </c>
      <c r="H32" s="2">
        <f>'6'!$D$19</f>
        <v>0</v>
      </c>
      <c r="I32" s="2">
        <f ca="1">'6'!$D$29</f>
        <v>-86057.16</v>
      </c>
      <c r="J32" s="2">
        <f ca="1">'6'!$D$32</f>
        <v>-54840.39</v>
      </c>
      <c r="K32" s="2">
        <f ca="1">'6'!$D$31</f>
        <v>-54840.39</v>
      </c>
    </row>
    <row r="33" spans="1:11">
      <c r="A33" s="2" t="s">
        <v>43</v>
      </c>
      <c r="B33" s="2">
        <f ca="1">'7'!$C$24</f>
        <v>29269</v>
      </c>
      <c r="C33" s="2">
        <f ca="1">'7'!$C$18</f>
        <v>27904.83</v>
      </c>
      <c r="D33" s="2">
        <f ca="1">'7'!$C$29</f>
        <v>361951.92999999993</v>
      </c>
      <c r="E33" s="2">
        <f ca="1">'7'!$C$32</f>
        <v>1364.1699999999983</v>
      </c>
      <c r="F33" s="2">
        <f ca="1">'7'!$C$31</f>
        <v>1864.1699999999837</v>
      </c>
      <c r="G33" s="2">
        <f>'7'!$D$24</f>
        <v>0</v>
      </c>
      <c r="H33" s="2">
        <f ca="1">'7'!$D$18</f>
        <v>37323.39</v>
      </c>
      <c r="I33" s="2">
        <f ca="1">'7'!$D$29</f>
        <v>-123380.55</v>
      </c>
      <c r="J33" s="2">
        <f ca="1">'7'!$D$32</f>
        <v>-37323.39</v>
      </c>
      <c r="K33" s="2">
        <f ca="1">'7'!$D$31</f>
        <v>-37323.39</v>
      </c>
    </row>
    <row r="34" spans="1:11">
      <c r="A34" s="2" t="s">
        <v>44</v>
      </c>
      <c r="B34" s="2">
        <f ca="1">'8'!$C$24</f>
        <v>29269</v>
      </c>
      <c r="C34" s="2">
        <f>'8'!$C$19</f>
        <v>0</v>
      </c>
      <c r="D34" s="2">
        <f ca="1">'8'!$C$29</f>
        <v>366033.42999999993</v>
      </c>
      <c r="E34" s="2">
        <f ca="1">'8'!$C$32</f>
        <v>4081.5</v>
      </c>
      <c r="F34" s="2">
        <f ca="1">'8'!$C$31</f>
        <v>4581.5</v>
      </c>
      <c r="G34" s="2">
        <f>'8'!$D$24</f>
        <v>0</v>
      </c>
      <c r="H34" s="2">
        <f>'8'!$D$19</f>
        <v>0</v>
      </c>
      <c r="I34" s="2">
        <f ca="1">'8'!$D$29</f>
        <v>-175389.94</v>
      </c>
      <c r="J34" s="2">
        <f ca="1">'8'!$D$32</f>
        <v>-52009.39</v>
      </c>
      <c r="K34" s="2">
        <f ca="1">'8'!$D$31</f>
        <v>-52009.39</v>
      </c>
    </row>
    <row r="35" spans="1:11">
      <c r="A35" s="2" t="s">
        <v>45</v>
      </c>
      <c r="B35" s="2">
        <f ca="1">'9'!$C$24</f>
        <v>29269</v>
      </c>
      <c r="C35" s="2">
        <f ca="1">'9'!$C$18</f>
        <v>26237.5</v>
      </c>
      <c r="D35" s="2">
        <f ca="1">'9'!$C$29</f>
        <v>369064.92999999993</v>
      </c>
      <c r="E35" s="2">
        <f ca="1">'9'!$C$32</f>
        <v>3031.5</v>
      </c>
      <c r="F35" s="2">
        <f ca="1">'9'!$C$31</f>
        <v>3531.5</v>
      </c>
      <c r="G35" s="2">
        <f>'9'!$D$24</f>
        <v>0</v>
      </c>
      <c r="H35" s="2">
        <f ca="1">'9'!$D$18</f>
        <v>36235.29</v>
      </c>
      <c r="I35" s="2">
        <f ca="1">'9'!$D$29</f>
        <v>-211625.23</v>
      </c>
      <c r="J35" s="2">
        <f ca="1">'9'!$D$32</f>
        <v>-36235.29</v>
      </c>
      <c r="K35" s="2">
        <f ca="1">'9'!$D$31</f>
        <v>-36235.290000000008</v>
      </c>
    </row>
    <row r="36" spans="1:11">
      <c r="A36" s="2" t="s">
        <v>46</v>
      </c>
      <c r="B36" s="2">
        <f ca="1">'10'!$C$24</f>
        <v>29269</v>
      </c>
      <c r="C36" s="2">
        <f ca="1">'10'!$C$18</f>
        <v>25187.5</v>
      </c>
      <c r="D36" s="2">
        <f ca="1">'10'!$C$29</f>
        <v>373146.42999999993</v>
      </c>
      <c r="E36" s="2">
        <f ca="1">'10'!$C$32</f>
        <v>4081.5</v>
      </c>
      <c r="F36" s="2">
        <f ca="1">'10'!$C$31</f>
        <v>4581.5</v>
      </c>
      <c r="G36" s="2">
        <f>'10'!$D$24</f>
        <v>0</v>
      </c>
      <c r="H36" s="2">
        <f ca="1">'10'!$D$18</f>
        <v>51152.380000000005</v>
      </c>
      <c r="I36" s="2">
        <f ca="1">'10'!$D$29</f>
        <v>-262777.61</v>
      </c>
      <c r="J36" s="2">
        <f ca="1">'10'!$D$32</f>
        <v>-51152.380000000005</v>
      </c>
      <c r="K36" s="2">
        <f ca="1">'10'!$D$31</f>
        <v>-51152.379999999976</v>
      </c>
    </row>
    <row r="37" spans="1:11">
      <c r="A37" s="2" t="s">
        <v>47</v>
      </c>
      <c r="B37" s="2">
        <f ca="1">'11'!$C$24</f>
        <v>29269</v>
      </c>
      <c r="C37" s="2">
        <f ca="1">'11'!$C$18</f>
        <v>26237.5</v>
      </c>
      <c r="D37" s="2">
        <f ca="1">'11'!$C$29</f>
        <v>376177.92999999993</v>
      </c>
      <c r="E37" s="2">
        <f ca="1">'11'!$C$32</f>
        <v>3031.5</v>
      </c>
      <c r="F37" s="2">
        <f ca="1">'11'!$C$31</f>
        <v>3531.5</v>
      </c>
      <c r="G37" s="2">
        <f>'11'!$D$24</f>
        <v>0</v>
      </c>
      <c r="H37" s="2">
        <f ca="1">'11'!$D$18</f>
        <v>39969.39</v>
      </c>
      <c r="I37" s="2">
        <f ca="1">'11'!$D$29</f>
        <v>-302747</v>
      </c>
      <c r="J37" s="2">
        <f ca="1">'11'!$D$32</f>
        <v>-39969.39</v>
      </c>
      <c r="K37" s="2">
        <f ca="1">'11'!$D$31</f>
        <v>-39969.390000000014</v>
      </c>
    </row>
    <row r="38" spans="1:11">
      <c r="A38" s="2" t="s">
        <v>48</v>
      </c>
      <c r="B38" s="2">
        <f ca="1">'12'!$C$24</f>
        <v>29269</v>
      </c>
      <c r="C38" s="2">
        <f ca="1">'12'!$C$18</f>
        <v>25187.5</v>
      </c>
      <c r="D38" s="2">
        <f ca="1">'12'!$C$29</f>
        <v>380259.42999999993</v>
      </c>
      <c r="E38" s="2">
        <f ca="1">'12'!$C$32</f>
        <v>4081.5</v>
      </c>
      <c r="F38" s="2">
        <f ca="1">'12'!$C$31</f>
        <v>4581.5</v>
      </c>
      <c r="G38" s="2">
        <f>'12'!$D$24</f>
        <v>0</v>
      </c>
      <c r="H38" s="2">
        <f ca="1">'12'!$D$18</f>
        <v>53610.39</v>
      </c>
      <c r="I38" s="2">
        <f ca="1">'12'!$D$29</f>
        <v>-356357.39</v>
      </c>
      <c r="J38" s="2">
        <f ca="1">'12'!$D$32</f>
        <v>-53610.39</v>
      </c>
      <c r="K38" s="2">
        <f ca="1">'12'!$D$31</f>
        <v>-53610.390000000014</v>
      </c>
    </row>
    <row r="39" spans="1:1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>
      <c r="A40" s="2" t="s">
        <v>53</v>
      </c>
      <c r="B40" s="2">
        <f ca="1">AVERAGE(B27:B38)</f>
        <v>32677.290833333333</v>
      </c>
      <c r="C40" s="2">
        <f t="shared" ref="C40:K40" ca="1" si="1">AVERAGE(C27:C38)</f>
        <v>59730.140833333331</v>
      </c>
      <c r="D40" s="2">
        <f t="shared" ca="1" si="1"/>
        <v>312398.42999999988</v>
      </c>
      <c r="E40" s="2"/>
      <c r="F40" s="2">
        <f t="shared" ca="1" si="1"/>
        <v>-19767.4375</v>
      </c>
      <c r="G40" s="2">
        <f t="shared" si="1"/>
        <v>15589</v>
      </c>
      <c r="H40" s="2">
        <f t="shared" ca="1" si="1"/>
        <v>21763.533333333336</v>
      </c>
      <c r="I40" s="2">
        <f t="shared" ca="1" si="1"/>
        <v>-127697.35083333333</v>
      </c>
      <c r="J40" s="2"/>
      <c r="K40" s="2">
        <f t="shared" ca="1" si="1"/>
        <v>-30202.861666666668</v>
      </c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 t="s">
        <v>24</v>
      </c>
      <c r="B42" s="2">
        <f ca="1">SUM(B27:B38)</f>
        <v>392127.49</v>
      </c>
      <c r="C42" s="2">
        <f ca="1">SUM(F27:F38)</f>
        <v>-237209.25</v>
      </c>
      <c r="D42" s="2"/>
      <c r="E42" s="2"/>
      <c r="F42" s="2"/>
      <c r="G42" s="2">
        <f ca="1">SUM(I27:I38)</f>
        <v>-1532368.21</v>
      </c>
      <c r="H42" s="2">
        <f ca="1">SUM(K27:K38)</f>
        <v>-362434.34</v>
      </c>
      <c r="I42" s="2"/>
      <c r="J42" s="2"/>
      <c r="K42" s="2"/>
    </row>
  </sheetData>
  <sheetProtection selectLockedCells="1" selectUnlockedCells="1"/>
  <mergeCells count="2">
    <mergeCell ref="B25:F25"/>
    <mergeCell ref="G25:K25"/>
  </mergeCell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A1:AW259"/>
  <sheetViews>
    <sheetView rightToLeft="1" topLeftCell="B1" zoomScale="85" zoomScaleNormal="85" workbookViewId="0">
      <pane ySplit="1" topLeftCell="A8" activePane="bottomLeft" state="frozen"/>
      <selection pane="bottomLef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19.7109375" style="204" bestFit="1" customWidth="1"/>
    <col min="17" max="17" width="6.5703125" style="204" bestFit="1" customWidth="1"/>
    <col min="18" max="18" width="5.42578125" style="204" bestFit="1" customWidth="1"/>
    <col min="19" max="26" width="4.28515625" style="204" bestFit="1" customWidth="1"/>
    <col min="27" max="27" width="5.42578125" style="204" bestFit="1" customWidth="1"/>
    <col min="28" max="31" width="4.28515625" style="204" bestFit="1" customWidth="1"/>
    <col min="32" max="32" width="5.42578125" style="204" bestFit="1" customWidth="1"/>
    <col min="33" max="36" width="4.28515625" style="204" bestFit="1" customWidth="1"/>
    <col min="37" max="37" width="5.42578125" style="204" bestFit="1" customWidth="1"/>
    <col min="38" max="38" width="4.28515625" style="204" bestFit="1" customWidth="1"/>
    <col min="39" max="39" width="3.28515625" style="204" bestFit="1" customWidth="1"/>
    <col min="40" max="41" width="4.28515625" style="204" bestFit="1" customWidth="1"/>
    <col min="42" max="43" width="3.28515625" style="204" bestFit="1" customWidth="1"/>
    <col min="44" max="44" width="5.42578125" style="204" bestFit="1" customWidth="1"/>
    <col min="45" max="46" width="3.28515625" style="204" bestFit="1" customWidth="1"/>
    <col min="47" max="48" width="4.28515625" style="204" bestFit="1" customWidth="1"/>
    <col min="49" max="49" width="6.5703125" style="204" bestFit="1" customWidth="1"/>
    <col min="50" max="16384" width="9.28515625" style="204"/>
  </cols>
  <sheetData>
    <row r="1" spans="1:49" ht="13.5" thickBot="1">
      <c r="A1" s="213" t="s">
        <v>268</v>
      </c>
      <c r="B1" s="214" t="s">
        <v>267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10968.630000000001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16981.62</v>
      </c>
      <c r="G4" s="279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15203.96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15203.96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4110.5200000000004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0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0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3257.7200000000003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3257.7200000000003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50745.770000000004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50745.770000000004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27904.83</v>
      </c>
      <c r="D18" s="259">
        <f ca="1">SUM(D2:D17)</f>
        <v>37323.39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4000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4000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מכשירים</v>
      </c>
      <c r="Q27" s="297">
        <f t="shared" si="5"/>
        <v>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0</v>
      </c>
    </row>
    <row r="28" spans="1:49">
      <c r="A28" s="467" t="s">
        <v>28</v>
      </c>
      <c r="B28" s="239" t="s">
        <v>29</v>
      </c>
      <c r="C28" s="239">
        <f ca="1">'6'!C29</f>
        <v>360587.75999999995</v>
      </c>
      <c r="D28" s="240">
        <f ca="1">'6'!D29</f>
        <v>-86057.16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הוצאות לעסק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361951.92999999993</v>
      </c>
      <c r="D29" s="242">
        <f ca="1">D28+D24-D18</f>
        <v>-123380.55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מנויים</v>
      </c>
      <c r="Q29" s="297">
        <f t="shared" si="5"/>
        <v>110.52000000000001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110.52000000000001</v>
      </c>
    </row>
    <row r="30" spans="1:49">
      <c r="A30" s="243" t="s">
        <v>31</v>
      </c>
      <c r="B30" s="204" t="s">
        <v>32</v>
      </c>
      <c r="C30" s="204">
        <f ca="1">SUM(Data!$B$2+C29)</f>
        <v>396951.92999999993</v>
      </c>
      <c r="D30" s="244">
        <f ca="1">SUM(Data!$B$3+D29)</f>
        <v>-113380.55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1864.1699999999837</v>
      </c>
      <c r="D31" s="244">
        <f ca="1">SUM(D29+D16-D28)</f>
        <v>-37323.39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1364.1699999999983</v>
      </c>
      <c r="D32" s="246">
        <f ca="1">D24-D18</f>
        <v>-37323.39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'6'!D35-C35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'1225'!D36-C36</f>
        <v>136176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SUM(C35:C37)</f>
        <v>0</v>
      </c>
      <c r="D39" s="257">
        <f>SUM(D35:D37)</f>
        <v>194726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15000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37911.57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2587.7200000000003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33018.380000000005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117606.05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_xlfn.XLOOKUP(H53,[2]Dropdown!B:B,[2]Dropdown!C:C)</f>
        <v>תחזוקת דירה ותקשורת</v>
      </c>
      <c r="J53" s="204" t="s">
        <v>168</v>
      </c>
      <c r="K53" s="227">
        <v>6</v>
      </c>
      <c r="L53" s="253" t="s">
        <v>610</v>
      </c>
      <c r="M53" s="275" t="s">
        <v>609</v>
      </c>
    </row>
    <row r="54" spans="1:14" ht="13.5" thickBot="1">
      <c r="G54" s="204">
        <v>587.72</v>
      </c>
      <c r="H54" s="204" t="s">
        <v>111</v>
      </c>
      <c r="I54" s="204" t="str">
        <f>_xlfn.XLOOKUP(H54,Dropdown!B:B,Dropdown!C:C)</f>
        <v>ילדים וחינוך</v>
      </c>
      <c r="J54" s="204" t="s">
        <v>165</v>
      </c>
      <c r="K54" s="227">
        <v>0</v>
      </c>
      <c r="M54" s="275" t="s">
        <v>412</v>
      </c>
    </row>
    <row r="55" spans="1:14">
      <c r="F55" s="219" t="s">
        <v>287</v>
      </c>
      <c r="G55" s="225"/>
      <c r="H55" s="225"/>
      <c r="I55" s="225"/>
      <c r="J55" s="225"/>
      <c r="K55" s="225"/>
      <c r="L55" s="225"/>
      <c r="M55" s="274"/>
      <c r="N55" s="274"/>
    </row>
    <row r="56" spans="1:14">
      <c r="I56" s="204">
        <f>_xlfn.XLOOKUP(H56,Dropdown!B:B,Dropdown!C:C)</f>
        <v>0</v>
      </c>
    </row>
    <row r="57" spans="1:14">
      <c r="I57" s="204">
        <f>_xlfn.XLOOKUP(H57,Dropdown!B:B,Dropdown!C:C)</f>
        <v>0</v>
      </c>
    </row>
    <row r="58" spans="1:14">
      <c r="I58" s="204">
        <f>_xlfn.XLOOKUP(H58,Dropdown!B:B,Dropdown!C:C)</f>
        <v>0</v>
      </c>
    </row>
    <row r="59" spans="1:14">
      <c r="I59" s="204">
        <f>_xlfn.XLOOKUP(H59,Dropdown!B:B,Dropdown!C:C)</f>
        <v>0</v>
      </c>
    </row>
    <row r="60" spans="1:14">
      <c r="G60" s="250"/>
      <c r="I60" s="204">
        <f>_xlfn.XLOOKUP(H60,Dropdown!B:B,Dropdown!C:C)</f>
        <v>0</v>
      </c>
    </row>
    <row r="61" spans="1:14">
      <c r="G61" s="250"/>
      <c r="I61" s="204">
        <f>_xlfn.XLOOKUP(H61,Dropdown!B:B,Dropdown!C:C)</f>
        <v>0</v>
      </c>
    </row>
    <row r="62" spans="1:14">
      <c r="G62" s="250">
        <v>1000</v>
      </c>
      <c r="H62" s="204" t="s">
        <v>91</v>
      </c>
      <c r="I62" s="204" t="str">
        <f>_xlfn.XLOOKUP(H62,Dropdown!B:B,Dropdown!C:C)</f>
        <v>מזון וקניות</v>
      </c>
      <c r="J62" s="204" t="s">
        <v>165</v>
      </c>
    </row>
    <row r="63" spans="1:14">
      <c r="E63" s="204"/>
      <c r="G63" s="250"/>
      <c r="I63" s="204">
        <f>_xlfn.XLOOKUP(H63,Dropdown!B:B,Dropdown!C:C)</f>
        <v>0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50"/>
      <c r="I64" s="204">
        <f>_xlfn.XLOOKUP(H64,Dropdown!B:B,Dropdown!C:C)</f>
        <v>0</v>
      </c>
    </row>
    <row r="65" spans="1:10">
      <c r="A65" s="204" t="s">
        <v>426</v>
      </c>
      <c r="B65" s="204">
        <f>SUMIF(I:I,A65,G:G)-SUMIF(H:H,"הוצאות על הבנייה",G:G)</f>
        <v>15203.96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2381.9599999999991</v>
      </c>
      <c r="G65" s="250"/>
      <c r="I65" s="204">
        <f>_xlfn.XLOOKUP(H65,Dropdown!B:B,Dropdown!C:C)</f>
        <v>0</v>
      </c>
    </row>
    <row r="66" spans="1:10">
      <c r="A66" s="227" t="s">
        <v>425</v>
      </c>
      <c r="B66" s="251">
        <f t="shared" ref="B66:B71" si="13">SUMIF(I:I,A66,G:G)</f>
        <v>4110.5200000000004</v>
      </c>
      <c r="C66" s="204">
        <f>'ממוצע ורצוי'!$N$38</f>
        <v>9000</v>
      </c>
      <c r="D66" s="204">
        <f t="shared" ref="D66:D71" si="14">IF(C66-B66&lt;0,0,C66-B66)</f>
        <v>4889.4799999999996</v>
      </c>
      <c r="E66" s="204">
        <f t="shared" ref="E66:E71" si="15">IF(C66-B66&lt;0,(C66-B66)*-1,0)</f>
        <v>0</v>
      </c>
      <c r="G66" s="250"/>
      <c r="I66" s="204">
        <f>_xlfn.XLOOKUP(H66,Dropdown!B:B,Dropdown!C:C)</f>
        <v>0</v>
      </c>
    </row>
    <row r="67" spans="1:10">
      <c r="A67" s="227" t="s">
        <v>424</v>
      </c>
      <c r="B67" s="136">
        <f t="shared" si="13"/>
        <v>0</v>
      </c>
      <c r="C67" s="204">
        <f>'ממוצע ורצוי'!$N$54</f>
        <v>3240</v>
      </c>
      <c r="D67" s="204">
        <f t="shared" si="14"/>
        <v>3240</v>
      </c>
      <c r="E67" s="204">
        <f t="shared" si="15"/>
        <v>0</v>
      </c>
      <c r="G67" s="250"/>
      <c r="I67" s="204">
        <f>_xlfn.XLOOKUP(H67,Dropdown!B:B,Dropdown!C:C)</f>
        <v>0</v>
      </c>
    </row>
    <row r="68" spans="1:10">
      <c r="A68" s="227" t="s">
        <v>423</v>
      </c>
      <c r="B68" s="136">
        <f t="shared" si="13"/>
        <v>3257.7200000000003</v>
      </c>
      <c r="C68" s="204">
        <f>'ממוצע ורצוי'!$N$71</f>
        <v>4900</v>
      </c>
      <c r="D68" s="204">
        <f t="shared" si="14"/>
        <v>1642.2799999999997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52" t="s">
        <v>422</v>
      </c>
      <c r="B69" s="136">
        <f t="shared" si="13"/>
        <v>0</v>
      </c>
      <c r="C69" s="204">
        <f>'ממוצע ורצוי'!$N$88</f>
        <v>2600</v>
      </c>
      <c r="D69" s="204">
        <f t="shared" si="14"/>
        <v>2600</v>
      </c>
      <c r="E69" s="204">
        <f t="shared" si="15"/>
        <v>0</v>
      </c>
      <c r="G69" s="250"/>
      <c r="I69" s="204">
        <f>_xlfn.XLOOKUP(H69,Dropdown!B:B,Dropdown!C:C)</f>
        <v>0</v>
      </c>
    </row>
    <row r="70" spans="1:10">
      <c r="A70" s="227" t="s">
        <v>421</v>
      </c>
      <c r="B70" s="136">
        <f t="shared" si="13"/>
        <v>1402</v>
      </c>
      <c r="C70" s="204">
        <f>'ממוצע ורצוי'!$N$98</f>
        <v>980</v>
      </c>
      <c r="D70" s="204">
        <f t="shared" si="14"/>
        <v>0</v>
      </c>
      <c r="E70" s="204">
        <f t="shared" si="15"/>
        <v>422</v>
      </c>
      <c r="G70" s="250"/>
      <c r="I70" s="204">
        <f>_xlfn.XLOOKUP(H70,Dropdown!B:B,Dropdown!C:C)</f>
        <v>0</v>
      </c>
    </row>
    <row r="71" spans="1:10">
      <c r="A71" s="227" t="s">
        <v>420</v>
      </c>
      <c r="B71" s="136">
        <f t="shared" ca="1" si="13"/>
        <v>1475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145</v>
      </c>
      <c r="G71" s="250"/>
      <c r="I71" s="204">
        <f>_xlfn.XLOOKUP(H71,Dropdown!B:B,Dropdown!C:C)</f>
        <v>0</v>
      </c>
    </row>
    <row r="72" spans="1:10">
      <c r="A72" s="227"/>
      <c r="B72" s="136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>
        <v>1000</v>
      </c>
      <c r="H74" s="204" t="s">
        <v>91</v>
      </c>
      <c r="I74" s="204" t="str">
        <f>_xlfn.XLOOKUP(H74,Dropdown!B:B,Dropdown!C:C)</f>
        <v>מזון וקניות</v>
      </c>
      <c r="J74" s="204" t="s">
        <v>166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>
        <v>1000</v>
      </c>
      <c r="H86" s="204" t="s">
        <v>91</v>
      </c>
      <c r="I86" s="204" t="str">
        <f>_xlfn.XLOOKUP(H86,Dropdown!B:B,Dropdown!C:C)</f>
        <v>מזון וקניות</v>
      </c>
      <c r="J86" s="204" t="s">
        <v>166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>
        <v>1000</v>
      </c>
      <c r="H100" s="204" t="s">
        <v>91</v>
      </c>
      <c r="I100" s="204" t="str">
        <f>_xlfn.XLOOKUP(H100,Dropdown!B:B,Dropdown!C:C)</f>
        <v>מזון וקניות</v>
      </c>
      <c r="J100" s="204" t="s">
        <v>166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</sheetData>
  <sheetProtection selectLockedCells="1" selectUnlockedCells="1"/>
  <autoFilter ref="F1:N435" xr:uid="{00000000-0009-0000-0000-00000B000000}"/>
  <sortState xmlns:xlrd2="http://schemas.microsoft.com/office/spreadsheetml/2017/richdata2" ref="F57:N189">
    <sortCondition ref="F57:F189"/>
  </sortState>
  <mergeCells count="8">
    <mergeCell ref="A35:A38"/>
    <mergeCell ref="A2:A6"/>
    <mergeCell ref="A9:A10"/>
    <mergeCell ref="A11:A13"/>
    <mergeCell ref="A31:A32"/>
    <mergeCell ref="A7:A8"/>
    <mergeCell ref="A20:A23"/>
    <mergeCell ref="A28:A29"/>
  </mergeCells>
  <conditionalFormatting sqref="C2">
    <cfRule type="duplicateValues" dxfId="82" priority="1" stopIfTrue="1"/>
  </conditionalFormatting>
  <conditionalFormatting sqref="Q6:AV13">
    <cfRule type="cellIs" dxfId="81" priority="2" operator="greaterThan">
      <formula>0</formula>
    </cfRule>
  </conditionalFormatting>
  <conditionalFormatting sqref="Q19:AV37">
    <cfRule type="cellIs" dxfId="80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6:J167 J3:J51 J53:J54" xr:uid="{9DA06203-E2B3-4AA9-A50D-1E4462BC025F}">
      <formula1>סוג_תשלום</formula1>
    </dataValidation>
    <dataValidation type="list" errorStyle="warning" allowBlank="1" showInputMessage="1" showErrorMessage="1" errorTitle="חסרה קטגוריה" sqref="H56:H167 H53:H54 H3:H51" xr:uid="{D23D50FD-8818-42F9-BCBC-7DF278131A68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E4E4F9-50E1-488B-842F-26E681B91240}">
          <x14:formula1>
            <xm:f>Dropdown!$D$2:$D$9</xm:f>
          </x14:formula1>
          <xm:sqref>P18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AW260"/>
  <sheetViews>
    <sheetView rightToLeft="1" topLeftCell="B1" zoomScale="85" zoomScaleNormal="85" workbookViewId="0">
      <pane ySplit="1" topLeftCell="A8" activePane="bottomLeft" state="frozen"/>
      <selection activeCell="B1" sqref="B1"/>
      <selection pane="bottomLef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20.42578125" style="204" bestFit="1" customWidth="1"/>
    <col min="17" max="17" width="6.5703125" style="204" bestFit="1" customWidth="1"/>
    <col min="18" max="20" width="5.42578125" style="204" bestFit="1" customWidth="1"/>
    <col min="21" max="23" width="4.28515625" style="204" bestFit="1" customWidth="1"/>
    <col min="24" max="24" width="3.28515625" style="204" bestFit="1" customWidth="1"/>
    <col min="25" max="29" width="4.28515625" style="204" bestFit="1" customWidth="1"/>
    <col min="30" max="31" width="5.42578125" style="204" bestFit="1" customWidth="1"/>
    <col min="32" max="34" width="4.28515625" style="204" bestFit="1" customWidth="1"/>
    <col min="35" max="35" width="3.28515625" style="204" bestFit="1" customWidth="1"/>
    <col min="36" max="36" width="4.28515625" style="204" bestFit="1" customWidth="1"/>
    <col min="37" max="37" width="3.28515625" style="204" bestFit="1" customWidth="1"/>
    <col min="38" max="38" width="4.28515625" style="204" bestFit="1" customWidth="1"/>
    <col min="39" max="39" width="5.42578125" style="204" bestFit="1" customWidth="1"/>
    <col min="40" max="40" width="3.28515625" style="204" bestFit="1" customWidth="1"/>
    <col min="41" max="42" width="4.28515625" style="204" bestFit="1" customWidth="1"/>
    <col min="43" max="43" width="5.42578125" style="204" bestFit="1" customWidth="1"/>
    <col min="44" max="44" width="4.28515625" style="204" bestFit="1" customWidth="1"/>
    <col min="45" max="46" width="5.42578125" style="204" bestFit="1" customWidth="1"/>
    <col min="47" max="48" width="4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269</v>
      </c>
      <c r="B1" s="214" t="s">
        <v>268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8251.2999999999993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31667.62</v>
      </c>
      <c r="G4" s="279">
        <v>400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650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16253.96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16253.96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412.9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4523.42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1187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1187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2670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2670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35745.770000000004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35745.770000000004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25187.5</v>
      </c>
      <c r="D18" s="259">
        <f ca="1">SUM(D2:D17)</f>
        <v>52009.39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4000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4000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מכשירים</v>
      </c>
      <c r="Q27" s="297">
        <f t="shared" si="5"/>
        <v>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0</v>
      </c>
    </row>
    <row r="28" spans="1:49">
      <c r="A28" s="467" t="s">
        <v>28</v>
      </c>
      <c r="B28" s="239" t="s">
        <v>29</v>
      </c>
      <c r="C28" s="239">
        <f ca="1">'7'!C29</f>
        <v>361951.92999999993</v>
      </c>
      <c r="D28" s="240">
        <f ca="1">'7'!D29</f>
        <v>-123380.55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הוצאות לעסק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366033.42999999993</v>
      </c>
      <c r="D29" s="242">
        <f ca="1">D28+D24-D18</f>
        <v>-175389.94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מנויים</v>
      </c>
      <c r="Q29" s="297">
        <f t="shared" si="5"/>
        <v>110.52000000000001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110.52000000000001</v>
      </c>
    </row>
    <row r="30" spans="1:49">
      <c r="A30" s="243" t="s">
        <v>31</v>
      </c>
      <c r="B30" s="204" t="s">
        <v>32</v>
      </c>
      <c r="C30" s="204">
        <f ca="1">SUM(Data!$B$2+C29)</f>
        <v>401033.42999999993</v>
      </c>
      <c r="D30" s="244">
        <f ca="1">SUM(Data!$B$3+D29)</f>
        <v>-165389.94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412.9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412.9</v>
      </c>
    </row>
    <row r="31" spans="1:49">
      <c r="A31" s="463" t="s">
        <v>14</v>
      </c>
      <c r="B31" s="204" t="s">
        <v>33</v>
      </c>
      <c r="C31" s="204">
        <f ca="1">SUM(C29+C16-C28+C15)</f>
        <v>4581.5</v>
      </c>
      <c r="D31" s="244">
        <f ca="1">SUM(D29+D16-D28)</f>
        <v>-52009.39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4081.5</v>
      </c>
      <c r="D32" s="246">
        <f ca="1">D24-D18</f>
        <v>-52009.39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'7'!D35-C35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'7'!D36-C36</f>
        <v>136176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40628.9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2000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18332.38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105637.38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4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4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4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4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4:14">
      <c r="D53" s="136"/>
      <c r="G53" s="279">
        <v>1187</v>
      </c>
      <c r="H53" s="204" t="s">
        <v>101</v>
      </c>
      <c r="I53" s="204" t="str">
        <f>_xlfn.XLOOKUP(H53,[2]Dropdown!B:B,[2]Dropdown!C:C)</f>
        <v>רכב ונסיעות</v>
      </c>
      <c r="J53" s="204" t="s">
        <v>399</v>
      </c>
    </row>
    <row r="54" spans="4:14">
      <c r="G54" s="204">
        <v>2000</v>
      </c>
      <c r="H54" s="204" t="s">
        <v>374</v>
      </c>
      <c r="I54" s="204" t="str">
        <f>_xlfn.XLOOKUP(H54,[2]Dropdown!B:B,[2]Dropdown!C:C)</f>
        <v>תחזוקת דירה ותקשורת</v>
      </c>
      <c r="J54" s="204" t="s">
        <v>168</v>
      </c>
      <c r="K54" s="227">
        <v>5</v>
      </c>
      <c r="L54" s="253" t="s">
        <v>610</v>
      </c>
      <c r="M54" s="275" t="s">
        <v>609</v>
      </c>
    </row>
    <row r="55" spans="4:14" ht="13.5" thickBot="1">
      <c r="F55" s="226" t="s">
        <v>407</v>
      </c>
      <c r="G55" s="279">
        <v>412.9</v>
      </c>
      <c r="H55" s="204" t="s">
        <v>432</v>
      </c>
      <c r="I55" s="204" t="str">
        <f>_xlfn.XLOOKUP(H55,[2]Dropdown!B:B,[2]Dropdown!C:C)</f>
        <v>מזון וקניות</v>
      </c>
      <c r="J55" s="204" t="s">
        <v>400</v>
      </c>
      <c r="M55" s="275" t="s">
        <v>408</v>
      </c>
    </row>
    <row r="56" spans="4:14">
      <c r="F56" s="219" t="s">
        <v>287</v>
      </c>
      <c r="G56" s="225"/>
      <c r="H56" s="225"/>
      <c r="I56" s="225"/>
      <c r="J56" s="225"/>
      <c r="K56" s="225"/>
      <c r="L56" s="225"/>
      <c r="M56" s="274"/>
      <c r="N56" s="274"/>
    </row>
    <row r="57" spans="4:14">
      <c r="I57" s="204">
        <f>_xlfn.XLOOKUP(H57,Dropdown!B:B,Dropdown!C:C)</f>
        <v>0</v>
      </c>
    </row>
    <row r="58" spans="4:14">
      <c r="I58" s="204">
        <f>_xlfn.XLOOKUP(H58,Dropdown!B:B,Dropdown!C:C)</f>
        <v>0</v>
      </c>
    </row>
    <row r="59" spans="4:14">
      <c r="I59" s="204">
        <f>_xlfn.XLOOKUP(H59,Dropdown!B:B,Dropdown!C:C)</f>
        <v>0</v>
      </c>
    </row>
    <row r="60" spans="4:14">
      <c r="I60" s="204">
        <f>_xlfn.XLOOKUP(H60,Dropdown!B:B,Dropdown!C:C)</f>
        <v>0</v>
      </c>
    </row>
    <row r="61" spans="4:14">
      <c r="G61" s="250"/>
      <c r="I61" s="204">
        <f>_xlfn.XLOOKUP(H61,Dropdown!B:B,Dropdown!C:C)</f>
        <v>0</v>
      </c>
    </row>
    <row r="62" spans="4:14">
      <c r="G62" s="250"/>
      <c r="I62" s="204">
        <f>_xlfn.XLOOKUP(H62,Dropdown!B:B,Dropdown!C:C)</f>
        <v>0</v>
      </c>
    </row>
    <row r="63" spans="4:14">
      <c r="E63" s="204"/>
      <c r="G63" s="250">
        <v>1000</v>
      </c>
      <c r="H63" s="204" t="s">
        <v>91</v>
      </c>
      <c r="I63" s="204" t="str">
        <f>_xlfn.XLOOKUP(H63,Dropdown!B:B,Dropdown!C:C)</f>
        <v>מזון וקניות</v>
      </c>
      <c r="J63" s="204" t="s">
        <v>165</v>
      </c>
    </row>
    <row r="64" spans="4:14">
      <c r="E64" s="204"/>
      <c r="G64" s="250"/>
      <c r="I64" s="204">
        <f>_xlfn.XLOOKUP(H64,Dropdown!B:B,Dropdown!C:C)</f>
        <v>0</v>
      </c>
    </row>
    <row r="65" spans="1:10">
      <c r="A65" s="204" t="s">
        <v>214</v>
      </c>
      <c r="B65" s="204" t="s">
        <v>204</v>
      </c>
      <c r="C65" s="204" t="s">
        <v>181</v>
      </c>
      <c r="D65" s="204" t="s">
        <v>182</v>
      </c>
      <c r="E65" s="204" t="s">
        <v>238</v>
      </c>
      <c r="G65" s="250"/>
      <c r="I65" s="204">
        <f>_xlfn.XLOOKUP(H65,Dropdown!B:B,Dropdown!C:C)</f>
        <v>0</v>
      </c>
    </row>
    <row r="66" spans="1:10">
      <c r="A66" s="204" t="s">
        <v>426</v>
      </c>
      <c r="B66" s="204">
        <f>SUMIF(I:I,A66,G:G)-SUMIF(H:H,"הוצאות על הבנייה",G:G)</f>
        <v>16253.96</v>
      </c>
      <c r="C66" s="204">
        <f>'ממוצע ורצוי'!$N$22</f>
        <v>12822</v>
      </c>
      <c r="D66" s="204">
        <f>IF(C66-B66&lt;0,0,C66-B66)</f>
        <v>0</v>
      </c>
      <c r="E66" s="204">
        <f>IF(C66-B66&lt;0,(C66-B66)*-1,0)</f>
        <v>3431.9599999999991</v>
      </c>
      <c r="G66" s="250"/>
      <c r="I66" s="204">
        <f>_xlfn.XLOOKUP(H66,Dropdown!B:B,Dropdown!C:C)</f>
        <v>0</v>
      </c>
    </row>
    <row r="67" spans="1:10">
      <c r="A67" s="227" t="s">
        <v>425</v>
      </c>
      <c r="B67" s="251">
        <f t="shared" ref="B67:B72" si="13">SUMIF(I:I,A67,G:G)</f>
        <v>4523.42</v>
      </c>
      <c r="C67" s="204">
        <f>'ממוצע ורצוי'!$N$38</f>
        <v>9000</v>
      </c>
      <c r="D67" s="204">
        <f t="shared" ref="D67:D72" si="14">IF(C67-B67&lt;0,0,C67-B67)</f>
        <v>4476.58</v>
      </c>
      <c r="E67" s="204">
        <f t="shared" ref="E67:E72" si="15">IF(C67-B67&lt;0,(C67-B67)*-1,0)</f>
        <v>0</v>
      </c>
      <c r="G67" s="250"/>
      <c r="I67" s="204">
        <f>_xlfn.XLOOKUP(H67,Dropdown!B:B,Dropdown!C:C)</f>
        <v>0</v>
      </c>
    </row>
    <row r="68" spans="1:10">
      <c r="A68" s="227" t="s">
        <v>424</v>
      </c>
      <c r="B68" s="136">
        <f t="shared" si="13"/>
        <v>1187</v>
      </c>
      <c r="C68" s="204">
        <f>'ממוצע ורצוי'!$N$54</f>
        <v>3240</v>
      </c>
      <c r="D68" s="204">
        <f t="shared" si="14"/>
        <v>2053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27" t="s">
        <v>423</v>
      </c>
      <c r="B69" s="136">
        <f t="shared" si="13"/>
        <v>2670</v>
      </c>
      <c r="C69" s="204">
        <f>'ממוצע ורצוי'!$N$71</f>
        <v>4900</v>
      </c>
      <c r="D69" s="204">
        <f t="shared" si="14"/>
        <v>2230</v>
      </c>
      <c r="E69" s="204">
        <f t="shared" si="15"/>
        <v>0</v>
      </c>
      <c r="G69" s="250"/>
      <c r="I69" s="204">
        <f>_xlfn.XLOOKUP(H69,Dropdown!B:B,Dropdown!C:C)</f>
        <v>0</v>
      </c>
    </row>
    <row r="70" spans="1:10">
      <c r="A70" s="252" t="s">
        <v>422</v>
      </c>
      <c r="B70" s="136">
        <f t="shared" si="13"/>
        <v>0</v>
      </c>
      <c r="C70" s="204">
        <f>'ממוצע ורצוי'!$N$88</f>
        <v>2600</v>
      </c>
      <c r="D70" s="204">
        <f t="shared" si="14"/>
        <v>2600</v>
      </c>
      <c r="E70" s="204">
        <f t="shared" si="15"/>
        <v>0</v>
      </c>
      <c r="G70" s="250"/>
      <c r="I70" s="204">
        <f>_xlfn.XLOOKUP(H70,Dropdown!B:B,Dropdown!C:C)</f>
        <v>0</v>
      </c>
    </row>
    <row r="71" spans="1:10">
      <c r="A71" s="227" t="s">
        <v>421</v>
      </c>
      <c r="B71" s="136">
        <f t="shared" si="13"/>
        <v>1402</v>
      </c>
      <c r="C71" s="204">
        <f>'ממוצע ורצוי'!$N$98</f>
        <v>980</v>
      </c>
      <c r="D71" s="204">
        <f t="shared" si="14"/>
        <v>0</v>
      </c>
      <c r="E71" s="204">
        <f t="shared" si="15"/>
        <v>422</v>
      </c>
      <c r="G71" s="250"/>
      <c r="I71" s="204">
        <f>_xlfn.XLOOKUP(H71,Dropdown!B:B,Dropdown!C:C)</f>
        <v>0</v>
      </c>
    </row>
    <row r="72" spans="1:10">
      <c r="A72" s="227" t="s">
        <v>420</v>
      </c>
      <c r="B72" s="136">
        <f t="shared" ca="1" si="13"/>
        <v>1475</v>
      </c>
      <c r="C72" s="204">
        <f>'ממוצע ורצוי'!$N$111</f>
        <v>1330</v>
      </c>
      <c r="D72" s="204">
        <f t="shared" ca="1" si="14"/>
        <v>0</v>
      </c>
      <c r="E72" s="204">
        <f t="shared" ca="1" si="15"/>
        <v>145</v>
      </c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/>
      <c r="I74" s="204">
        <f>_xlfn.XLOOKUP(H74,Dropdown!B:B,Dropdown!C:C)</f>
        <v>0</v>
      </c>
    </row>
    <row r="75" spans="1:10">
      <c r="G75" s="250">
        <v>1000</v>
      </c>
      <c r="H75" s="204" t="s">
        <v>91</v>
      </c>
      <c r="I75" s="204" t="str">
        <f>_xlfn.XLOOKUP(H75,Dropdown!B:B,Dropdown!C:C)</f>
        <v>מזון וקניות</v>
      </c>
      <c r="J75" s="204" t="s">
        <v>166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/>
      <c r="I86" s="204">
        <f>_xlfn.XLOOKUP(H86,Dropdown!B:B,Dropdown!C:C)</f>
        <v>0</v>
      </c>
    </row>
    <row r="87" spans="7:10">
      <c r="G87" s="250">
        <v>1000</v>
      </c>
      <c r="H87" s="204" t="s">
        <v>91</v>
      </c>
      <c r="I87" s="204" t="str">
        <f>_xlfn.XLOOKUP(H87,Dropdown!B:B,Dropdown!C:C)</f>
        <v>מזון וקניות</v>
      </c>
      <c r="J87" s="204" t="s">
        <v>166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/>
      <c r="I100" s="204">
        <f>_xlfn.XLOOKUP(H100,Dropdown!B:B,Dropdown!C:C)</f>
        <v>0</v>
      </c>
    </row>
    <row r="101" spans="7:10">
      <c r="G101" s="250">
        <v>1000</v>
      </c>
      <c r="H101" s="204" t="s">
        <v>91</v>
      </c>
      <c r="I101" s="204" t="str">
        <f>_xlfn.XLOOKUP(H101,Dropdown!B:B,Dropdown!C:C)</f>
        <v>מזון וקניות</v>
      </c>
      <c r="J101" s="204" t="s">
        <v>166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</sheetData>
  <sheetProtection selectLockedCells="1" selectUnlockedCells="1"/>
  <autoFilter ref="A1:N18" xr:uid="{00000000-0001-0000-0C00-000000000000}"/>
  <sortState xmlns:xlrd2="http://schemas.microsoft.com/office/spreadsheetml/2017/richdata2" ref="F60:N207">
    <sortCondition ref="F60:F207"/>
  </sortState>
  <mergeCells count="8">
    <mergeCell ref="A35:A38"/>
    <mergeCell ref="A31:A32"/>
    <mergeCell ref="A2:A6"/>
    <mergeCell ref="A9:A10"/>
    <mergeCell ref="A11:A13"/>
    <mergeCell ref="A28:A29"/>
    <mergeCell ref="A7:A8"/>
    <mergeCell ref="A20:A23"/>
  </mergeCells>
  <conditionalFormatting sqref="C2">
    <cfRule type="duplicateValues" dxfId="79" priority="1" stopIfTrue="1"/>
  </conditionalFormatting>
  <conditionalFormatting sqref="Q6:AV13">
    <cfRule type="cellIs" dxfId="78" priority="2" operator="greaterThan">
      <formula>0</formula>
    </cfRule>
  </conditionalFormatting>
  <conditionalFormatting sqref="Q19:AV37">
    <cfRule type="cellIs" dxfId="77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7:J168 J3:J51 J53:J55" xr:uid="{B26BDEC6-ED18-448A-A0EC-64C709C2CCDC}">
      <formula1>סוג_תשלום</formula1>
    </dataValidation>
    <dataValidation type="list" errorStyle="warning" allowBlank="1" showInputMessage="1" showErrorMessage="1" errorTitle="חסרה קטגוריה" sqref="H57:H168 H3:H51 H53:H55" xr:uid="{153B727E-4B46-4BF3-9346-216493C01EB6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3A889F-75F5-40D3-B3CB-4DC1061BE644}">
          <x14:formula1>
            <xm:f>Dropdown!$D$2:$D$9</xm:f>
          </x14:formula1>
          <xm:sqref>P18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AW259"/>
  <sheetViews>
    <sheetView rightToLeft="1" zoomScale="80" zoomScaleNormal="80" workbookViewId="0">
      <pane xSplit="1" ySplit="1" topLeftCell="C5" activePane="bottomRight" state="frozen"/>
      <selection pane="topRight" activeCell="B1" sqref="B1"/>
      <selection pane="bottomLeft" activeCell="A3" sqref="A3"/>
      <selection pane="bottomRigh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20.42578125" style="204" bestFit="1" customWidth="1"/>
    <col min="17" max="17" width="6.5703125" style="204" bestFit="1" customWidth="1"/>
    <col min="18" max="19" width="4.28515625" style="204" bestFit="1" customWidth="1"/>
    <col min="20" max="20" width="5.42578125" style="204" bestFit="1" customWidth="1"/>
    <col min="21" max="21" width="4.28515625" style="204" bestFit="1" customWidth="1"/>
    <col min="22" max="22" width="5.42578125" style="204" bestFit="1" customWidth="1"/>
    <col min="23" max="23" width="5" style="204" bestFit="1" customWidth="1"/>
    <col min="24" max="24" width="4" style="204" bestFit="1" customWidth="1"/>
    <col min="25" max="25" width="4.28515625" style="204" bestFit="1" customWidth="1"/>
    <col min="26" max="26" width="2.28515625" style="204" bestFit="1" customWidth="1"/>
    <col min="27" max="27" width="5.42578125" style="204" bestFit="1" customWidth="1"/>
    <col min="28" max="28" width="3.28515625" style="204" bestFit="1" customWidth="1"/>
    <col min="29" max="31" width="5.42578125" style="204" bestFit="1" customWidth="1"/>
    <col min="32" max="32" width="4.28515625" style="204" bestFit="1" customWidth="1"/>
    <col min="33" max="33" width="3.28515625" style="204" bestFit="1" customWidth="1"/>
    <col min="34" max="35" width="4.28515625" style="204" bestFit="1" customWidth="1"/>
    <col min="36" max="37" width="5.42578125" style="204" bestFit="1" customWidth="1"/>
    <col min="38" max="38" width="4.28515625" style="204" bestFit="1" customWidth="1"/>
    <col min="39" max="39" width="3.28515625" style="204" bestFit="1" customWidth="1"/>
    <col min="40" max="40" width="4.28515625" style="204" bestFit="1" customWidth="1"/>
    <col min="41" max="41" width="3.28515625" style="204" bestFit="1" customWidth="1"/>
    <col min="42" max="43" width="4.28515625" style="204" bestFit="1" customWidth="1"/>
    <col min="44" max="44" width="3.28515625" style="204" bestFit="1" customWidth="1"/>
    <col min="45" max="47" width="4.28515625" style="204" bestFit="1" customWidth="1"/>
    <col min="48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270</v>
      </c>
      <c r="B1" s="214" t="s">
        <v>269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9301.2999999999993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15893.52</v>
      </c>
      <c r="G4" s="279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15203.96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15203.96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329.99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4440.51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0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0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2670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2670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50745.770000000004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50745.770000000004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26237.5</v>
      </c>
      <c r="D18" s="259">
        <f ca="1">SUM(D2:D17)</f>
        <v>36235.29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426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7">_xlfn._xlws.FILTER(Dropdown!$B:$B,Dropdown!$C:$C = $P$18)</f>
        <v>משכנתא</v>
      </c>
      <c r="Q19" s="297">
        <f t="shared" ref="Q19:Q37" si="5">SUMIFS($G:$G,$H:$H,$P19,$F:$F,"")</f>
        <v>8500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8500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שכר דירה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ארנונה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מים</v>
      </c>
      <c r="Q22" s="297">
        <f t="shared" si="5"/>
        <v>600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600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חשמל</v>
      </c>
      <c r="Q23" s="297">
        <f t="shared" si="5"/>
        <v>800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800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גז/נפט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טלפון (נייח)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טלפונים ניידים</v>
      </c>
      <c r="Q26" s="297">
        <f t="shared" si="5"/>
        <v>272.3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272.3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ביוב</v>
      </c>
      <c r="Q27" s="297">
        <f t="shared" si="5"/>
        <v>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0</v>
      </c>
    </row>
    <row r="28" spans="1:49">
      <c r="A28" s="467" t="s">
        <v>28</v>
      </c>
      <c r="B28" s="239" t="s">
        <v>29</v>
      </c>
      <c r="C28" s="239">
        <f ca="1">'8'!C29</f>
        <v>366033.42999999993</v>
      </c>
      <c r="D28" s="240">
        <f ca="1">'8'!D29</f>
        <v>-175389.94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כבלים</v>
      </c>
      <c r="Q28" s="297">
        <f t="shared" si="5"/>
        <v>218.8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218.8</v>
      </c>
    </row>
    <row r="29" spans="1:49">
      <c r="A29" s="468"/>
      <c r="B29" s="204" t="s">
        <v>30</v>
      </c>
      <c r="C29" s="241">
        <f ca="1">C28+C24-C18</f>
        <v>369064.92999999993</v>
      </c>
      <c r="D29" s="242">
        <f ca="1">D28+D24-D18</f>
        <v>-211625.23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אינטרנט</v>
      </c>
      <c r="Q29" s="297">
        <f t="shared" si="5"/>
        <v>95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95</v>
      </c>
    </row>
    <row r="30" spans="1:49">
      <c r="A30" s="243" t="s">
        <v>31</v>
      </c>
      <c r="B30" s="204" t="s">
        <v>32</v>
      </c>
      <c r="C30" s="204">
        <f ca="1">SUM(Data!$B$2+C29)</f>
        <v>404064.92999999993</v>
      </c>
      <c r="D30" s="244">
        <f ca="1">SUM(Data!$B$3+D29)</f>
        <v>-201625.23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ועד בית/ישוב</v>
      </c>
      <c r="Q30" s="297">
        <f t="shared" si="5"/>
        <v>1709.26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1709.26</v>
      </c>
    </row>
    <row r="31" spans="1:49">
      <c r="A31" s="463" t="s">
        <v>14</v>
      </c>
      <c r="B31" s="204" t="s">
        <v>33</v>
      </c>
      <c r="C31" s="204">
        <f ca="1">SUM(C29+C16-C28+C15)</f>
        <v>3531.5</v>
      </c>
      <c r="D31" s="244">
        <f ca="1">SUM(D29+D16-D28)</f>
        <v>-36235.290000000008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עוזרת בית</v>
      </c>
      <c r="Q31" s="297">
        <f t="shared" si="5"/>
        <v>908.6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908.6</v>
      </c>
    </row>
    <row r="32" spans="1:49" ht="13.5" thickBot="1">
      <c r="A32" s="464"/>
      <c r="B32" s="245" t="s">
        <v>34</v>
      </c>
      <c r="C32" s="245">
        <f ca="1">C24-C18</f>
        <v>3031.5</v>
      </c>
      <c r="D32" s="246">
        <f ca="1">D24-D18</f>
        <v>-36235.29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 t="str">
        <v>גינון</v>
      </c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 t="str">
        <v>ביטוח דירה</v>
      </c>
      <c r="Q33" s="297">
        <f t="shared" si="5"/>
        <v>100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100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 t="str">
        <v>רכישות לבית</v>
      </c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'8'!D35-C35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 t="str">
        <v>אחזקת בית ותיקונים</v>
      </c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'8'!D36-C36</f>
        <v>136176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 t="str">
        <v>מנויים דיגטליים</v>
      </c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 t="str">
        <v>בנייה</v>
      </c>
      <c r="Q37" s="297">
        <f t="shared" si="5"/>
        <v>2000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2000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194726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15000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39578.9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2000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34106.479999999996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120361.48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_xlfn.XLOOKUP(H53,[2]Dropdown!B:B,[2]Dropdown!C:C)</f>
        <v>תחזוקת דירה ותקשורת</v>
      </c>
      <c r="J53" s="204" t="s">
        <v>168</v>
      </c>
      <c r="K53" s="227">
        <v>4</v>
      </c>
      <c r="L53" s="253" t="s">
        <v>610</v>
      </c>
      <c r="M53" s="275" t="s">
        <v>609</v>
      </c>
    </row>
    <row r="54" spans="1:14" ht="13.5" thickBot="1">
      <c r="F54" s="226" t="s">
        <v>413</v>
      </c>
      <c r="G54" s="279">
        <v>329.99</v>
      </c>
      <c r="H54" s="204" t="s">
        <v>432</v>
      </c>
      <c r="I54" s="204" t="str">
        <f>_xlfn.XLOOKUP(H54,[2]Dropdown!B:B,[2]Dropdown!C:C)</f>
        <v>מזון וקניות</v>
      </c>
      <c r="J54" s="204" t="s">
        <v>400</v>
      </c>
      <c r="M54" s="275" t="s">
        <v>414</v>
      </c>
    </row>
    <row r="55" spans="1:14">
      <c r="F55" s="219" t="s">
        <v>287</v>
      </c>
      <c r="G55" s="225"/>
      <c r="H55" s="225"/>
      <c r="I55" s="225"/>
      <c r="J55" s="225"/>
      <c r="K55" s="225"/>
      <c r="L55" s="225"/>
      <c r="M55" s="274"/>
      <c r="N55" s="274"/>
    </row>
    <row r="56" spans="1:14">
      <c r="I56" s="204">
        <f>_xlfn.XLOOKUP(H56,Dropdown!B:B,Dropdown!C:C)</f>
        <v>0</v>
      </c>
    </row>
    <row r="57" spans="1:14">
      <c r="I57" s="204">
        <f>_xlfn.XLOOKUP(H57,Dropdown!B:B,Dropdown!C:C)</f>
        <v>0</v>
      </c>
    </row>
    <row r="58" spans="1:14">
      <c r="I58" s="204">
        <f>_xlfn.XLOOKUP(H58,Dropdown!B:B,Dropdown!C:C)</f>
        <v>0</v>
      </c>
    </row>
    <row r="59" spans="1:14">
      <c r="I59" s="204">
        <f>_xlfn.XLOOKUP(H59,Dropdown!B:B,Dropdown!C:C)</f>
        <v>0</v>
      </c>
    </row>
    <row r="60" spans="1:14">
      <c r="G60" s="250"/>
      <c r="I60" s="204">
        <f>_xlfn.XLOOKUP(H60,Dropdown!B:B,Dropdown!C:C)</f>
        <v>0</v>
      </c>
    </row>
    <row r="61" spans="1:14">
      <c r="G61" s="250"/>
      <c r="I61" s="204">
        <f>_xlfn.XLOOKUP(H61,Dropdown!B:B,Dropdown!C:C)</f>
        <v>0</v>
      </c>
    </row>
    <row r="62" spans="1:14">
      <c r="G62" s="250">
        <v>1000</v>
      </c>
      <c r="H62" s="204" t="s">
        <v>91</v>
      </c>
      <c r="I62" s="204" t="str">
        <f>_xlfn.XLOOKUP(H62,Dropdown!B:B,Dropdown!C:C)</f>
        <v>מזון וקניות</v>
      </c>
      <c r="J62" s="204" t="s">
        <v>165</v>
      </c>
    </row>
    <row r="63" spans="1:14">
      <c r="A63" s="204" t="s">
        <v>214</v>
      </c>
      <c r="B63" s="204" t="s">
        <v>204</v>
      </c>
      <c r="C63" s="204" t="s">
        <v>181</v>
      </c>
      <c r="D63" s="204" t="s">
        <v>182</v>
      </c>
      <c r="E63" s="204" t="s">
        <v>238</v>
      </c>
      <c r="G63" s="250"/>
      <c r="I63" s="204">
        <f>_xlfn.XLOOKUP(H63,Dropdown!B:B,Dropdown!C:C)</f>
        <v>0</v>
      </c>
    </row>
    <row r="64" spans="1:14">
      <c r="A64" s="204" t="s">
        <v>426</v>
      </c>
      <c r="B64" s="204">
        <f>SUMIF(I:I,A64,G:G)-SUMIF(H:H,"הוצאות על הבנייה",G:G)</f>
        <v>15203.96</v>
      </c>
      <c r="C64" s="204">
        <f>'ממוצע ורצוי'!$N$22</f>
        <v>12822</v>
      </c>
      <c r="D64" s="204">
        <f>IF(C64-B64&lt;0,0,C64-B64)</f>
        <v>0</v>
      </c>
      <c r="E64" s="204">
        <f>IF(C64-B64&lt;0,(C64-B64)*-1,0)</f>
        <v>2381.9599999999991</v>
      </c>
      <c r="G64" s="250"/>
      <c r="I64" s="204">
        <f>_xlfn.XLOOKUP(H64,Dropdown!B:B,Dropdown!C:C)</f>
        <v>0</v>
      </c>
    </row>
    <row r="65" spans="1:10">
      <c r="A65" s="227" t="s">
        <v>425</v>
      </c>
      <c r="B65" s="251">
        <f t="shared" ref="B65:B70" si="13">SUMIF(I:I,A65,G:G)</f>
        <v>4440.51</v>
      </c>
      <c r="C65" s="204">
        <f>'ממוצע ורצוי'!$N$38</f>
        <v>9000</v>
      </c>
      <c r="D65" s="204">
        <f t="shared" ref="D65:D70" si="14">IF(C65-B65&lt;0,0,C65-B65)</f>
        <v>4559.49</v>
      </c>
      <c r="E65" s="204">
        <f t="shared" ref="E65:E70" si="15">IF(C65-B65&lt;0,(C65-B65)*-1,0)</f>
        <v>0</v>
      </c>
      <c r="G65" s="250"/>
      <c r="I65" s="204">
        <f>_xlfn.XLOOKUP(H65,Dropdown!B:B,Dropdown!C:C)</f>
        <v>0</v>
      </c>
    </row>
    <row r="66" spans="1:10">
      <c r="A66" s="227" t="s">
        <v>424</v>
      </c>
      <c r="B66" s="136">
        <f t="shared" si="13"/>
        <v>0</v>
      </c>
      <c r="C66" s="204">
        <f>'ממוצע ורצוי'!$N$54</f>
        <v>3240</v>
      </c>
      <c r="D66" s="204">
        <f t="shared" si="14"/>
        <v>3240</v>
      </c>
      <c r="E66" s="204">
        <f t="shared" si="15"/>
        <v>0</v>
      </c>
      <c r="G66" s="250"/>
      <c r="I66" s="204">
        <f>_xlfn.XLOOKUP(H66,Dropdown!B:B,Dropdown!C:C)</f>
        <v>0</v>
      </c>
    </row>
    <row r="67" spans="1:10">
      <c r="A67" s="227" t="s">
        <v>423</v>
      </c>
      <c r="B67" s="136">
        <f t="shared" si="13"/>
        <v>2670</v>
      </c>
      <c r="C67" s="204">
        <f>'ממוצע ורצוי'!$N$71</f>
        <v>4900</v>
      </c>
      <c r="D67" s="204">
        <f t="shared" si="14"/>
        <v>2230</v>
      </c>
      <c r="E67" s="204">
        <f t="shared" si="15"/>
        <v>0</v>
      </c>
      <c r="G67" s="250"/>
      <c r="I67" s="204">
        <f>_xlfn.XLOOKUP(H67,Dropdown!B:B,Dropdown!C:C)</f>
        <v>0</v>
      </c>
    </row>
    <row r="68" spans="1:10">
      <c r="A68" s="252" t="s">
        <v>422</v>
      </c>
      <c r="B68" s="136">
        <f t="shared" si="13"/>
        <v>0</v>
      </c>
      <c r="C68" s="204">
        <f>'ממוצע ורצוי'!$N$88</f>
        <v>2600</v>
      </c>
      <c r="D68" s="204">
        <f t="shared" si="14"/>
        <v>2600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27" t="s">
        <v>421</v>
      </c>
      <c r="B69" s="136">
        <f t="shared" si="13"/>
        <v>1402</v>
      </c>
      <c r="C69" s="204">
        <f>'ממוצע ורצוי'!$N$98</f>
        <v>980</v>
      </c>
      <c r="D69" s="204">
        <f t="shared" si="14"/>
        <v>0</v>
      </c>
      <c r="E69" s="204">
        <f t="shared" si="15"/>
        <v>422</v>
      </c>
      <c r="G69" s="250"/>
      <c r="I69" s="204">
        <f>_xlfn.XLOOKUP(H69,Dropdown!B:B,Dropdown!C:C)</f>
        <v>0</v>
      </c>
    </row>
    <row r="70" spans="1:10">
      <c r="A70" s="227" t="s">
        <v>420</v>
      </c>
      <c r="B70" s="136">
        <f t="shared" ca="1" si="13"/>
        <v>1475</v>
      </c>
      <c r="C70" s="204">
        <f>'ממוצע ורצוי'!$N$111</f>
        <v>1330</v>
      </c>
      <c r="D70" s="204">
        <f t="shared" ca="1" si="14"/>
        <v>0</v>
      </c>
      <c r="E70" s="204">
        <f t="shared" ca="1" si="15"/>
        <v>145</v>
      </c>
      <c r="G70" s="250"/>
      <c r="I70" s="204">
        <f>_xlfn.XLOOKUP(H70,Dropdown!B:B,Dropdown!C:C)</f>
        <v>0</v>
      </c>
    </row>
    <row r="71" spans="1:10">
      <c r="G71" s="250"/>
      <c r="I71" s="204">
        <f>_xlfn.XLOOKUP(H71,Dropdown!B:B,Dropdown!C:C)</f>
        <v>0</v>
      </c>
    </row>
    <row r="72" spans="1:10">
      <c r="A72" s="227"/>
      <c r="B72" s="136"/>
      <c r="E72" s="204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>
        <v>1000</v>
      </c>
      <c r="H74" s="204" t="s">
        <v>91</v>
      </c>
      <c r="I74" s="204" t="str">
        <f>_xlfn.XLOOKUP(H74,Dropdown!B:B,Dropdown!C:C)</f>
        <v>מזון וקניות</v>
      </c>
      <c r="J74" s="204" t="s">
        <v>166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D77" s="204">
        <f>1710*5</f>
        <v>8550</v>
      </c>
      <c r="G77" s="250"/>
      <c r="I77" s="204">
        <f>_xlfn.XLOOKUP(H77,Dropdown!B:B,Dropdown!C:C)</f>
        <v>0</v>
      </c>
    </row>
    <row r="78" spans="1:10">
      <c r="D78" s="204">
        <f>D77/4</f>
        <v>2137.5</v>
      </c>
      <c r="G78" s="250"/>
      <c r="I78" s="204">
        <f>_xlfn.XLOOKUP(H78,Dropdown!B:B,Dropdown!C:C)</f>
        <v>0</v>
      </c>
    </row>
    <row r="79" spans="1:10">
      <c r="D79" s="204">
        <f>1710*2</f>
        <v>3420</v>
      </c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>
        <v>1000</v>
      </c>
      <c r="H86" s="204" t="s">
        <v>91</v>
      </c>
      <c r="I86" s="204" t="str">
        <f>_xlfn.XLOOKUP(H86,Dropdown!B:B,Dropdown!C:C)</f>
        <v>מזון וקניות</v>
      </c>
      <c r="J86" s="204" t="s">
        <v>166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>
        <v>1000</v>
      </c>
      <c r="H100" s="204" t="s">
        <v>91</v>
      </c>
      <c r="I100" s="204" t="str">
        <f>_xlfn.XLOOKUP(H100,Dropdown!B:B,Dropdown!C:C)</f>
        <v>מזון וקניות</v>
      </c>
      <c r="J100" s="204" t="s">
        <v>166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</sheetData>
  <sheetProtection selectLockedCells="1" selectUnlockedCells="1"/>
  <autoFilter ref="A1:N193" xr:uid="{00000000-0001-0000-0D00-000000000000}"/>
  <sortState xmlns:xlrd2="http://schemas.microsoft.com/office/spreadsheetml/2017/richdata2" ref="F62:N196">
    <sortCondition ref="F62:F196"/>
  </sortState>
  <mergeCells count="8">
    <mergeCell ref="A35:A38"/>
    <mergeCell ref="A31:A32"/>
    <mergeCell ref="A2:A6"/>
    <mergeCell ref="A9:A10"/>
    <mergeCell ref="A11:A13"/>
    <mergeCell ref="A20:A23"/>
    <mergeCell ref="A28:A29"/>
    <mergeCell ref="A7:A8"/>
  </mergeCells>
  <conditionalFormatting sqref="C2">
    <cfRule type="duplicateValues" dxfId="76" priority="1" stopIfTrue="1"/>
  </conditionalFormatting>
  <conditionalFormatting sqref="Q6:AV13">
    <cfRule type="cellIs" dxfId="75" priority="2" operator="greaterThan">
      <formula>0</formula>
    </cfRule>
  </conditionalFormatting>
  <conditionalFormatting sqref="Q19:AV37">
    <cfRule type="cellIs" dxfId="74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6:J167 J3:J51 J53:J54" xr:uid="{2F6E9051-6F3D-4EED-9677-8E7E25A30EDB}">
      <formula1>סוג_תשלום</formula1>
    </dataValidation>
    <dataValidation type="list" errorStyle="warning" allowBlank="1" showInputMessage="1" showErrorMessage="1" errorTitle="חסרה קטגוריה" sqref="H56:H167 H53:H54 H3:H51" xr:uid="{80937499-A3DA-4AC9-90F3-EC9FBB3E1F70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053F39-A1A2-42BB-BD6E-14DD9F4C8D9F}">
          <x14:formula1>
            <xm:f>Dropdown!$D$2:$D$9</xm:f>
          </x14:formula1>
          <xm:sqref>P18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1:AW260"/>
  <sheetViews>
    <sheetView rightToLeft="1" topLeftCell="B1" zoomScale="80" zoomScaleNormal="80" workbookViewId="0">
      <pane ySplit="1" topLeftCell="A8" activePane="bottomLeft" state="frozen"/>
      <selection activeCell="B1" sqref="B1"/>
      <selection pane="bottomLeft"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3.7109375" style="222" customWidth="1"/>
    <col min="16" max="16" width="20.42578125" style="204" bestFit="1" customWidth="1"/>
    <col min="17" max="17" width="6.5703125" style="204" bestFit="1" customWidth="1"/>
    <col min="18" max="18" width="6.140625" style="204" bestFit="1" customWidth="1"/>
    <col min="19" max="19" width="5.42578125" style="204" bestFit="1" customWidth="1"/>
    <col min="20" max="20" width="2.28515625" style="204" bestFit="1" customWidth="1"/>
    <col min="21" max="21" width="5.42578125" style="204" bestFit="1" customWidth="1"/>
    <col min="22" max="23" width="4.28515625" style="204" bestFit="1" customWidth="1"/>
    <col min="24" max="24" width="5.42578125" style="204" bestFit="1" customWidth="1"/>
    <col min="25" max="25" width="4.28515625" style="204" bestFit="1" customWidth="1"/>
    <col min="26" max="26" width="5.42578125" style="204" bestFit="1" customWidth="1"/>
    <col min="27" max="28" width="4.28515625" style="204" bestFit="1" customWidth="1"/>
    <col min="29" max="29" width="5.42578125" style="204" bestFit="1" customWidth="1"/>
    <col min="30" max="31" width="4.28515625" style="204" bestFit="1" customWidth="1"/>
    <col min="32" max="32" width="5.42578125" style="204" bestFit="1" customWidth="1"/>
    <col min="33" max="34" width="4.28515625" style="204" bestFit="1" customWidth="1"/>
    <col min="35" max="35" width="3.28515625" style="204" bestFit="1" customWidth="1"/>
    <col min="36" max="42" width="4.28515625" style="204" bestFit="1" customWidth="1"/>
    <col min="43" max="43" width="6.5703125" style="204" bestFit="1" customWidth="1"/>
    <col min="44" max="44" width="4.28515625" style="204" bestFit="1" customWidth="1"/>
    <col min="45" max="45" width="3.28515625" style="204" bestFit="1" customWidth="1"/>
    <col min="46" max="46" width="4.28515625" style="204" bestFit="1" customWidth="1"/>
    <col min="47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196</v>
      </c>
      <c r="B1" s="214" t="s">
        <v>270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8251.2999999999993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30810.61</v>
      </c>
      <c r="G4" s="279">
        <v>400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650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16253.96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16253.96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4110.5200000000004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4147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4147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2670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2670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35745.770000000004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35745.770000000004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O17" s="277"/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25187.5</v>
      </c>
      <c r="D18" s="259">
        <f ca="1">SUM(D2:D17)</f>
        <v>51152.380000000005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426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O19" s="277"/>
      <c r="P19" s="295" t="str" cm="1">
        <f t="array" ref="P19:P37">_xlfn._xlws.FILTER(Dropdown!$B:$B,Dropdown!$C:$C = $P$18)</f>
        <v>משכנתא</v>
      </c>
      <c r="Q19" s="297">
        <f t="shared" ref="Q19:Q37" si="5">SUMIFS($G:$G,$H:$H,$P19,$F:$F,"")</f>
        <v>8500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8500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O20" s="277"/>
      <c r="P20" s="295" t="str">
        <v>שכר דירה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O21" s="277"/>
      <c r="P21" s="295" t="str">
        <v>ארנונה</v>
      </c>
      <c r="Q21" s="297">
        <f t="shared" si="5"/>
        <v>650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650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O22" s="277"/>
      <c r="P22" s="295" t="str">
        <v>מים</v>
      </c>
      <c r="Q22" s="297">
        <f t="shared" si="5"/>
        <v>600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600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O23" s="277"/>
      <c r="P23" s="295" t="str">
        <v>חשמל</v>
      </c>
      <c r="Q23" s="297">
        <f t="shared" si="5"/>
        <v>800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800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O24" s="277"/>
      <c r="P24" s="295" t="str">
        <v>גז/נפט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O25" s="277"/>
      <c r="P25" s="295" t="str">
        <v>טלפון (נייח)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O26" s="277"/>
      <c r="P26" s="295" t="str">
        <v>טלפונים ניידים</v>
      </c>
      <c r="Q26" s="297">
        <f t="shared" si="5"/>
        <v>272.3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272.3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O27" s="277"/>
      <c r="P27" s="295" t="str">
        <v>ביוב</v>
      </c>
      <c r="Q27" s="297">
        <f t="shared" si="5"/>
        <v>400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400</v>
      </c>
    </row>
    <row r="28" spans="1:49">
      <c r="A28" s="467" t="s">
        <v>28</v>
      </c>
      <c r="B28" s="239" t="s">
        <v>29</v>
      </c>
      <c r="C28" s="239">
        <f ca="1">'9'!C29</f>
        <v>369064.92999999993</v>
      </c>
      <c r="D28" s="240">
        <f ca="1">'9'!D29</f>
        <v>-211625.23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O28" s="277"/>
      <c r="P28" s="295" t="str">
        <v>כבלים</v>
      </c>
      <c r="Q28" s="297">
        <f t="shared" si="5"/>
        <v>218.8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218.8</v>
      </c>
    </row>
    <row r="29" spans="1:49">
      <c r="A29" s="468"/>
      <c r="B29" s="204" t="s">
        <v>30</v>
      </c>
      <c r="C29" s="241">
        <f ca="1">C28+C24-C18</f>
        <v>373146.42999999993</v>
      </c>
      <c r="D29" s="242">
        <f ca="1">D28+D24-D18</f>
        <v>-262777.61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O29" s="277"/>
      <c r="P29" s="295" t="str">
        <v>אינטרנט</v>
      </c>
      <c r="Q29" s="297">
        <f t="shared" si="5"/>
        <v>95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95</v>
      </c>
    </row>
    <row r="30" spans="1:49">
      <c r="A30" s="243" t="s">
        <v>31</v>
      </c>
      <c r="B30" s="204" t="s">
        <v>32</v>
      </c>
      <c r="C30" s="204">
        <f ca="1">SUM(Data!$B$2+C29)</f>
        <v>408146.42999999993</v>
      </c>
      <c r="D30" s="244">
        <f ca="1">SUM(Data!$B$3+D29)</f>
        <v>-252777.61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O30" s="277"/>
      <c r="P30" s="295" t="str">
        <v>ועד בית/ישוב</v>
      </c>
      <c r="Q30" s="297">
        <f t="shared" si="5"/>
        <v>1709.26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1709.26</v>
      </c>
    </row>
    <row r="31" spans="1:49">
      <c r="A31" s="463" t="s">
        <v>14</v>
      </c>
      <c r="B31" s="204" t="s">
        <v>33</v>
      </c>
      <c r="C31" s="204">
        <f ca="1">SUM(C29+C16-C28+C15)</f>
        <v>4581.5</v>
      </c>
      <c r="D31" s="244">
        <f ca="1">SUM(D29+D16-D28)</f>
        <v>-51152.379999999976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O31" s="277"/>
      <c r="P31" s="295" t="str">
        <v>עוזרת בית</v>
      </c>
      <c r="Q31" s="297">
        <f t="shared" si="5"/>
        <v>908.6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908.6</v>
      </c>
    </row>
    <row r="32" spans="1:49" ht="13.5" thickBot="1">
      <c r="A32" s="464"/>
      <c r="B32" s="245" t="s">
        <v>34</v>
      </c>
      <c r="C32" s="245">
        <f ca="1">C24-C18</f>
        <v>4081.5</v>
      </c>
      <c r="D32" s="246">
        <f ca="1">D24-D18</f>
        <v>-51152.380000000005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O32" s="277"/>
      <c r="P32" s="295" t="str">
        <v>גינון</v>
      </c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O33" s="277"/>
      <c r="P33" s="295" t="str">
        <v>ביטוח דירה</v>
      </c>
      <c r="Q33" s="297">
        <f t="shared" si="5"/>
        <v>100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100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O34" s="277"/>
      <c r="P34" s="295" t="str">
        <v>רכישות לבית</v>
      </c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'9'!D35-C35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O35" s="277"/>
      <c r="P35" s="295" t="str">
        <v>אחזקת בית ותיקונים</v>
      </c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>
        <f>603*4</f>
        <v>2412</v>
      </c>
      <c r="D36" s="205">
        <f>'9'!D36-C36</f>
        <v>133764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O36" s="277"/>
      <c r="P36" s="295" t="str">
        <v>מנויים דיגטליים</v>
      </c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O37" s="277"/>
      <c r="P37" s="295" t="str">
        <v>בנייה</v>
      </c>
      <c r="Q37" s="297">
        <f t="shared" si="5"/>
        <v>2000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2000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2412</v>
      </c>
      <c r="D39" s="257">
        <f>SUM(D35:D38)</f>
        <v>192314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40628.9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2000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19189.39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106494.39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_xlfn.XLOOKUP(H53,[2]Dropdown!B:B,[2]Dropdown!C:C)</f>
        <v>תחזוקת דירה ותקשורת</v>
      </c>
      <c r="J53" s="204" t="s">
        <v>168</v>
      </c>
      <c r="K53" s="227">
        <v>3</v>
      </c>
      <c r="L53" s="253" t="s">
        <v>610</v>
      </c>
      <c r="M53" s="275" t="s">
        <v>609</v>
      </c>
    </row>
    <row r="54" spans="1:14">
      <c r="G54" s="279">
        <v>1912</v>
      </c>
      <c r="H54" s="204" t="s">
        <v>102</v>
      </c>
      <c r="I54" s="204" t="str">
        <f>_xlfn.XLOOKUP(H54,[2]Dropdown!B:B,[2]Dropdown!C:C)</f>
        <v>רכב ונסיעות</v>
      </c>
      <c r="J54" s="204" t="s">
        <v>400</v>
      </c>
      <c r="M54" s="275" t="s">
        <v>417</v>
      </c>
    </row>
    <row r="55" spans="1:14" ht="13.5" thickBot="1">
      <c r="G55" s="279">
        <v>2235</v>
      </c>
      <c r="H55" s="204" t="s">
        <v>102</v>
      </c>
      <c r="I55" s="204" t="str">
        <f>_xlfn.XLOOKUP(H55,[2]Dropdown!B:B,[2]Dropdown!C:C)</f>
        <v>רכב ונסיעות</v>
      </c>
      <c r="J55" s="204" t="s">
        <v>400</v>
      </c>
      <c r="M55" s="275" t="s">
        <v>416</v>
      </c>
    </row>
    <row r="56" spans="1:14">
      <c r="F56" s="219" t="s">
        <v>287</v>
      </c>
      <c r="G56" s="225"/>
      <c r="H56" s="225"/>
      <c r="I56" s="225"/>
      <c r="J56" s="225"/>
      <c r="K56" s="225"/>
      <c r="L56" s="225"/>
      <c r="M56" s="274"/>
      <c r="N56" s="274"/>
    </row>
    <row r="57" spans="1:14">
      <c r="I57" s="204">
        <f>_xlfn.XLOOKUP(H57,Dropdown!B:B,Dropdown!C:C)</f>
        <v>0</v>
      </c>
    </row>
    <row r="58" spans="1:14">
      <c r="I58" s="204">
        <f>_xlfn.XLOOKUP(H58,Dropdown!B:B,Dropdown!C:C)</f>
        <v>0</v>
      </c>
    </row>
    <row r="59" spans="1:14">
      <c r="I59" s="204">
        <f>_xlfn.XLOOKUP(H59,Dropdown!B:B,Dropdown!C:C)</f>
        <v>0</v>
      </c>
    </row>
    <row r="60" spans="1:14">
      <c r="I60" s="204">
        <f>_xlfn.XLOOKUP(H60,Dropdown!B:B,Dropdown!C:C)</f>
        <v>0</v>
      </c>
    </row>
    <row r="61" spans="1:14">
      <c r="G61" s="250"/>
      <c r="I61" s="204">
        <f>_xlfn.XLOOKUP(H61,Dropdown!B:B,Dropdown!C:C)</f>
        <v>0</v>
      </c>
    </row>
    <row r="62" spans="1:14">
      <c r="G62" s="250"/>
      <c r="I62" s="204">
        <f>_xlfn.XLOOKUP(H62,Dropdown!B:B,Dropdown!C:C)</f>
        <v>0</v>
      </c>
    </row>
    <row r="63" spans="1:14">
      <c r="E63" s="204"/>
      <c r="G63" s="250">
        <v>1000</v>
      </c>
      <c r="H63" s="204" t="s">
        <v>91</v>
      </c>
      <c r="I63" s="204" t="str">
        <f>_xlfn.XLOOKUP(H63,Dropdown!B:B,Dropdown!C:C)</f>
        <v>מזון וקניות</v>
      </c>
      <c r="J63" s="204" t="s">
        <v>165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50"/>
      <c r="I64" s="204">
        <f>_xlfn.XLOOKUP(H64,Dropdown!B:B,Dropdown!C:C)</f>
        <v>0</v>
      </c>
    </row>
    <row r="65" spans="1:10">
      <c r="A65" s="204" t="s">
        <v>426</v>
      </c>
      <c r="B65" s="204">
        <f>SUMIF(I:I,A65,G:G)-SUMIF(H:H,"הוצאות על הבנייה",G:G)</f>
        <v>16253.96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3431.9599999999991</v>
      </c>
      <c r="G65" s="250"/>
      <c r="I65" s="204">
        <f>_xlfn.XLOOKUP(H65,Dropdown!B:B,Dropdown!C:C)</f>
        <v>0</v>
      </c>
    </row>
    <row r="66" spans="1:10">
      <c r="A66" s="227" t="s">
        <v>425</v>
      </c>
      <c r="B66" s="251">
        <f t="shared" ref="B66:B71" si="13">SUMIF(I:I,A66,G:G)</f>
        <v>4110.5200000000004</v>
      </c>
      <c r="C66" s="204">
        <f>'ממוצע ורצוי'!$N$38</f>
        <v>9000</v>
      </c>
      <c r="D66" s="204">
        <f t="shared" ref="D66:D71" si="14">IF(C66-B66&lt;0,0,C66-B66)</f>
        <v>4889.4799999999996</v>
      </c>
      <c r="E66" s="204">
        <f t="shared" ref="E66:E71" si="15">IF(C66-B66&lt;0,(C66-B66)*-1,0)</f>
        <v>0</v>
      </c>
      <c r="G66" s="250"/>
      <c r="I66" s="204">
        <f>_xlfn.XLOOKUP(H66,Dropdown!B:B,Dropdown!C:C)</f>
        <v>0</v>
      </c>
    </row>
    <row r="67" spans="1:10">
      <c r="A67" s="227" t="s">
        <v>424</v>
      </c>
      <c r="B67" s="136">
        <f t="shared" si="13"/>
        <v>4147</v>
      </c>
      <c r="C67" s="204">
        <f>'ממוצע ורצוי'!$N$54</f>
        <v>3240</v>
      </c>
      <c r="D67" s="204">
        <f t="shared" si="14"/>
        <v>0</v>
      </c>
      <c r="E67" s="204">
        <f t="shared" si="15"/>
        <v>907</v>
      </c>
      <c r="G67" s="250"/>
      <c r="I67" s="204">
        <f>_xlfn.XLOOKUP(H67,Dropdown!B:B,Dropdown!C:C)</f>
        <v>0</v>
      </c>
    </row>
    <row r="68" spans="1:10">
      <c r="A68" s="227" t="s">
        <v>423</v>
      </c>
      <c r="B68" s="136">
        <f t="shared" si="13"/>
        <v>2670</v>
      </c>
      <c r="C68" s="204">
        <f>'ממוצע ורצוי'!$N$71</f>
        <v>4900</v>
      </c>
      <c r="D68" s="204">
        <f t="shared" si="14"/>
        <v>2230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52" t="s">
        <v>422</v>
      </c>
      <c r="B69" s="136">
        <f t="shared" si="13"/>
        <v>0</v>
      </c>
      <c r="C69" s="204">
        <f>'ממוצע ורצוי'!$N$88</f>
        <v>2600</v>
      </c>
      <c r="D69" s="204">
        <f t="shared" si="14"/>
        <v>2600</v>
      </c>
      <c r="E69" s="204">
        <f t="shared" si="15"/>
        <v>0</v>
      </c>
      <c r="G69" s="250"/>
      <c r="I69" s="204">
        <f>_xlfn.XLOOKUP(H69,Dropdown!B:B,Dropdown!C:C)</f>
        <v>0</v>
      </c>
    </row>
    <row r="70" spans="1:10">
      <c r="A70" s="227" t="s">
        <v>421</v>
      </c>
      <c r="B70" s="136">
        <f t="shared" si="13"/>
        <v>1402</v>
      </c>
      <c r="C70" s="204">
        <f>'ממוצע ורצוי'!$N$98</f>
        <v>980</v>
      </c>
      <c r="D70" s="204">
        <f t="shared" si="14"/>
        <v>0</v>
      </c>
      <c r="E70" s="204">
        <f t="shared" si="15"/>
        <v>422</v>
      </c>
      <c r="G70" s="250"/>
      <c r="I70" s="204">
        <f>_xlfn.XLOOKUP(H70,Dropdown!B:B,Dropdown!C:C)</f>
        <v>0</v>
      </c>
    </row>
    <row r="71" spans="1:10">
      <c r="A71" s="227" t="s">
        <v>420</v>
      </c>
      <c r="B71" s="136">
        <f t="shared" ca="1" si="13"/>
        <v>1475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145</v>
      </c>
      <c r="G71" s="250"/>
      <c r="I71" s="204">
        <f>_xlfn.XLOOKUP(H71,Dropdown!B:B,Dropdown!C:C)</f>
        <v>0</v>
      </c>
    </row>
    <row r="72" spans="1:10">
      <c r="A72" s="227"/>
      <c r="B72" s="136"/>
      <c r="E72" s="204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/>
      <c r="I74" s="204">
        <f>_xlfn.XLOOKUP(H74,Dropdown!B:B,Dropdown!C:C)</f>
        <v>0</v>
      </c>
    </row>
    <row r="75" spans="1:10">
      <c r="G75" s="250">
        <v>1000</v>
      </c>
      <c r="H75" s="204" t="s">
        <v>91</v>
      </c>
      <c r="I75" s="204" t="str">
        <f>_xlfn.XLOOKUP(H75,Dropdown!B:B,Dropdown!C:C)</f>
        <v>מזון וקניות</v>
      </c>
      <c r="J75" s="204" t="s">
        <v>166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/>
      <c r="I86" s="204">
        <f>_xlfn.XLOOKUP(H86,Dropdown!B:B,Dropdown!C:C)</f>
        <v>0</v>
      </c>
    </row>
    <row r="87" spans="7:10">
      <c r="G87" s="250">
        <v>1000</v>
      </c>
      <c r="H87" s="204" t="s">
        <v>91</v>
      </c>
      <c r="I87" s="204" t="str">
        <f>_xlfn.XLOOKUP(H87,Dropdown!B:B,Dropdown!C:C)</f>
        <v>מזון וקניות</v>
      </c>
      <c r="J87" s="204" t="s">
        <v>166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/>
      <c r="I100" s="204">
        <f>_xlfn.XLOOKUP(H100,Dropdown!B:B,Dropdown!C:C)</f>
        <v>0</v>
      </c>
    </row>
    <row r="101" spans="7:10">
      <c r="G101" s="250">
        <v>1000</v>
      </c>
      <c r="H101" s="204" t="s">
        <v>91</v>
      </c>
      <c r="I101" s="204" t="str">
        <f>_xlfn.XLOOKUP(H101,Dropdown!B:B,Dropdown!C:C)</f>
        <v>מזון וקניות</v>
      </c>
      <c r="J101" s="204" t="s">
        <v>166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  <c r="I216" s="204">
        <f>_xlfn.XLOOKUP(H216,Dropdown!B:B,Dropdown!C:C)</f>
        <v>0</v>
      </c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  <row r="260" spans="7:7">
      <c r="G260" s="250"/>
    </row>
  </sheetData>
  <sheetProtection selectLockedCells="1" selectUnlockedCells="1"/>
  <autoFilter ref="A1:N354" xr:uid="{00000000-0001-0000-0E00-000000000000}"/>
  <sortState xmlns:xlrd2="http://schemas.microsoft.com/office/spreadsheetml/2017/richdata2" ref="F61:N269">
    <sortCondition ref="F61:F269"/>
  </sortState>
  <mergeCells count="8">
    <mergeCell ref="A35:A38"/>
    <mergeCell ref="A31:A32"/>
    <mergeCell ref="A2:A6"/>
    <mergeCell ref="A9:A10"/>
    <mergeCell ref="A11:A13"/>
    <mergeCell ref="A20:A23"/>
    <mergeCell ref="A28:A29"/>
    <mergeCell ref="A7:A8"/>
  </mergeCells>
  <conditionalFormatting sqref="C2">
    <cfRule type="duplicateValues" dxfId="73" priority="1" stopIfTrue="1"/>
  </conditionalFormatting>
  <conditionalFormatting sqref="Q6:AV13">
    <cfRule type="cellIs" dxfId="72" priority="2" operator="greaterThan">
      <formula>0</formula>
    </cfRule>
  </conditionalFormatting>
  <conditionalFormatting sqref="Q19:AV37">
    <cfRule type="cellIs" dxfId="71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7:J168 J3:J51 J53:J55" xr:uid="{36A0915E-084F-4290-830A-91D51DF0BFE7}">
      <formula1>סוג_תשלום</formula1>
    </dataValidation>
    <dataValidation type="list" errorStyle="warning" allowBlank="1" showInputMessage="1" showErrorMessage="1" errorTitle="חסרה קטגוריה" sqref="H57:H168 H53:H55 H3:H51" xr:uid="{81EA5137-CA7D-4E8B-B616-FFD746EDD39D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1CB48D-FF14-46DD-98A9-BAF8A514492D}">
          <x14:formula1>
            <xm:f>Dropdown!$D$2:$D$9</xm:f>
          </x14:formula1>
          <xm:sqref>P18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/>
  <dimension ref="A1:AW259"/>
  <sheetViews>
    <sheetView rightToLeft="1" topLeftCell="C4" zoomScale="80" zoomScaleNormal="80" workbookViewId="0">
      <selection activeCell="G21" sqref="G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0.8554687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9.85546875" style="275" bestFit="1" customWidth="1"/>
    <col min="14" max="14" width="6.5703125" style="275" bestFit="1" customWidth="1"/>
    <col min="15" max="15" width="9.28515625" style="222"/>
    <col min="16" max="16" width="20.42578125" style="204" bestFit="1" customWidth="1"/>
    <col min="17" max="17" width="6.5703125" style="204" bestFit="1" customWidth="1"/>
    <col min="18" max="18" width="4.28515625" style="204" bestFit="1" customWidth="1"/>
    <col min="19" max="19" width="3.28515625" style="204" bestFit="1" customWidth="1"/>
    <col min="20" max="21" width="4.28515625" style="204" bestFit="1" customWidth="1"/>
    <col min="22" max="22" width="6.140625" style="204" bestFit="1" customWidth="1"/>
    <col min="23" max="25" width="4.28515625" style="204" bestFit="1" customWidth="1"/>
    <col min="26" max="26" width="2.28515625" style="204" bestFit="1" customWidth="1"/>
    <col min="27" max="27" width="5.42578125" style="204" bestFit="1" customWidth="1"/>
    <col min="28" max="28" width="4.28515625" style="204" bestFit="1" customWidth="1"/>
    <col min="29" max="29" width="5.42578125" style="204" bestFit="1" customWidth="1"/>
    <col min="30" max="31" width="4.28515625" style="204" bestFit="1" customWidth="1"/>
    <col min="32" max="32" width="5.42578125" style="204" bestFit="1" customWidth="1"/>
    <col min="33" max="34" width="4.28515625" style="204" bestFit="1" customWidth="1"/>
    <col min="35" max="37" width="3.28515625" style="204" bestFit="1" customWidth="1"/>
    <col min="38" max="39" width="4.28515625" style="204" bestFit="1" customWidth="1"/>
    <col min="40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197</v>
      </c>
      <c r="B1" s="214">
        <v>10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9301.2999999999993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19627.62</v>
      </c>
      <c r="G4" s="279">
        <v>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15203.96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15203.96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4110.5200000000004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1588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1588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5331.77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2670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2670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50745.770000000004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50745.770000000004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26237.5</v>
      </c>
      <c r="D18" s="259">
        <f ca="1">SUM(D2:D17)</f>
        <v>39969.39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425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0">_xlfn._xlws.FILTER(Dropdown!$B:$B,Dropdown!$C:$C = $P$18)</f>
        <v>מזון וטואלטיקה</v>
      </c>
      <c r="Q19" s="297">
        <f t="shared" ref="Q19:Q37" si="5">SUMIFS($G:$G,$H:$H,$P19,$F:$F,"")</f>
        <v>4000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4000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סיגריות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טיפוח ויופי</v>
      </c>
      <c r="Q21" s="297">
        <f t="shared" si="5"/>
        <v>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קוסמטיקה</v>
      </c>
      <c r="Q22" s="297">
        <f t="shared" si="5"/>
        <v>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ביגוד והנעלה</v>
      </c>
      <c r="Q23" s="297">
        <f t="shared" si="5"/>
        <v>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קניות שונות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מזומן ללא מעקב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בר מים</v>
      </c>
      <c r="Q26" s="297">
        <f t="shared" si="5"/>
        <v>0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0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מכשירים</v>
      </c>
      <c r="Q27" s="297">
        <f t="shared" si="5"/>
        <v>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0</v>
      </c>
    </row>
    <row r="28" spans="1:49">
      <c r="A28" s="467" t="s">
        <v>28</v>
      </c>
      <c r="B28" s="239" t="s">
        <v>29</v>
      </c>
      <c r="C28" s="239">
        <f ca="1">'10'!C29</f>
        <v>373146.42999999993</v>
      </c>
      <c r="D28" s="240">
        <f ca="1">'10'!D29</f>
        <v>-262777.61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הוצאות לעסק</v>
      </c>
      <c r="Q28" s="297">
        <f t="shared" si="5"/>
        <v>0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0</v>
      </c>
    </row>
    <row r="29" spans="1:49">
      <c r="A29" s="468"/>
      <c r="B29" s="204" t="s">
        <v>30</v>
      </c>
      <c r="C29" s="241">
        <f ca="1">C28+C24-C18</f>
        <v>376177.92999999993</v>
      </c>
      <c r="D29" s="242">
        <f ca="1">D28+D24-D18</f>
        <v>-302747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מנויים</v>
      </c>
      <c r="Q29" s="297">
        <f t="shared" si="5"/>
        <v>110.52000000000001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110.52000000000001</v>
      </c>
    </row>
    <row r="30" spans="1:49">
      <c r="A30" s="243" t="s">
        <v>31</v>
      </c>
      <c r="B30" s="204" t="s">
        <v>32</v>
      </c>
      <c r="C30" s="204">
        <f ca="1">SUM(Data!$B$2+C29)</f>
        <v>411177.92999999993</v>
      </c>
      <c r="D30" s="244">
        <f ca="1">SUM(Data!$B$3+D29)</f>
        <v>-292747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תוכנות מחשב</v>
      </c>
      <c r="Q30" s="297">
        <f t="shared" si="5"/>
        <v>0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0</v>
      </c>
    </row>
    <row r="31" spans="1:49">
      <c r="A31" s="463" t="s">
        <v>14</v>
      </c>
      <c r="B31" s="204" t="s">
        <v>33</v>
      </c>
      <c r="C31" s="204">
        <f ca="1">SUM(C29+C16-C28+C15)</f>
        <v>3531.5</v>
      </c>
      <c r="D31" s="244">
        <f ca="1">SUM(D29+D16-D28)</f>
        <v>-39969.390000000014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/>
      <c r="Q31" s="297">
        <f t="shared" si="5"/>
        <v>0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0</v>
      </c>
    </row>
    <row r="32" spans="1:49" ht="13.5" thickBot="1">
      <c r="A32" s="464"/>
      <c r="B32" s="245" t="s">
        <v>34</v>
      </c>
      <c r="C32" s="245">
        <f ca="1">C24-C18</f>
        <v>3031.5</v>
      </c>
      <c r="D32" s="246">
        <f ca="1">D24-D18</f>
        <v>-39969.39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/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/>
      <c r="Q33" s="297">
        <f t="shared" si="5"/>
        <v>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/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'10'!D35-C35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/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'10'!D36-C36</f>
        <v>133764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/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/>
      <c r="Q37" s="297">
        <f t="shared" si="5"/>
        <v>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192314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15000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39578.9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2000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30372.38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116627.38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_xlfn.XLOOKUP(H53,[2]Dropdown!B:B,[2]Dropdown!C:C)</f>
        <v>תחזוקת דירה ותקשורת</v>
      </c>
      <c r="J53" s="204" t="s">
        <v>168</v>
      </c>
      <c r="K53" s="227">
        <v>1</v>
      </c>
      <c r="L53" s="253" t="s">
        <v>610</v>
      </c>
      <c r="M53" s="275" t="s">
        <v>609</v>
      </c>
    </row>
    <row r="54" spans="1:14" ht="13.5" thickBot="1">
      <c r="G54" s="279">
        <v>1588</v>
      </c>
      <c r="H54" s="204" t="s">
        <v>101</v>
      </c>
      <c r="I54" s="204" t="str">
        <f>_xlfn.XLOOKUP(H54,[2]Dropdown!B:B,[2]Dropdown!C:C)</f>
        <v>רכב ונסיעות</v>
      </c>
      <c r="J54" s="204" t="s">
        <v>400</v>
      </c>
      <c r="M54" s="275" t="s">
        <v>436</v>
      </c>
    </row>
    <row r="55" spans="1:14">
      <c r="F55" s="219" t="s">
        <v>287</v>
      </c>
      <c r="G55" s="225"/>
      <c r="H55" s="225"/>
      <c r="I55" s="225"/>
      <c r="J55" s="225"/>
      <c r="K55" s="225"/>
      <c r="L55" s="225"/>
      <c r="M55" s="274"/>
      <c r="N55" s="274"/>
    </row>
    <row r="56" spans="1:14">
      <c r="I56" s="204">
        <f>_xlfn.XLOOKUP(H56,Dropdown!B:B,Dropdown!C:C)</f>
        <v>0</v>
      </c>
    </row>
    <row r="57" spans="1:14">
      <c r="I57" s="204">
        <f>_xlfn.XLOOKUP(H57,Dropdown!B:B,Dropdown!C:C)</f>
        <v>0</v>
      </c>
    </row>
    <row r="58" spans="1:14">
      <c r="I58" s="204">
        <f>_xlfn.XLOOKUP(H58,Dropdown!B:B,Dropdown!C:C)</f>
        <v>0</v>
      </c>
    </row>
    <row r="59" spans="1:14">
      <c r="I59" s="204">
        <f>_xlfn.XLOOKUP(H59,Dropdown!B:B,Dropdown!C:C)</f>
        <v>0</v>
      </c>
    </row>
    <row r="60" spans="1:14">
      <c r="G60" s="250"/>
      <c r="I60" s="204">
        <f>_xlfn.XLOOKUP(H60,Dropdown!B:B,Dropdown!C:C)</f>
        <v>0</v>
      </c>
    </row>
    <row r="61" spans="1:14">
      <c r="G61" s="250"/>
      <c r="I61" s="204">
        <f>_xlfn.XLOOKUP(H61,Dropdown!B:B,Dropdown!C:C)</f>
        <v>0</v>
      </c>
    </row>
    <row r="62" spans="1:14">
      <c r="G62" s="250">
        <v>1000</v>
      </c>
      <c r="H62" s="204" t="s">
        <v>91</v>
      </c>
      <c r="I62" s="204" t="str">
        <f>_xlfn.XLOOKUP(H62,Dropdown!B:B,Dropdown!C:C)</f>
        <v>מזון וקניות</v>
      </c>
      <c r="J62" s="204" t="s">
        <v>165</v>
      </c>
    </row>
    <row r="63" spans="1:14">
      <c r="E63" s="204"/>
      <c r="G63" s="250"/>
      <c r="I63" s="204">
        <f>_xlfn.XLOOKUP(H63,Dropdown!B:B,Dropdown!C:C)</f>
        <v>0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50"/>
      <c r="I64" s="204">
        <f>_xlfn.XLOOKUP(H64,Dropdown!B:B,Dropdown!C:C)</f>
        <v>0</v>
      </c>
    </row>
    <row r="65" spans="1:10">
      <c r="A65" s="204" t="s">
        <v>426</v>
      </c>
      <c r="B65" s="204">
        <f>SUMIF(I:I,A65,G:G)-SUMIF(H:H,"הוצאות על הבנייה",G:G)</f>
        <v>15203.96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2381.9599999999991</v>
      </c>
      <c r="G65" s="250"/>
      <c r="I65" s="204">
        <f>_xlfn.XLOOKUP(H65,Dropdown!B:B,Dropdown!C:C)</f>
        <v>0</v>
      </c>
    </row>
    <row r="66" spans="1:10">
      <c r="A66" s="227" t="s">
        <v>425</v>
      </c>
      <c r="B66" s="251">
        <f t="shared" ref="B66:B71" si="13">SUMIF(I:I,A66,G:G)</f>
        <v>4110.5200000000004</v>
      </c>
      <c r="C66" s="204">
        <f>'ממוצע ורצוי'!$N$38</f>
        <v>9000</v>
      </c>
      <c r="D66" s="204">
        <f t="shared" ref="D66:D71" si="14">IF(C66-B66&lt;0,0,C66-B66)</f>
        <v>4889.4799999999996</v>
      </c>
      <c r="E66" s="204">
        <f t="shared" ref="E66:E71" si="15">IF(C66-B66&lt;0,(C66-B66)*-1,0)</f>
        <v>0</v>
      </c>
      <c r="G66" s="250"/>
      <c r="I66" s="204">
        <f>_xlfn.XLOOKUP(H66,Dropdown!B:B,Dropdown!C:C)</f>
        <v>0</v>
      </c>
    </row>
    <row r="67" spans="1:10">
      <c r="A67" s="227" t="s">
        <v>424</v>
      </c>
      <c r="B67" s="136">
        <f t="shared" si="13"/>
        <v>1588</v>
      </c>
      <c r="C67" s="204">
        <f>'ממוצע ורצוי'!$N$54</f>
        <v>3240</v>
      </c>
      <c r="D67" s="204">
        <f t="shared" si="14"/>
        <v>1652</v>
      </c>
      <c r="E67" s="204">
        <f t="shared" si="15"/>
        <v>0</v>
      </c>
      <c r="G67" s="250"/>
      <c r="I67" s="204">
        <f>_xlfn.XLOOKUP(H67,Dropdown!B:B,Dropdown!C:C)</f>
        <v>0</v>
      </c>
    </row>
    <row r="68" spans="1:10">
      <c r="A68" s="227" t="s">
        <v>423</v>
      </c>
      <c r="B68" s="136">
        <f t="shared" si="13"/>
        <v>2670</v>
      </c>
      <c r="C68" s="204">
        <f>'ממוצע ורצוי'!$N$71</f>
        <v>4900</v>
      </c>
      <c r="D68" s="204">
        <f t="shared" si="14"/>
        <v>2230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52" t="s">
        <v>422</v>
      </c>
      <c r="B69" s="136">
        <f t="shared" si="13"/>
        <v>0</v>
      </c>
      <c r="C69" s="204">
        <f>'ממוצע ורצוי'!$N$88</f>
        <v>2600</v>
      </c>
      <c r="D69" s="204">
        <f t="shared" si="14"/>
        <v>2600</v>
      </c>
      <c r="E69" s="204">
        <f t="shared" si="15"/>
        <v>0</v>
      </c>
      <c r="G69" s="250"/>
      <c r="I69" s="204">
        <f>_xlfn.XLOOKUP(H69,Dropdown!B:B,Dropdown!C:C)</f>
        <v>0</v>
      </c>
    </row>
    <row r="70" spans="1:10">
      <c r="A70" s="227" t="s">
        <v>421</v>
      </c>
      <c r="B70" s="136">
        <f t="shared" si="13"/>
        <v>1402</v>
      </c>
      <c r="C70" s="204">
        <f>'ממוצע ורצוי'!$N$98</f>
        <v>980</v>
      </c>
      <c r="D70" s="204">
        <f t="shared" si="14"/>
        <v>0</v>
      </c>
      <c r="E70" s="204">
        <f t="shared" si="15"/>
        <v>422</v>
      </c>
      <c r="G70" s="250"/>
      <c r="I70" s="204">
        <f>_xlfn.XLOOKUP(H70,Dropdown!B:B,Dropdown!C:C)</f>
        <v>0</v>
      </c>
    </row>
    <row r="71" spans="1:10">
      <c r="A71" s="227" t="s">
        <v>420</v>
      </c>
      <c r="B71" s="136">
        <f t="shared" ca="1" si="13"/>
        <v>1475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145</v>
      </c>
      <c r="G71" s="250"/>
      <c r="I71" s="204">
        <f>_xlfn.XLOOKUP(H71,Dropdown!B:B,Dropdown!C:C)</f>
        <v>0</v>
      </c>
    </row>
    <row r="72" spans="1:10">
      <c r="A72" s="227"/>
      <c r="B72" s="136"/>
      <c r="E72" s="204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>
        <v>1000</v>
      </c>
      <c r="H74" s="204" t="s">
        <v>91</v>
      </c>
      <c r="I74" s="204" t="str">
        <f>_xlfn.XLOOKUP(H74,Dropdown!B:B,Dropdown!C:C)</f>
        <v>מזון וקניות</v>
      </c>
      <c r="J74" s="204" t="s">
        <v>166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>
        <v>1000</v>
      </c>
      <c r="H86" s="204" t="s">
        <v>91</v>
      </c>
      <c r="I86" s="204" t="str">
        <f>_xlfn.XLOOKUP(H86,Dropdown!B:B,Dropdown!C:C)</f>
        <v>מזון וקניות</v>
      </c>
      <c r="J86" s="204" t="s">
        <v>166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>
        <v>1000</v>
      </c>
      <c r="H100" s="204" t="s">
        <v>91</v>
      </c>
      <c r="I100" s="204" t="str">
        <f>_xlfn.XLOOKUP(H100,Dropdown!B:B,Dropdown!C:C)</f>
        <v>מזון וקניות</v>
      </c>
      <c r="J100" s="204" t="s">
        <v>166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</sheetData>
  <sheetProtection selectLockedCells="1" selectUnlockedCells="1"/>
  <autoFilter ref="F1:N336" xr:uid="{00000000-0009-0000-0000-00000F000000}"/>
  <sortState xmlns:xlrd2="http://schemas.microsoft.com/office/spreadsheetml/2017/richdata2" ref="F61:N134">
    <sortCondition ref="F61:F134"/>
  </sortState>
  <mergeCells count="8">
    <mergeCell ref="A35:A38"/>
    <mergeCell ref="A31:A32"/>
    <mergeCell ref="A2:A6"/>
    <mergeCell ref="A9:A10"/>
    <mergeCell ref="A11:A13"/>
    <mergeCell ref="A20:A23"/>
    <mergeCell ref="A28:A29"/>
    <mergeCell ref="A7:A8"/>
  </mergeCells>
  <conditionalFormatting sqref="C2">
    <cfRule type="duplicateValues" dxfId="70" priority="1" stopIfTrue="1"/>
  </conditionalFormatting>
  <conditionalFormatting sqref="Q6:AV13">
    <cfRule type="cellIs" dxfId="69" priority="2" operator="greaterThan">
      <formula>0</formula>
    </cfRule>
  </conditionalFormatting>
  <conditionalFormatting sqref="Q19:AV37">
    <cfRule type="cellIs" dxfId="68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6:J167 J3:J51 J53:J54" xr:uid="{EAE23685-0172-43A2-BA0D-2FA3DA6D54F6}">
      <formula1>סוג_תשלום</formula1>
    </dataValidation>
    <dataValidation type="list" errorStyle="warning" allowBlank="1" showInputMessage="1" showErrorMessage="1" errorTitle="חסרה קטגוריה" sqref="H56:H167 H53:H54 H3:H51" xr:uid="{054A47C6-7BAF-4506-A59C-EBF1E5B817D3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B42475-D528-42EE-9791-6FF5FC3C331E}">
          <x14:formula1>
            <xm:f>Dropdown!$D$2:$D$9</xm:f>
          </x14:formula1>
          <xm:sqref>P18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/>
  <dimension ref="A1:AW259"/>
  <sheetViews>
    <sheetView rightToLeft="1" tabSelected="1" zoomScale="80" zoomScaleNormal="80" workbookViewId="0">
      <selection activeCell="F21" sqref="F21"/>
    </sheetView>
  </sheetViews>
  <sheetFormatPr defaultColWidth="9.28515625" defaultRowHeight="12.75"/>
  <cols>
    <col min="1" max="1" width="22.140625" style="204" bestFit="1" customWidth="1"/>
    <col min="2" max="2" width="16.42578125" style="204" bestFit="1" customWidth="1"/>
    <col min="3" max="3" width="10.28515625" style="204" customWidth="1"/>
    <col min="4" max="4" width="11.28515625" style="204" bestFit="1" customWidth="1"/>
    <col min="5" max="5" width="10.7109375" style="268" customWidth="1"/>
    <col min="6" max="6" width="8.7109375" style="226" customWidth="1"/>
    <col min="7" max="7" width="9.85546875" style="204" bestFit="1" customWidth="1"/>
    <col min="8" max="8" width="17.7109375" style="204" bestFit="1" customWidth="1"/>
    <col min="9" max="9" width="17.85546875" style="204" bestFit="1" customWidth="1"/>
    <col min="10" max="10" width="6.28515625" style="204" bestFit="1" customWidth="1"/>
    <col min="11" max="11" width="4.7109375" style="227" bestFit="1" customWidth="1"/>
    <col min="12" max="12" width="8.7109375" style="253" bestFit="1" customWidth="1"/>
    <col min="13" max="13" width="12.140625" style="275" bestFit="1" customWidth="1"/>
    <col min="14" max="14" width="6.5703125" style="275" bestFit="1" customWidth="1"/>
    <col min="15" max="15" width="9.28515625" style="222"/>
    <col min="16" max="16" width="20.42578125" style="204" bestFit="1" customWidth="1"/>
    <col min="17" max="17" width="7.42578125" style="204" customWidth="1"/>
    <col min="18" max="18" width="6.140625" style="204" bestFit="1" customWidth="1"/>
    <col min="19" max="19" width="5.42578125" style="204" bestFit="1" customWidth="1"/>
    <col min="20" max="20" width="2.28515625" style="204" bestFit="1" customWidth="1"/>
    <col min="21" max="21" width="5.42578125" style="204" bestFit="1" customWidth="1"/>
    <col min="22" max="23" width="4.28515625" style="204" bestFit="1" customWidth="1"/>
    <col min="24" max="24" width="5.42578125" style="204" bestFit="1" customWidth="1"/>
    <col min="25" max="25" width="4.28515625" style="204" bestFit="1" customWidth="1"/>
    <col min="26" max="26" width="5.42578125" style="204" bestFit="1" customWidth="1"/>
    <col min="27" max="28" width="4.28515625" style="204" bestFit="1" customWidth="1"/>
    <col min="29" max="29" width="5.42578125" style="204" bestFit="1" customWidth="1"/>
    <col min="30" max="31" width="4.28515625" style="204" bestFit="1" customWidth="1"/>
    <col min="32" max="32" width="5.42578125" style="204" bestFit="1" customWidth="1"/>
    <col min="33" max="34" width="4.28515625" style="204" bestFit="1" customWidth="1"/>
    <col min="35" max="37" width="3.28515625" style="204" bestFit="1" customWidth="1"/>
    <col min="38" max="39" width="4.28515625" style="204" bestFit="1" customWidth="1"/>
    <col min="40" max="48" width="3.28515625" style="204" bestFit="1" customWidth="1"/>
    <col min="49" max="49" width="7.42578125" style="204" bestFit="1" customWidth="1"/>
    <col min="50" max="16384" width="9.28515625" style="204"/>
  </cols>
  <sheetData>
    <row r="1" spans="1:49" ht="13.5" thickBot="1">
      <c r="A1" s="213" t="s">
        <v>198</v>
      </c>
      <c r="B1" s="214" t="s">
        <v>197</v>
      </c>
      <c r="C1" s="215" t="s">
        <v>1</v>
      </c>
      <c r="D1" s="216" t="s">
        <v>351</v>
      </c>
      <c r="E1" s="277"/>
      <c r="F1" s="217" t="s">
        <v>3</v>
      </c>
      <c r="G1" s="218" t="s">
        <v>141</v>
      </c>
      <c r="H1" s="218" t="s">
        <v>323</v>
      </c>
      <c r="I1" s="218" t="s">
        <v>214</v>
      </c>
      <c r="J1" s="218" t="s">
        <v>142</v>
      </c>
      <c r="K1" s="218" t="s">
        <v>143</v>
      </c>
      <c r="L1" s="276" t="s">
        <v>164</v>
      </c>
      <c r="M1" s="273"/>
      <c r="N1" s="273" t="s">
        <v>313</v>
      </c>
    </row>
    <row r="2" spans="1:49">
      <c r="A2" s="458" t="s">
        <v>15</v>
      </c>
      <c r="B2" s="223" t="s">
        <v>16</v>
      </c>
      <c r="C2" s="223">
        <f ca="1">SUMIF((INDIRECT("'"&amp;$B$1&amp;"'!"&amp;"J:J")),"ל-ו 2",(INDIRECT("'"&amp;$B$1&amp;"'!"&amp;"G:G")))+SUMIF((INDIRECT("'"&amp;$A$1&amp;"'!"&amp;"J:J")),"ל-ו 1",(INDIRECT("'"&amp;$A$1&amp;"'!"&amp;"G:G")))</f>
        <v>8251.2999999999993</v>
      </c>
      <c r="D2" s="224">
        <f ca="1">SUMIF((INDIRECT("'"&amp;$B$1&amp;"'!"&amp;"P:P")),"ל-ל 2",(INDIRECT("'"&amp;$B$1&amp;"'!"&amp;"G:G")))+SUMIF((INDIRECT("'"&amp;$A$1&amp;"'!"&amp;"J:J")),"ל-ל 1",(INDIRECT("'"&amp;$A$1&amp;"'!"&amp;"G:G")))</f>
        <v>0</v>
      </c>
      <c r="F2" s="219" t="s">
        <v>286</v>
      </c>
      <c r="G2" s="225"/>
      <c r="H2" s="225"/>
      <c r="I2" s="225"/>
      <c r="J2" s="225"/>
      <c r="K2" s="225"/>
      <c r="L2" s="225"/>
      <c r="M2" s="274"/>
      <c r="N2" s="274"/>
    </row>
    <row r="3" spans="1:49">
      <c r="A3" s="458"/>
      <c r="B3" s="223" t="s">
        <v>136</v>
      </c>
      <c r="C3" s="223">
        <f ca="1">SUMIF((INDIRECT("'"&amp;$B$1&amp;"'!"&amp;"J:J")),"ל-ח 2",(INDIRECT("'"&amp;$B$1&amp;"'!"&amp;"G:G")))+SUMIF((INDIRECT("'"&amp;$A$1&amp;"'!"&amp;"J:J")),"ל-ח 1",(INDIRECT("'"&amp;$A$1&amp;"'!"&amp;"G:G")))</f>
        <v>119.80000000000001</v>
      </c>
      <c r="D3" s="224"/>
      <c r="G3" s="279">
        <v>10</v>
      </c>
      <c r="H3" s="204" t="s">
        <v>19</v>
      </c>
      <c r="I3" s="204" t="str">
        <f>_xlfn.XLOOKUP(H3,Dropdown!B:B,Dropdown!C:C)</f>
        <v>ביטוחים ופיננסים</v>
      </c>
      <c r="J3" s="204" t="s">
        <v>352</v>
      </c>
    </row>
    <row r="4" spans="1:49">
      <c r="A4" s="458"/>
      <c r="B4" s="196" t="s">
        <v>17</v>
      </c>
      <c r="C4" s="196">
        <f ca="1">SUMIF((INDIRECT("'"&amp;$B$1&amp;"'!"&amp;"J:J")),"י-ק 2",(INDIRECT("'"&amp;$B$1&amp;"'!"&amp;"G:G")))+SUMIF((INDIRECT("'"&amp;$A$1&amp;"'!"&amp;"J:J")),"י-ק 1",(INDIRECT("'"&amp;$A$1&amp;"'!"&amp;"G:G")))</f>
        <v>3323.9</v>
      </c>
      <c r="D4" s="205">
        <f ca="1">SUMIF((INDIRECT("'"&amp;$B$1&amp;"'!"&amp;"J:J")),"ל-פ 2",(INDIRECT("'"&amp;$B$1&amp;"'!"&amp;"G:G")))+SUMIF((INDIRECT("'"&amp;$A$1&amp;"'!"&amp;"J:J")),"ל-פ 1",(INDIRECT("'"&amp;$A$1&amp;"'!"&amp;"G:G")))</f>
        <v>32068.62</v>
      </c>
      <c r="G4" s="279">
        <v>400</v>
      </c>
      <c r="H4" s="204" t="s">
        <v>298</v>
      </c>
      <c r="I4" s="204" t="str">
        <f>_xlfn.XLOOKUP(H4,Dropdown!B:B,Dropdown!C:C)</f>
        <v>תחזוקת דירה ותקשורת</v>
      </c>
      <c r="J4" s="204" t="s">
        <v>166</v>
      </c>
    </row>
    <row r="5" spans="1:49">
      <c r="A5" s="458"/>
      <c r="B5" s="196"/>
      <c r="C5" s="196"/>
      <c r="D5" s="198"/>
      <c r="G5" s="279">
        <v>650</v>
      </c>
      <c r="H5" s="204" t="s">
        <v>70</v>
      </c>
      <c r="I5" s="204" t="str">
        <f>_xlfn.XLOOKUP(H5,Dropdown!B:B,Dropdown!C:C)</f>
        <v>תחזוקת דירה ותקשורת</v>
      </c>
      <c r="J5" s="204" t="s">
        <v>166</v>
      </c>
      <c r="P5" s="291"/>
      <c r="Q5" s="292" t="s">
        <v>431</v>
      </c>
      <c r="R5" s="292">
        <v>1</v>
      </c>
      <c r="S5" s="293">
        <v>2</v>
      </c>
      <c r="T5" s="293">
        <v>3</v>
      </c>
      <c r="U5" s="293">
        <v>4</v>
      </c>
      <c r="V5" s="293">
        <v>5</v>
      </c>
      <c r="W5" s="293">
        <v>6</v>
      </c>
      <c r="X5" s="293">
        <v>7</v>
      </c>
      <c r="Y5" s="293">
        <v>8</v>
      </c>
      <c r="Z5" s="293">
        <v>9</v>
      </c>
      <c r="AA5" s="293">
        <v>10</v>
      </c>
      <c r="AB5" s="293">
        <v>11</v>
      </c>
      <c r="AC5" s="293">
        <v>12</v>
      </c>
      <c r="AD5" s="293">
        <v>13</v>
      </c>
      <c r="AE5" s="293">
        <v>14</v>
      </c>
      <c r="AF5" s="293">
        <v>15</v>
      </c>
      <c r="AG5" s="293">
        <v>16</v>
      </c>
      <c r="AH5" s="293">
        <v>17</v>
      </c>
      <c r="AI5" s="293">
        <v>18</v>
      </c>
      <c r="AJ5" s="293">
        <v>19</v>
      </c>
      <c r="AK5" s="293">
        <v>20</v>
      </c>
      <c r="AL5" s="293">
        <v>21</v>
      </c>
      <c r="AM5" s="293">
        <v>22</v>
      </c>
      <c r="AN5" s="293">
        <v>23</v>
      </c>
      <c r="AO5" s="293">
        <v>24</v>
      </c>
      <c r="AP5" s="293">
        <v>25</v>
      </c>
      <c r="AQ5" s="293">
        <v>26</v>
      </c>
      <c r="AR5" s="293">
        <v>27</v>
      </c>
      <c r="AS5" s="293">
        <v>28</v>
      </c>
      <c r="AT5" s="293">
        <v>29</v>
      </c>
      <c r="AU5" s="293">
        <v>30</v>
      </c>
      <c r="AV5" s="293">
        <v>31</v>
      </c>
      <c r="AW5" s="293" t="s">
        <v>24</v>
      </c>
    </row>
    <row r="6" spans="1:49">
      <c r="A6" s="460"/>
      <c r="B6" s="196"/>
      <c r="C6" s="196"/>
      <c r="D6" s="198"/>
      <c r="G6" s="279">
        <v>1709.26</v>
      </c>
      <c r="H6" s="204" t="s">
        <v>81</v>
      </c>
      <c r="I6" s="204" t="str">
        <f>_xlfn.XLOOKUP(H6,Dropdown!B:B,Dropdown!C:C)</f>
        <v>תחזוקת דירה ותקשורת</v>
      </c>
      <c r="J6" s="204" t="s">
        <v>20</v>
      </c>
      <c r="P6" s="288" t="s">
        <v>426</v>
      </c>
      <c r="Q6" s="297">
        <f t="shared" ref="Q6:Q13" si="0">SUMIFS($G:$G,$I:$I,$P6,$F:$F,"")</f>
        <v>16253.96</v>
      </c>
      <c r="R6" s="297">
        <f t="shared" ref="R6:AA13" si="1">SUMIFS($G:$G,$I:$I,$P6,$F:$F, TEXT(R$5,"00") &amp; "." &amp; TEXT($A$1,"00"))</f>
        <v>0</v>
      </c>
      <c r="S6" s="297">
        <f t="shared" si="1"/>
        <v>0</v>
      </c>
      <c r="T6" s="297">
        <f t="shared" si="1"/>
        <v>0</v>
      </c>
      <c r="U6" s="297">
        <f t="shared" si="1"/>
        <v>0</v>
      </c>
      <c r="V6" s="297">
        <f t="shared" si="1"/>
        <v>0</v>
      </c>
      <c r="W6" s="297">
        <f t="shared" si="1"/>
        <v>0</v>
      </c>
      <c r="X6" s="297">
        <f t="shared" si="1"/>
        <v>0</v>
      </c>
      <c r="Y6" s="297">
        <f t="shared" si="1"/>
        <v>0</v>
      </c>
      <c r="Z6" s="297">
        <f t="shared" si="1"/>
        <v>0</v>
      </c>
      <c r="AA6" s="297">
        <f t="shared" si="1"/>
        <v>0</v>
      </c>
      <c r="AB6" s="297">
        <f t="shared" ref="AB6:AK13" si="2">SUMIFS($G:$G,$I:$I,$P6,$F:$F, TEXT(AB$5,"00") &amp; "." &amp; TEXT($A$1,"00"))</f>
        <v>0</v>
      </c>
      <c r="AC6" s="297">
        <f t="shared" si="2"/>
        <v>0</v>
      </c>
      <c r="AD6" s="297">
        <f t="shared" si="2"/>
        <v>0</v>
      </c>
      <c r="AE6" s="297">
        <f t="shared" si="2"/>
        <v>0</v>
      </c>
      <c r="AF6" s="297">
        <f t="shared" si="2"/>
        <v>0</v>
      </c>
      <c r="AG6" s="297">
        <f t="shared" si="2"/>
        <v>0</v>
      </c>
      <c r="AH6" s="297">
        <f t="shared" si="2"/>
        <v>0</v>
      </c>
      <c r="AI6" s="297">
        <f t="shared" si="2"/>
        <v>0</v>
      </c>
      <c r="AJ6" s="297">
        <f t="shared" si="2"/>
        <v>0</v>
      </c>
      <c r="AK6" s="297">
        <f t="shared" si="2"/>
        <v>0</v>
      </c>
      <c r="AL6" s="297">
        <f t="shared" ref="AL6:AV13" si="3">SUMIFS($G:$G,$I:$I,$P6,$F:$F, TEXT(AL$5,"00") &amp; "." &amp; TEXT($A$1,"00"))</f>
        <v>0</v>
      </c>
      <c r="AM6" s="297">
        <f t="shared" si="3"/>
        <v>0</v>
      </c>
      <c r="AN6" s="297">
        <f t="shared" si="3"/>
        <v>0</v>
      </c>
      <c r="AO6" s="297">
        <f t="shared" si="3"/>
        <v>0</v>
      </c>
      <c r="AP6" s="297">
        <f t="shared" si="3"/>
        <v>0</v>
      </c>
      <c r="AQ6" s="297">
        <f t="shared" si="3"/>
        <v>0</v>
      </c>
      <c r="AR6" s="297">
        <f t="shared" si="3"/>
        <v>0</v>
      </c>
      <c r="AS6" s="297">
        <f t="shared" si="3"/>
        <v>0</v>
      </c>
      <c r="AT6" s="297">
        <f t="shared" si="3"/>
        <v>0</v>
      </c>
      <c r="AU6" s="297">
        <f t="shared" si="3"/>
        <v>0</v>
      </c>
      <c r="AV6" s="297">
        <f t="shared" si="3"/>
        <v>0</v>
      </c>
      <c r="AW6" s="294">
        <f>SUM(Q6:AV6)</f>
        <v>16253.96</v>
      </c>
    </row>
    <row r="7" spans="1:49">
      <c r="A7" s="465" t="s">
        <v>18</v>
      </c>
      <c r="B7" s="196" t="s">
        <v>18</v>
      </c>
      <c r="C7" s="196">
        <f ca="1">SUMIF((INDIRECT("'"&amp;$A$1&amp;"'!"&amp;"J:J")),"הל-ד",(INDIRECT("'"&amp;$A$1&amp;"'!"&amp;"G:G")))</f>
        <v>0</v>
      </c>
      <c r="D7" s="198">
        <f ca="1">SUMIF((INDIRECT("'"&amp;$A$1&amp;"'!"&amp;"J:J")),"הל-ל",(INDIRECT("'"&amp;$A$1&amp;"'!"&amp;"G:G")))</f>
        <v>0</v>
      </c>
      <c r="G7" s="279">
        <v>0</v>
      </c>
      <c r="H7" s="204" t="s">
        <v>75</v>
      </c>
      <c r="I7" s="204" t="str">
        <f>_xlfn.XLOOKUP(H7,Dropdown!B:B,Dropdown!C:C)</f>
        <v>תחזוקת דירה ותקשורת</v>
      </c>
      <c r="J7" s="204" t="s">
        <v>20</v>
      </c>
      <c r="P7" s="288" t="s">
        <v>425</v>
      </c>
      <c r="Q7" s="297">
        <f t="shared" si="0"/>
        <v>4110.5200000000004</v>
      </c>
      <c r="R7" s="297">
        <f t="shared" si="1"/>
        <v>0</v>
      </c>
      <c r="S7" s="297">
        <f t="shared" si="1"/>
        <v>0</v>
      </c>
      <c r="T7" s="297">
        <f t="shared" si="1"/>
        <v>0</v>
      </c>
      <c r="U7" s="297">
        <f t="shared" si="1"/>
        <v>0</v>
      </c>
      <c r="V7" s="297">
        <f t="shared" si="1"/>
        <v>0</v>
      </c>
      <c r="W7" s="297">
        <f t="shared" si="1"/>
        <v>0</v>
      </c>
      <c r="X7" s="297">
        <f t="shared" si="1"/>
        <v>0</v>
      </c>
      <c r="Y7" s="297">
        <f t="shared" si="1"/>
        <v>0</v>
      </c>
      <c r="Z7" s="297">
        <f t="shared" si="1"/>
        <v>0</v>
      </c>
      <c r="AA7" s="297">
        <f t="shared" si="1"/>
        <v>0</v>
      </c>
      <c r="AB7" s="297">
        <f t="shared" si="2"/>
        <v>0</v>
      </c>
      <c r="AC7" s="297">
        <f t="shared" si="2"/>
        <v>0</v>
      </c>
      <c r="AD7" s="297">
        <f t="shared" si="2"/>
        <v>0</v>
      </c>
      <c r="AE7" s="297">
        <f t="shared" si="2"/>
        <v>0</v>
      </c>
      <c r="AF7" s="297">
        <f t="shared" si="2"/>
        <v>0</v>
      </c>
      <c r="AG7" s="297">
        <f t="shared" si="2"/>
        <v>0</v>
      </c>
      <c r="AH7" s="297">
        <f t="shared" si="2"/>
        <v>0</v>
      </c>
      <c r="AI7" s="297">
        <f t="shared" si="2"/>
        <v>0</v>
      </c>
      <c r="AJ7" s="297">
        <f t="shared" si="2"/>
        <v>0</v>
      </c>
      <c r="AK7" s="297">
        <f t="shared" si="2"/>
        <v>0</v>
      </c>
      <c r="AL7" s="297">
        <f t="shared" si="3"/>
        <v>0</v>
      </c>
      <c r="AM7" s="297">
        <f t="shared" si="3"/>
        <v>0</v>
      </c>
      <c r="AN7" s="297">
        <f t="shared" si="3"/>
        <v>0</v>
      </c>
      <c r="AO7" s="297">
        <f t="shared" si="3"/>
        <v>0</v>
      </c>
      <c r="AP7" s="297">
        <f t="shared" si="3"/>
        <v>0</v>
      </c>
      <c r="AQ7" s="297">
        <f t="shared" si="3"/>
        <v>0</v>
      </c>
      <c r="AR7" s="297">
        <f t="shared" si="3"/>
        <v>0</v>
      </c>
      <c r="AS7" s="297">
        <f t="shared" si="3"/>
        <v>0</v>
      </c>
      <c r="AT7" s="297">
        <f t="shared" si="3"/>
        <v>0</v>
      </c>
      <c r="AU7" s="297">
        <f t="shared" si="3"/>
        <v>0</v>
      </c>
      <c r="AV7" s="297">
        <f t="shared" si="3"/>
        <v>0</v>
      </c>
      <c r="AW7" s="294">
        <f t="shared" ref="AW7:AW13" si="4">SUM(Q7:AV7)</f>
        <v>4110.5200000000004</v>
      </c>
    </row>
    <row r="8" spans="1:49">
      <c r="A8" s="466"/>
      <c r="B8" s="196" t="s">
        <v>68</v>
      </c>
      <c r="C8" s="196">
        <f ca="1">SUMIFS((INDIRECT("'"&amp;$A$1&amp;"'!"&amp;"G:G")),(INDIRECT("'"&amp;$A$1&amp;"'!"&amp;"J:J")),"חש-ד",(INDIRECT("'"&amp;$A$1&amp;"'!"&amp;"H:H")),"משכנתא")</f>
        <v>8500</v>
      </c>
      <c r="D8" s="198"/>
      <c r="G8" s="279">
        <v>95</v>
      </c>
      <c r="H8" s="204" t="s">
        <v>79</v>
      </c>
      <c r="I8" s="204" t="str">
        <f>_xlfn.XLOOKUP(H8,Dropdown!B:B,Dropdown!C:C)</f>
        <v>תחזוקת דירה ותקשורת</v>
      </c>
      <c r="J8" s="204" t="s">
        <v>20</v>
      </c>
      <c r="P8" s="288" t="s">
        <v>424</v>
      </c>
      <c r="Q8" s="297">
        <f t="shared" si="0"/>
        <v>0</v>
      </c>
      <c r="R8" s="297">
        <f t="shared" si="1"/>
        <v>0</v>
      </c>
      <c r="S8" s="297">
        <f t="shared" si="1"/>
        <v>0</v>
      </c>
      <c r="T8" s="297">
        <f t="shared" si="1"/>
        <v>0</v>
      </c>
      <c r="U8" s="297">
        <f t="shared" si="1"/>
        <v>0</v>
      </c>
      <c r="V8" s="297">
        <f t="shared" si="1"/>
        <v>0</v>
      </c>
      <c r="W8" s="297">
        <f t="shared" si="1"/>
        <v>0</v>
      </c>
      <c r="X8" s="297">
        <f t="shared" si="1"/>
        <v>0</v>
      </c>
      <c r="Y8" s="297">
        <f t="shared" si="1"/>
        <v>0</v>
      </c>
      <c r="Z8" s="297">
        <f t="shared" si="1"/>
        <v>0</v>
      </c>
      <c r="AA8" s="297">
        <f t="shared" si="1"/>
        <v>0</v>
      </c>
      <c r="AB8" s="297">
        <f t="shared" si="2"/>
        <v>0</v>
      </c>
      <c r="AC8" s="297">
        <f t="shared" si="2"/>
        <v>0</v>
      </c>
      <c r="AD8" s="297">
        <f t="shared" si="2"/>
        <v>0</v>
      </c>
      <c r="AE8" s="297">
        <f t="shared" si="2"/>
        <v>0</v>
      </c>
      <c r="AF8" s="297">
        <f t="shared" si="2"/>
        <v>0</v>
      </c>
      <c r="AG8" s="297">
        <f t="shared" si="2"/>
        <v>0</v>
      </c>
      <c r="AH8" s="297">
        <f t="shared" si="2"/>
        <v>0</v>
      </c>
      <c r="AI8" s="297">
        <f t="shared" si="2"/>
        <v>0</v>
      </c>
      <c r="AJ8" s="297">
        <f t="shared" si="2"/>
        <v>0</v>
      </c>
      <c r="AK8" s="297">
        <f t="shared" si="2"/>
        <v>0</v>
      </c>
      <c r="AL8" s="297">
        <f t="shared" si="3"/>
        <v>0</v>
      </c>
      <c r="AM8" s="297">
        <f t="shared" si="3"/>
        <v>0</v>
      </c>
      <c r="AN8" s="297">
        <f t="shared" si="3"/>
        <v>0</v>
      </c>
      <c r="AO8" s="297">
        <f t="shared" si="3"/>
        <v>0</v>
      </c>
      <c r="AP8" s="297">
        <f t="shared" si="3"/>
        <v>0</v>
      </c>
      <c r="AQ8" s="297">
        <f t="shared" si="3"/>
        <v>0</v>
      </c>
      <c r="AR8" s="297">
        <f t="shared" si="3"/>
        <v>0</v>
      </c>
      <c r="AS8" s="297">
        <f t="shared" si="3"/>
        <v>0</v>
      </c>
      <c r="AT8" s="297">
        <f t="shared" si="3"/>
        <v>0</v>
      </c>
      <c r="AU8" s="297">
        <f t="shared" si="3"/>
        <v>0</v>
      </c>
      <c r="AV8" s="297">
        <f t="shared" si="3"/>
        <v>0</v>
      </c>
      <c r="AW8" s="294">
        <f t="shared" si="4"/>
        <v>0</v>
      </c>
    </row>
    <row r="9" spans="1:49">
      <c r="A9" s="461" t="s">
        <v>59</v>
      </c>
      <c r="B9" s="196" t="s">
        <v>356</v>
      </c>
      <c r="C9" s="298">
        <v>3200.4</v>
      </c>
      <c r="D9" s="198">
        <f ca="1">SUMIFS((INDIRECT("'"&amp;$A$1&amp;"'!"&amp;"G:G")),(INDIRECT("'"&amp;$A$1&amp;"'!"&amp;"J:J")),"חש-ל",(INDIRECT("'"&amp;$A$1&amp;"'!"&amp;"H:H")),"פנסיה")+SUMIFS((INDIRECT("'"&amp;$A$1&amp;"'!"&amp;"G:G")),(INDIRECT("'"&amp;$A$1&amp;"'!"&amp;"J:J")),"חש-ל",(INDIRECT("'"&amp;$A$1&amp;"'!"&amp;"H:H")),"רו""ח")+SUMIFS((INDIRECT("'"&amp;$A$1&amp;"'!"&amp;"G:G")),(INDIRECT("'"&amp;$A$1&amp;"'!"&amp;"J:J")),"חש-ל",(INDIRECT("'"&amp;$A$1&amp;"'!"&amp;"H:H")),"ביטוח לאומי")+SUMIFS((INDIRECT("'"&amp;$A$1&amp;"'!"&amp;"G:G")),(INDIRECT("'"&amp;$A$1&amp;"'!"&amp;"J:J")),"חש-ל",(INDIRECT("'"&amp;$A$1&amp;"'!"&amp;"H:H")),"מע""מ")+SUMIFS((INDIRECT("'"&amp;$A$1&amp;"'!"&amp;"G:G")),(INDIRECT("'"&amp;$A$1&amp;"'!"&amp;"J:J")),"חש-ל",(INDIRECT("'"&amp;$A$1&amp;"'!"&amp;"H:H")),"מס הכנסה")+SUMIFS((INDIRECT("'"&amp;$A$1&amp;"'!"&amp;"G:G")),(INDIRECT("'"&amp;$A$1&amp;"'!"&amp;"J:J")),"חש-ל",(INDIRECT("'"&amp;$A$1&amp;"'!"&amp;"H:H")),"קרן השתלמות")</f>
        <v>6531.77</v>
      </c>
      <c r="G9" s="279">
        <v>106</v>
      </c>
      <c r="H9" s="204" t="s">
        <v>126</v>
      </c>
      <c r="I9" s="204" t="str">
        <f>_xlfn.XLOOKUP(H9,Dropdown!B:B,Dropdown!C:C)</f>
        <v>בריאות וטיפולים</v>
      </c>
      <c r="J9" s="204" t="s">
        <v>20</v>
      </c>
      <c r="P9" s="288" t="s">
        <v>423</v>
      </c>
      <c r="Q9" s="297">
        <f t="shared" si="0"/>
        <v>2670</v>
      </c>
      <c r="R9" s="297">
        <f t="shared" si="1"/>
        <v>0</v>
      </c>
      <c r="S9" s="297">
        <f t="shared" si="1"/>
        <v>0</v>
      </c>
      <c r="T9" s="297">
        <f t="shared" si="1"/>
        <v>0</v>
      </c>
      <c r="U9" s="297">
        <f t="shared" si="1"/>
        <v>0</v>
      </c>
      <c r="V9" s="297">
        <f t="shared" si="1"/>
        <v>0</v>
      </c>
      <c r="W9" s="297">
        <f t="shared" si="1"/>
        <v>0</v>
      </c>
      <c r="X9" s="297">
        <f t="shared" si="1"/>
        <v>0</v>
      </c>
      <c r="Y9" s="297">
        <f t="shared" si="1"/>
        <v>0</v>
      </c>
      <c r="Z9" s="297">
        <f t="shared" si="1"/>
        <v>0</v>
      </c>
      <c r="AA9" s="297">
        <f t="shared" si="1"/>
        <v>0</v>
      </c>
      <c r="AB9" s="297">
        <f t="shared" si="2"/>
        <v>0</v>
      </c>
      <c r="AC9" s="297">
        <f t="shared" si="2"/>
        <v>0</v>
      </c>
      <c r="AD9" s="297">
        <f t="shared" si="2"/>
        <v>0</v>
      </c>
      <c r="AE9" s="297">
        <f t="shared" si="2"/>
        <v>0</v>
      </c>
      <c r="AF9" s="297">
        <f t="shared" si="2"/>
        <v>0</v>
      </c>
      <c r="AG9" s="297">
        <f t="shared" si="2"/>
        <v>0</v>
      </c>
      <c r="AH9" s="297">
        <f t="shared" si="2"/>
        <v>0</v>
      </c>
      <c r="AI9" s="297">
        <f t="shared" si="2"/>
        <v>0</v>
      </c>
      <c r="AJ9" s="297">
        <f t="shared" si="2"/>
        <v>0</v>
      </c>
      <c r="AK9" s="297">
        <f t="shared" si="2"/>
        <v>0</v>
      </c>
      <c r="AL9" s="297">
        <f t="shared" si="3"/>
        <v>0</v>
      </c>
      <c r="AM9" s="297">
        <f t="shared" si="3"/>
        <v>0</v>
      </c>
      <c r="AN9" s="297">
        <f t="shared" si="3"/>
        <v>0</v>
      </c>
      <c r="AO9" s="297">
        <f t="shared" si="3"/>
        <v>0</v>
      </c>
      <c r="AP9" s="297">
        <f t="shared" si="3"/>
        <v>0</v>
      </c>
      <c r="AQ9" s="297">
        <f t="shared" si="3"/>
        <v>0</v>
      </c>
      <c r="AR9" s="297">
        <f t="shared" si="3"/>
        <v>0</v>
      </c>
      <c r="AS9" s="297">
        <f t="shared" si="3"/>
        <v>0</v>
      </c>
      <c r="AT9" s="297">
        <f t="shared" si="3"/>
        <v>0</v>
      </c>
      <c r="AU9" s="297">
        <f t="shared" si="3"/>
        <v>0</v>
      </c>
      <c r="AV9" s="297">
        <f t="shared" si="3"/>
        <v>0</v>
      </c>
      <c r="AW9" s="294">
        <f t="shared" si="4"/>
        <v>2670</v>
      </c>
    </row>
    <row r="10" spans="1:49">
      <c r="A10" s="460"/>
      <c r="B10" s="196" t="s">
        <v>8</v>
      </c>
      <c r="C10" s="299">
        <f>430.7*3</f>
        <v>1292.0999999999999</v>
      </c>
      <c r="D10" s="197"/>
      <c r="G10" s="279">
        <v>366</v>
      </c>
      <c r="H10" s="204" t="s">
        <v>127</v>
      </c>
      <c r="I10" s="204" t="str">
        <f>_xlfn.XLOOKUP(H10,Dropdown!B:B,Dropdown!C:C)</f>
        <v>בריאות וטיפולים</v>
      </c>
      <c r="J10" s="204" t="s">
        <v>20</v>
      </c>
      <c r="P10" s="288" t="s">
        <v>422</v>
      </c>
      <c r="Q10" s="297">
        <f t="shared" si="0"/>
        <v>0</v>
      </c>
      <c r="R10" s="297">
        <f t="shared" si="1"/>
        <v>0</v>
      </c>
      <c r="S10" s="297">
        <f t="shared" si="1"/>
        <v>0</v>
      </c>
      <c r="T10" s="297">
        <f t="shared" si="1"/>
        <v>0</v>
      </c>
      <c r="U10" s="297">
        <f t="shared" si="1"/>
        <v>0</v>
      </c>
      <c r="V10" s="297">
        <f t="shared" si="1"/>
        <v>0</v>
      </c>
      <c r="W10" s="297">
        <f t="shared" si="1"/>
        <v>0</v>
      </c>
      <c r="X10" s="297">
        <f t="shared" si="1"/>
        <v>0</v>
      </c>
      <c r="Y10" s="297">
        <f t="shared" si="1"/>
        <v>0</v>
      </c>
      <c r="Z10" s="297">
        <f t="shared" si="1"/>
        <v>0</v>
      </c>
      <c r="AA10" s="297">
        <f t="shared" si="1"/>
        <v>0</v>
      </c>
      <c r="AB10" s="297">
        <f t="shared" si="2"/>
        <v>0</v>
      </c>
      <c r="AC10" s="297">
        <f t="shared" si="2"/>
        <v>0</v>
      </c>
      <c r="AD10" s="297">
        <f t="shared" si="2"/>
        <v>0</v>
      </c>
      <c r="AE10" s="297">
        <f t="shared" si="2"/>
        <v>0</v>
      </c>
      <c r="AF10" s="297">
        <f t="shared" si="2"/>
        <v>0</v>
      </c>
      <c r="AG10" s="297">
        <f t="shared" si="2"/>
        <v>0</v>
      </c>
      <c r="AH10" s="297">
        <f t="shared" si="2"/>
        <v>0</v>
      </c>
      <c r="AI10" s="297">
        <f t="shared" si="2"/>
        <v>0</v>
      </c>
      <c r="AJ10" s="297">
        <f t="shared" si="2"/>
        <v>0</v>
      </c>
      <c r="AK10" s="297">
        <f t="shared" si="2"/>
        <v>0</v>
      </c>
      <c r="AL10" s="297">
        <f t="shared" si="3"/>
        <v>0</v>
      </c>
      <c r="AM10" s="297">
        <f t="shared" si="3"/>
        <v>0</v>
      </c>
      <c r="AN10" s="297">
        <f t="shared" si="3"/>
        <v>0</v>
      </c>
      <c r="AO10" s="297">
        <f t="shared" si="3"/>
        <v>0</v>
      </c>
      <c r="AP10" s="297">
        <f t="shared" si="3"/>
        <v>0</v>
      </c>
      <c r="AQ10" s="297">
        <f t="shared" si="3"/>
        <v>0</v>
      </c>
      <c r="AR10" s="297">
        <f t="shared" si="3"/>
        <v>0</v>
      </c>
      <c r="AS10" s="297">
        <f t="shared" si="3"/>
        <v>0</v>
      </c>
      <c r="AT10" s="297">
        <f t="shared" si="3"/>
        <v>0</v>
      </c>
      <c r="AU10" s="297">
        <f t="shared" si="3"/>
        <v>0</v>
      </c>
      <c r="AV10" s="297">
        <f t="shared" si="3"/>
        <v>0</v>
      </c>
      <c r="AW10" s="294">
        <f t="shared" si="4"/>
        <v>0</v>
      </c>
    </row>
    <row r="11" spans="1:49">
      <c r="A11" s="461" t="s">
        <v>12</v>
      </c>
      <c r="B11" s="196" t="s">
        <v>19</v>
      </c>
      <c r="C11" s="196">
        <f ca="1">SUMIFS((INDIRECT("'"&amp;$A$1&amp;"'!"&amp;"G:G")),(INDIRECT("'"&amp;$A$1&amp;"'!"&amp;"J:J")),"חש-ד",(INDIRECT("'"&amp;$A$1&amp;"'!"&amp;"H:H")),"עמלות")</f>
        <v>0</v>
      </c>
      <c r="D11" s="198">
        <f ca="1">SUMIFS((INDIRECT("'"&amp;$A$1&amp;"'!"&amp;"G:G")),(INDIRECT("'"&amp;$A$1&amp;"'!"&amp;"J:J")),"חש-ל",(INDIRECT("'"&amp;$A$1&amp;"'!"&amp;"H:H")),"עמלות")</f>
        <v>10</v>
      </c>
      <c r="G11" s="279">
        <v>100</v>
      </c>
      <c r="H11" s="204" t="s">
        <v>86</v>
      </c>
      <c r="I11" s="204" t="str">
        <f>_xlfn.XLOOKUP(H11,Dropdown!B:B,Dropdown!C:C)</f>
        <v>תחזוקת דירה ותקשורת</v>
      </c>
      <c r="J11" s="204" t="s">
        <v>20</v>
      </c>
      <c r="P11" s="288" t="s">
        <v>421</v>
      </c>
      <c r="Q11" s="297">
        <f t="shared" si="0"/>
        <v>1402</v>
      </c>
      <c r="R11" s="297">
        <f t="shared" si="1"/>
        <v>0</v>
      </c>
      <c r="S11" s="297">
        <f t="shared" si="1"/>
        <v>0</v>
      </c>
      <c r="T11" s="297">
        <f t="shared" si="1"/>
        <v>0</v>
      </c>
      <c r="U11" s="297">
        <f t="shared" si="1"/>
        <v>0</v>
      </c>
      <c r="V11" s="297">
        <f t="shared" si="1"/>
        <v>0</v>
      </c>
      <c r="W11" s="297">
        <f t="shared" si="1"/>
        <v>0</v>
      </c>
      <c r="X11" s="297">
        <f t="shared" si="1"/>
        <v>0</v>
      </c>
      <c r="Y11" s="297">
        <f t="shared" si="1"/>
        <v>0</v>
      </c>
      <c r="Z11" s="297">
        <f t="shared" si="1"/>
        <v>0</v>
      </c>
      <c r="AA11" s="297">
        <f t="shared" si="1"/>
        <v>0</v>
      </c>
      <c r="AB11" s="297">
        <f t="shared" si="2"/>
        <v>0</v>
      </c>
      <c r="AC11" s="297">
        <f t="shared" si="2"/>
        <v>0</v>
      </c>
      <c r="AD11" s="297">
        <f t="shared" si="2"/>
        <v>0</v>
      </c>
      <c r="AE11" s="297">
        <f t="shared" si="2"/>
        <v>0</v>
      </c>
      <c r="AF11" s="297">
        <f t="shared" si="2"/>
        <v>0</v>
      </c>
      <c r="AG11" s="297">
        <f t="shared" si="2"/>
        <v>0</v>
      </c>
      <c r="AH11" s="297">
        <f t="shared" si="2"/>
        <v>0</v>
      </c>
      <c r="AI11" s="297">
        <f t="shared" si="2"/>
        <v>0</v>
      </c>
      <c r="AJ11" s="297">
        <f t="shared" si="2"/>
        <v>0</v>
      </c>
      <c r="AK11" s="297">
        <f t="shared" si="2"/>
        <v>0</v>
      </c>
      <c r="AL11" s="297">
        <f t="shared" si="3"/>
        <v>0</v>
      </c>
      <c r="AM11" s="297">
        <f t="shared" si="3"/>
        <v>0</v>
      </c>
      <c r="AN11" s="297">
        <f t="shared" si="3"/>
        <v>0</v>
      </c>
      <c r="AO11" s="297">
        <f t="shared" si="3"/>
        <v>0</v>
      </c>
      <c r="AP11" s="297">
        <f t="shared" si="3"/>
        <v>0</v>
      </c>
      <c r="AQ11" s="297">
        <f t="shared" si="3"/>
        <v>0</v>
      </c>
      <c r="AR11" s="297">
        <f t="shared" si="3"/>
        <v>0</v>
      </c>
      <c r="AS11" s="297">
        <f t="shared" si="3"/>
        <v>0</v>
      </c>
      <c r="AT11" s="297">
        <f t="shared" si="3"/>
        <v>0</v>
      </c>
      <c r="AU11" s="297">
        <f t="shared" si="3"/>
        <v>0</v>
      </c>
      <c r="AV11" s="297">
        <f t="shared" si="3"/>
        <v>0</v>
      </c>
      <c r="AW11" s="294">
        <f t="shared" si="4"/>
        <v>1402</v>
      </c>
    </row>
    <row r="12" spans="1:49">
      <c r="A12" s="458"/>
      <c r="B12" s="196" t="s">
        <v>336</v>
      </c>
      <c r="C12" s="208"/>
      <c r="D12" s="197">
        <f ca="1">SUMIFS((INDIRECT("'"&amp;$A$1&amp;"'!"&amp;"G:G")),(INDIRECT("'"&amp;$A$1&amp;"'!"&amp;"J:J")),"חש-ל",(INDIRECT("'"&amp;$A$1&amp;"'!"&amp;"H:H")),"משכורת")</f>
        <v>15000</v>
      </c>
      <c r="G12" s="279">
        <v>600</v>
      </c>
      <c r="H12" s="204" t="s">
        <v>71</v>
      </c>
      <c r="I12" s="204" t="str">
        <f>_xlfn.XLOOKUP(H12,Dropdown!B:B,Dropdown!C:C)</f>
        <v>תחזוקת דירה ותקשורת</v>
      </c>
      <c r="J12" s="204" t="s">
        <v>20</v>
      </c>
      <c r="P12" s="288" t="s">
        <v>420</v>
      </c>
      <c r="Q12" s="297">
        <f t="shared" ca="1" si="0"/>
        <v>1475</v>
      </c>
      <c r="R12" s="297">
        <f t="shared" si="1"/>
        <v>0</v>
      </c>
      <c r="S12" s="297">
        <f t="shared" si="1"/>
        <v>0</v>
      </c>
      <c r="T12" s="297">
        <f t="shared" si="1"/>
        <v>0</v>
      </c>
      <c r="U12" s="297">
        <f t="shared" si="1"/>
        <v>0</v>
      </c>
      <c r="V12" s="297">
        <f t="shared" si="1"/>
        <v>0</v>
      </c>
      <c r="W12" s="297">
        <f t="shared" si="1"/>
        <v>0</v>
      </c>
      <c r="X12" s="297">
        <f t="shared" si="1"/>
        <v>0</v>
      </c>
      <c r="Y12" s="297">
        <f t="shared" si="1"/>
        <v>0</v>
      </c>
      <c r="Z12" s="297">
        <f t="shared" si="1"/>
        <v>0</v>
      </c>
      <c r="AA12" s="297">
        <f t="shared" si="1"/>
        <v>0</v>
      </c>
      <c r="AB12" s="297">
        <f t="shared" si="2"/>
        <v>0</v>
      </c>
      <c r="AC12" s="297">
        <f t="shared" si="2"/>
        <v>0</v>
      </c>
      <c r="AD12" s="297">
        <f t="shared" si="2"/>
        <v>0</v>
      </c>
      <c r="AE12" s="297">
        <f t="shared" si="2"/>
        <v>0</v>
      </c>
      <c r="AF12" s="297">
        <f t="shared" si="2"/>
        <v>0</v>
      </c>
      <c r="AG12" s="297">
        <f t="shared" si="2"/>
        <v>0</v>
      </c>
      <c r="AH12" s="297">
        <f t="shared" si="2"/>
        <v>0</v>
      </c>
      <c r="AI12" s="297">
        <f t="shared" si="2"/>
        <v>0</v>
      </c>
      <c r="AJ12" s="297">
        <f t="shared" si="2"/>
        <v>0</v>
      </c>
      <c r="AK12" s="297">
        <f t="shared" si="2"/>
        <v>0</v>
      </c>
      <c r="AL12" s="297">
        <f t="shared" si="3"/>
        <v>0</v>
      </c>
      <c r="AM12" s="297">
        <f t="shared" si="3"/>
        <v>0</v>
      </c>
      <c r="AN12" s="297">
        <f t="shared" si="3"/>
        <v>0</v>
      </c>
      <c r="AO12" s="297">
        <f t="shared" si="3"/>
        <v>0</v>
      </c>
      <c r="AP12" s="297">
        <f t="shared" si="3"/>
        <v>0</v>
      </c>
      <c r="AQ12" s="297">
        <f t="shared" si="3"/>
        <v>0</v>
      </c>
      <c r="AR12" s="297">
        <f t="shared" si="3"/>
        <v>0</v>
      </c>
      <c r="AS12" s="297">
        <f t="shared" si="3"/>
        <v>0</v>
      </c>
      <c r="AT12" s="297">
        <f t="shared" si="3"/>
        <v>0</v>
      </c>
      <c r="AU12" s="297">
        <f t="shared" si="3"/>
        <v>0</v>
      </c>
      <c r="AV12" s="297">
        <f t="shared" si="3"/>
        <v>0</v>
      </c>
      <c r="AW12" s="294">
        <f t="shared" ca="1" si="4"/>
        <v>1475</v>
      </c>
    </row>
    <row r="13" spans="1:49">
      <c r="A13" s="460"/>
      <c r="B13" s="196" t="s">
        <v>20</v>
      </c>
      <c r="C13" s="196"/>
      <c r="D13" s="197"/>
      <c r="G13" s="279">
        <v>205</v>
      </c>
      <c r="H13" s="204" t="s">
        <v>111</v>
      </c>
      <c r="I13" s="204" t="str">
        <f>_xlfn.XLOOKUP(H13,Dropdown!B:B,Dropdown!C:C)</f>
        <v>ילדים וחינוך</v>
      </c>
      <c r="J13" s="204" t="s">
        <v>20</v>
      </c>
      <c r="P13" s="288" t="s">
        <v>339</v>
      </c>
      <c r="Q13" s="297">
        <f t="shared" si="0"/>
        <v>36945.770000000004</v>
      </c>
      <c r="R13" s="297">
        <f t="shared" si="1"/>
        <v>0</v>
      </c>
      <c r="S13" s="297">
        <f t="shared" si="1"/>
        <v>0</v>
      </c>
      <c r="T13" s="297">
        <f t="shared" si="1"/>
        <v>0</v>
      </c>
      <c r="U13" s="297">
        <f t="shared" si="1"/>
        <v>0</v>
      </c>
      <c r="V13" s="297">
        <f t="shared" si="1"/>
        <v>0</v>
      </c>
      <c r="W13" s="297">
        <f t="shared" si="1"/>
        <v>0</v>
      </c>
      <c r="X13" s="297">
        <f t="shared" si="1"/>
        <v>0</v>
      </c>
      <c r="Y13" s="297">
        <f t="shared" si="1"/>
        <v>0</v>
      </c>
      <c r="Z13" s="297">
        <f t="shared" si="1"/>
        <v>0</v>
      </c>
      <c r="AA13" s="297">
        <f t="shared" si="1"/>
        <v>0</v>
      </c>
      <c r="AB13" s="297">
        <f t="shared" si="2"/>
        <v>0</v>
      </c>
      <c r="AC13" s="297">
        <f t="shared" si="2"/>
        <v>0</v>
      </c>
      <c r="AD13" s="297">
        <f t="shared" si="2"/>
        <v>0</v>
      </c>
      <c r="AE13" s="297">
        <f t="shared" si="2"/>
        <v>0</v>
      </c>
      <c r="AF13" s="297">
        <f t="shared" si="2"/>
        <v>0</v>
      </c>
      <c r="AG13" s="297">
        <f t="shared" si="2"/>
        <v>0</v>
      </c>
      <c r="AH13" s="297">
        <f t="shared" si="2"/>
        <v>0</v>
      </c>
      <c r="AI13" s="297">
        <f t="shared" si="2"/>
        <v>0</v>
      </c>
      <c r="AJ13" s="297">
        <f t="shared" si="2"/>
        <v>0</v>
      </c>
      <c r="AK13" s="297">
        <f t="shared" si="2"/>
        <v>0</v>
      </c>
      <c r="AL13" s="297">
        <f t="shared" si="3"/>
        <v>0</v>
      </c>
      <c r="AM13" s="297">
        <f t="shared" si="3"/>
        <v>0</v>
      </c>
      <c r="AN13" s="297">
        <f t="shared" si="3"/>
        <v>0</v>
      </c>
      <c r="AO13" s="297">
        <f t="shared" si="3"/>
        <v>0</v>
      </c>
      <c r="AP13" s="297">
        <f t="shared" si="3"/>
        <v>0</v>
      </c>
      <c r="AQ13" s="297">
        <f t="shared" si="3"/>
        <v>0</v>
      </c>
      <c r="AR13" s="297">
        <f t="shared" si="3"/>
        <v>0</v>
      </c>
      <c r="AS13" s="297">
        <f t="shared" si="3"/>
        <v>0</v>
      </c>
      <c r="AT13" s="297">
        <f t="shared" si="3"/>
        <v>0</v>
      </c>
      <c r="AU13" s="297">
        <f t="shared" si="3"/>
        <v>0</v>
      </c>
      <c r="AV13" s="297">
        <f t="shared" si="3"/>
        <v>0</v>
      </c>
      <c r="AW13" s="294">
        <f t="shared" si="4"/>
        <v>36945.770000000004</v>
      </c>
    </row>
    <row r="14" spans="1:49">
      <c r="A14" s="229" t="s">
        <v>21</v>
      </c>
      <c r="B14" s="196" t="s">
        <v>22</v>
      </c>
      <c r="C14" s="196"/>
      <c r="D14" s="198"/>
      <c r="G14" s="279">
        <v>0</v>
      </c>
      <c r="H14" s="204" t="s">
        <v>111</v>
      </c>
      <c r="I14" s="204" t="str">
        <f>_xlfn.XLOOKUP(H14,Dropdown!B:B,Dropdown!C:C)</f>
        <v>ילדים וחינוך</v>
      </c>
      <c r="J14" s="204" t="s">
        <v>20</v>
      </c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</row>
    <row r="15" spans="1:49">
      <c r="A15" s="229" t="s">
        <v>188</v>
      </c>
      <c r="B15" s="196"/>
      <c r="C15" s="208">
        <f ca="1">-SUMIF(פקדונות!B:G,$A$1,פקדונות!E:E)</f>
        <v>0</v>
      </c>
      <c r="D15" s="197">
        <f ca="1">-SUMIF(פקדונות!K:P,$A$1,פקדונות!N:N)</f>
        <v>0</v>
      </c>
      <c r="G15" s="279">
        <v>8500</v>
      </c>
      <c r="H15" s="204" t="s">
        <v>68</v>
      </c>
      <c r="I15" s="204" t="str">
        <f>_xlfn.XLOOKUP(H15,Dropdown!B:B,Dropdown!C:C)</f>
        <v>תחזוקת דירה ותקשורת</v>
      </c>
      <c r="J15" s="204" t="s">
        <v>179</v>
      </c>
    </row>
    <row r="16" spans="1:49">
      <c r="A16" s="229" t="s">
        <v>23</v>
      </c>
      <c r="B16" s="196" t="s">
        <v>11</v>
      </c>
      <c r="C16" s="196">
        <f ca="1">SUMIF(פקדונות!B:G,$A$1,פקדונות!F:F)</f>
        <v>500</v>
      </c>
      <c r="D16" s="198">
        <f ca="1">SUMIF(פקדונות!K:P,$A$1,פקדונות!O:O)</f>
        <v>0</v>
      </c>
      <c r="G16" s="279">
        <v>0</v>
      </c>
      <c r="H16" s="204" t="s">
        <v>68</v>
      </c>
      <c r="I16" s="204" t="str">
        <f>_xlfn.XLOOKUP(H16,Dropdown!B:B,Dropdown!C:C)</f>
        <v>תחזוקת דירה ותקשורת</v>
      </c>
      <c r="J16" s="204" t="s">
        <v>179</v>
      </c>
      <c r="P16" s="289"/>
    </row>
    <row r="17" spans="1:49">
      <c r="A17" s="230" t="s">
        <v>224</v>
      </c>
      <c r="B17" s="150"/>
      <c r="C17" s="231"/>
      <c r="D17" s="202"/>
      <c r="G17" s="279">
        <v>0</v>
      </c>
      <c r="H17" s="204" t="s">
        <v>68</v>
      </c>
      <c r="I17" s="204" t="str">
        <f>_xlfn.XLOOKUP(H17,Dropdown!B:B,Dropdown!C:C)</f>
        <v>תחזוקת דירה ותקשורת</v>
      </c>
      <c r="J17" s="204" t="s">
        <v>179</v>
      </c>
      <c r="P17" s="290" t="s">
        <v>214</v>
      </c>
      <c r="Q17" s="222"/>
    </row>
    <row r="18" spans="1:49" ht="13.5" thickBot="1">
      <c r="A18" s="220" t="s">
        <v>245</v>
      </c>
      <c r="B18" s="256"/>
      <c r="C18" s="260">
        <f ca="1">SUM(C2:C17)</f>
        <v>25187.5</v>
      </c>
      <c r="D18" s="259">
        <f ca="1">SUM(D2:D17)</f>
        <v>53610.39</v>
      </c>
      <c r="E18" s="278"/>
      <c r="G18" s="279">
        <v>800</v>
      </c>
      <c r="H18" s="204" t="s">
        <v>73</v>
      </c>
      <c r="I18" s="204" t="str">
        <f>_xlfn.XLOOKUP(H18,Dropdown!B:B,Dropdown!C:C)</f>
        <v>תחזוקת דירה ותקשורת</v>
      </c>
      <c r="J18" s="204" t="s">
        <v>168</v>
      </c>
      <c r="P18" s="296" t="s">
        <v>426</v>
      </c>
      <c r="Q18" s="292" t="s">
        <v>431</v>
      </c>
      <c r="R18" s="292">
        <v>1</v>
      </c>
      <c r="S18" s="293">
        <v>2</v>
      </c>
      <c r="T18" s="293">
        <v>3</v>
      </c>
      <c r="U18" s="293">
        <v>4</v>
      </c>
      <c r="V18" s="293">
        <v>5</v>
      </c>
      <c r="W18" s="293">
        <v>6</v>
      </c>
      <c r="X18" s="293">
        <v>7</v>
      </c>
      <c r="Y18" s="293">
        <v>8</v>
      </c>
      <c r="Z18" s="293">
        <v>9</v>
      </c>
      <c r="AA18" s="293">
        <v>10</v>
      </c>
      <c r="AB18" s="293">
        <v>11</v>
      </c>
      <c r="AC18" s="293">
        <v>12</v>
      </c>
      <c r="AD18" s="293">
        <v>13</v>
      </c>
      <c r="AE18" s="293">
        <v>14</v>
      </c>
      <c r="AF18" s="293">
        <v>15</v>
      </c>
      <c r="AG18" s="293">
        <v>16</v>
      </c>
      <c r="AH18" s="293">
        <v>17</v>
      </c>
      <c r="AI18" s="293">
        <v>18</v>
      </c>
      <c r="AJ18" s="293">
        <v>19</v>
      </c>
      <c r="AK18" s="293">
        <v>20</v>
      </c>
      <c r="AL18" s="293">
        <v>21</v>
      </c>
      <c r="AM18" s="293">
        <v>22</v>
      </c>
      <c r="AN18" s="293">
        <v>23</v>
      </c>
      <c r="AO18" s="293">
        <v>24</v>
      </c>
      <c r="AP18" s="293">
        <v>25</v>
      </c>
      <c r="AQ18" s="293">
        <v>26</v>
      </c>
      <c r="AR18" s="293">
        <v>27</v>
      </c>
      <c r="AS18" s="293">
        <v>28</v>
      </c>
      <c r="AT18" s="293">
        <v>29</v>
      </c>
      <c r="AU18" s="293">
        <v>30</v>
      </c>
      <c r="AV18" s="293">
        <v>31</v>
      </c>
      <c r="AW18" s="293" t="s">
        <v>24</v>
      </c>
    </row>
    <row r="19" spans="1:49" ht="13.5" thickBot="1">
      <c r="A19" s="233"/>
      <c r="B19" s="234"/>
      <c r="C19" s="234"/>
      <c r="D19" s="234"/>
      <c r="E19" s="278"/>
      <c r="G19" s="279">
        <v>99</v>
      </c>
      <c r="H19" s="204" t="s">
        <v>77</v>
      </c>
      <c r="I19" s="204" t="str">
        <f>_xlfn.XLOOKUP(H19,Dropdown!B:B,Dropdown!C:C)</f>
        <v>תחזוקת דירה ותקשורת</v>
      </c>
      <c r="J19" s="204" t="s">
        <v>166</v>
      </c>
      <c r="P19" s="295" t="str" cm="1">
        <f t="array" ref="P19:P37">_xlfn._xlws.FILTER(Dropdown!$B:$B,Dropdown!$C:$C = $P$18)</f>
        <v>משכנתא</v>
      </c>
      <c r="Q19" s="297">
        <f t="shared" ref="Q19:Q37" si="5">SUMIFS($G:$G,$H:$H,$P19,$F:$F,"")</f>
        <v>8500</v>
      </c>
      <c r="R19" s="297">
        <f t="shared" ref="R19:AA28" si="6">SUMIFS($G:$G,$H:$H,$P19,$F:$F,TEXT(R$5,"00") &amp; "." &amp; TEXT($A$1,"00"))</f>
        <v>0</v>
      </c>
      <c r="S19" s="297">
        <f t="shared" si="6"/>
        <v>0</v>
      </c>
      <c r="T19" s="297">
        <f t="shared" si="6"/>
        <v>0</v>
      </c>
      <c r="U19" s="297">
        <f t="shared" si="6"/>
        <v>0</v>
      </c>
      <c r="V19" s="297">
        <f t="shared" si="6"/>
        <v>0</v>
      </c>
      <c r="W19" s="297">
        <f t="shared" si="6"/>
        <v>0</v>
      </c>
      <c r="X19" s="297">
        <f t="shared" si="6"/>
        <v>0</v>
      </c>
      <c r="Y19" s="297">
        <f t="shared" si="6"/>
        <v>0</v>
      </c>
      <c r="Z19" s="297">
        <f t="shared" si="6"/>
        <v>0</v>
      </c>
      <c r="AA19" s="297">
        <f t="shared" si="6"/>
        <v>0</v>
      </c>
      <c r="AB19" s="297">
        <f t="shared" ref="AB19:AK28" si="7">SUMIFS($G:$G,$H:$H,$P19,$F:$F,TEXT(AB$5,"00") &amp; "." &amp; TEXT($A$1,"00"))</f>
        <v>0</v>
      </c>
      <c r="AC19" s="297">
        <f t="shared" si="7"/>
        <v>0</v>
      </c>
      <c r="AD19" s="297">
        <f t="shared" si="7"/>
        <v>0</v>
      </c>
      <c r="AE19" s="297">
        <f t="shared" si="7"/>
        <v>0</v>
      </c>
      <c r="AF19" s="297">
        <f t="shared" si="7"/>
        <v>0</v>
      </c>
      <c r="AG19" s="297">
        <f t="shared" si="7"/>
        <v>0</v>
      </c>
      <c r="AH19" s="297">
        <f t="shared" si="7"/>
        <v>0</v>
      </c>
      <c r="AI19" s="297">
        <f t="shared" si="7"/>
        <v>0</v>
      </c>
      <c r="AJ19" s="297">
        <f t="shared" si="7"/>
        <v>0</v>
      </c>
      <c r="AK19" s="297">
        <f t="shared" si="7"/>
        <v>0</v>
      </c>
      <c r="AL19" s="297">
        <f t="shared" ref="AL19:AV28" si="8">SUMIFS($G:$G,$H:$H,$P19,$F:$F,TEXT(AL$5,"00") &amp; "." &amp; TEXT($A$1,"00"))</f>
        <v>0</v>
      </c>
      <c r="AM19" s="297">
        <f t="shared" si="8"/>
        <v>0</v>
      </c>
      <c r="AN19" s="297">
        <f t="shared" si="8"/>
        <v>0</v>
      </c>
      <c r="AO19" s="297">
        <f t="shared" si="8"/>
        <v>0</v>
      </c>
      <c r="AP19" s="297">
        <f t="shared" si="8"/>
        <v>0</v>
      </c>
      <c r="AQ19" s="297">
        <f t="shared" si="8"/>
        <v>0</v>
      </c>
      <c r="AR19" s="297">
        <f t="shared" si="8"/>
        <v>0</v>
      </c>
      <c r="AS19" s="297">
        <f t="shared" si="8"/>
        <v>0</v>
      </c>
      <c r="AT19" s="297">
        <f t="shared" si="8"/>
        <v>0</v>
      </c>
      <c r="AU19" s="297">
        <f t="shared" si="8"/>
        <v>0</v>
      </c>
      <c r="AV19" s="297">
        <f t="shared" si="8"/>
        <v>0</v>
      </c>
      <c r="AW19" s="294">
        <f t="shared" ref="AW19:AW37" si="9">SUM(Q19:AV19)</f>
        <v>8500</v>
      </c>
    </row>
    <row r="20" spans="1:49">
      <c r="A20" s="462" t="s">
        <v>25</v>
      </c>
      <c r="B20" s="206" t="s">
        <v>337</v>
      </c>
      <c r="C20" s="344">
        <v>14000</v>
      </c>
      <c r="D20" s="207">
        <f>SUMIFS(עסק!AA:AA,עסק!Z:Z,$A$1,עסק!AC:AC,"צ'ק")</f>
        <v>0</v>
      </c>
      <c r="E20" s="278"/>
      <c r="G20" s="279">
        <v>69.900000000000006</v>
      </c>
      <c r="H20" s="204" t="s">
        <v>77</v>
      </c>
      <c r="I20" s="204" t="str">
        <f>_xlfn.XLOOKUP(H20,Dropdown!B:B,Dropdown!C:C)</f>
        <v>תחזוקת דירה ותקשורת</v>
      </c>
      <c r="J20" s="204" t="s">
        <v>169</v>
      </c>
      <c r="P20" s="295" t="str">
        <v>שכר דירה</v>
      </c>
      <c r="Q20" s="297">
        <f t="shared" si="5"/>
        <v>0</v>
      </c>
      <c r="R20" s="297">
        <f t="shared" si="6"/>
        <v>0</v>
      </c>
      <c r="S20" s="297">
        <f t="shared" si="6"/>
        <v>0</v>
      </c>
      <c r="T20" s="297">
        <f t="shared" si="6"/>
        <v>0</v>
      </c>
      <c r="U20" s="297">
        <f t="shared" si="6"/>
        <v>0</v>
      </c>
      <c r="V20" s="297">
        <f t="shared" si="6"/>
        <v>0</v>
      </c>
      <c r="W20" s="297">
        <f t="shared" si="6"/>
        <v>0</v>
      </c>
      <c r="X20" s="297">
        <f t="shared" si="6"/>
        <v>0</v>
      </c>
      <c r="Y20" s="297">
        <f t="shared" si="6"/>
        <v>0</v>
      </c>
      <c r="Z20" s="297">
        <f t="shared" si="6"/>
        <v>0</v>
      </c>
      <c r="AA20" s="297">
        <f t="shared" si="6"/>
        <v>0</v>
      </c>
      <c r="AB20" s="297">
        <f t="shared" si="7"/>
        <v>0</v>
      </c>
      <c r="AC20" s="297">
        <f t="shared" si="7"/>
        <v>0</v>
      </c>
      <c r="AD20" s="297">
        <f t="shared" si="7"/>
        <v>0</v>
      </c>
      <c r="AE20" s="297">
        <f t="shared" si="7"/>
        <v>0</v>
      </c>
      <c r="AF20" s="297">
        <f t="shared" si="7"/>
        <v>0</v>
      </c>
      <c r="AG20" s="297">
        <f t="shared" si="7"/>
        <v>0</v>
      </c>
      <c r="AH20" s="297">
        <f t="shared" si="7"/>
        <v>0</v>
      </c>
      <c r="AI20" s="297">
        <f t="shared" si="7"/>
        <v>0</v>
      </c>
      <c r="AJ20" s="297">
        <f t="shared" si="7"/>
        <v>0</v>
      </c>
      <c r="AK20" s="297">
        <f t="shared" si="7"/>
        <v>0</v>
      </c>
      <c r="AL20" s="297">
        <f t="shared" si="8"/>
        <v>0</v>
      </c>
      <c r="AM20" s="297">
        <f t="shared" si="8"/>
        <v>0</v>
      </c>
      <c r="AN20" s="297">
        <f t="shared" si="8"/>
        <v>0</v>
      </c>
      <c r="AO20" s="297">
        <f t="shared" si="8"/>
        <v>0</v>
      </c>
      <c r="AP20" s="297">
        <f t="shared" si="8"/>
        <v>0</v>
      </c>
      <c r="AQ20" s="297">
        <f t="shared" si="8"/>
        <v>0</v>
      </c>
      <c r="AR20" s="297">
        <f t="shared" si="8"/>
        <v>0</v>
      </c>
      <c r="AS20" s="297">
        <f t="shared" si="8"/>
        <v>0</v>
      </c>
      <c r="AT20" s="297">
        <f t="shared" si="8"/>
        <v>0</v>
      </c>
      <c r="AU20" s="297">
        <f t="shared" si="8"/>
        <v>0</v>
      </c>
      <c r="AV20" s="297">
        <f t="shared" si="8"/>
        <v>0</v>
      </c>
      <c r="AW20" s="294">
        <f t="shared" si="9"/>
        <v>0</v>
      </c>
    </row>
    <row r="21" spans="1:49">
      <c r="A21" s="458"/>
      <c r="B21" s="196" t="s">
        <v>338</v>
      </c>
      <c r="C21" s="196">
        <f ca="1">SUMIFS((INDIRECT("'"&amp;$A$1&amp;"'!"&amp;"G:G")),(INDIRECT("'"&amp;$A$1&amp;"'!"&amp;"J:J")),"חש-ל",(INDIRECT("'"&amp;$A$1&amp;"'!"&amp;"H:H")),"משכורת")</f>
        <v>15000</v>
      </c>
      <c r="D21" s="198">
        <f>SUMIFS(עסק!E:E,עסק!D:D,$A$1,עסק!G:G,"העברה")+SUMIFS(עסק!E:E,עסק!D:D,$A$1,עסק!G:G,"צ'ק")</f>
        <v>0</v>
      </c>
      <c r="G21" s="279">
        <v>49.9</v>
      </c>
      <c r="H21" s="204" t="s">
        <v>77</v>
      </c>
      <c r="I21" s="204" t="str">
        <f>_xlfn.XLOOKUP(H21,Dropdown!B:B,Dropdown!C:C)</f>
        <v>תחזוקת דירה ותקשורת</v>
      </c>
      <c r="J21" s="204" t="s">
        <v>170</v>
      </c>
      <c r="P21" s="295" t="str">
        <v>ארנונה</v>
      </c>
      <c r="Q21" s="297">
        <f t="shared" si="5"/>
        <v>650</v>
      </c>
      <c r="R21" s="297">
        <f t="shared" si="6"/>
        <v>0</v>
      </c>
      <c r="S21" s="297">
        <f t="shared" si="6"/>
        <v>0</v>
      </c>
      <c r="T21" s="297">
        <f t="shared" si="6"/>
        <v>0</v>
      </c>
      <c r="U21" s="297">
        <f t="shared" si="6"/>
        <v>0</v>
      </c>
      <c r="V21" s="297">
        <f t="shared" si="6"/>
        <v>0</v>
      </c>
      <c r="W21" s="297">
        <f t="shared" si="6"/>
        <v>0</v>
      </c>
      <c r="X21" s="297">
        <f t="shared" si="6"/>
        <v>0</v>
      </c>
      <c r="Y21" s="297">
        <f t="shared" si="6"/>
        <v>0</v>
      </c>
      <c r="Z21" s="297">
        <f t="shared" si="6"/>
        <v>0</v>
      </c>
      <c r="AA21" s="297">
        <f t="shared" si="6"/>
        <v>0</v>
      </c>
      <c r="AB21" s="297">
        <f t="shared" si="7"/>
        <v>0</v>
      </c>
      <c r="AC21" s="297">
        <f t="shared" si="7"/>
        <v>0</v>
      </c>
      <c r="AD21" s="297">
        <f t="shared" si="7"/>
        <v>0</v>
      </c>
      <c r="AE21" s="297">
        <f t="shared" si="7"/>
        <v>0</v>
      </c>
      <c r="AF21" s="297">
        <f t="shared" si="7"/>
        <v>0</v>
      </c>
      <c r="AG21" s="297">
        <f t="shared" si="7"/>
        <v>0</v>
      </c>
      <c r="AH21" s="297">
        <f t="shared" si="7"/>
        <v>0</v>
      </c>
      <c r="AI21" s="297">
        <f t="shared" si="7"/>
        <v>0</v>
      </c>
      <c r="AJ21" s="297">
        <f t="shared" si="7"/>
        <v>0</v>
      </c>
      <c r="AK21" s="297">
        <f t="shared" si="7"/>
        <v>0</v>
      </c>
      <c r="AL21" s="297">
        <f t="shared" si="8"/>
        <v>0</v>
      </c>
      <c r="AM21" s="297">
        <f t="shared" si="8"/>
        <v>0</v>
      </c>
      <c r="AN21" s="297">
        <f t="shared" si="8"/>
        <v>0</v>
      </c>
      <c r="AO21" s="297">
        <f t="shared" si="8"/>
        <v>0</v>
      </c>
      <c r="AP21" s="297">
        <f t="shared" si="8"/>
        <v>0</v>
      </c>
      <c r="AQ21" s="297">
        <f t="shared" si="8"/>
        <v>0</v>
      </c>
      <c r="AR21" s="297">
        <f t="shared" si="8"/>
        <v>0</v>
      </c>
      <c r="AS21" s="297">
        <f t="shared" si="8"/>
        <v>0</v>
      </c>
      <c r="AT21" s="297">
        <f t="shared" si="8"/>
        <v>0</v>
      </c>
      <c r="AU21" s="297">
        <f t="shared" si="8"/>
        <v>0</v>
      </c>
      <c r="AV21" s="297">
        <f t="shared" si="8"/>
        <v>0</v>
      </c>
      <c r="AW21" s="294">
        <f t="shared" si="9"/>
        <v>650</v>
      </c>
    </row>
    <row r="22" spans="1:49">
      <c r="A22" s="458"/>
      <c r="B22" s="196" t="s">
        <v>26</v>
      </c>
      <c r="C22" s="196">
        <v>269</v>
      </c>
      <c r="D22" s="198"/>
      <c r="G22" s="279">
        <v>272.3</v>
      </c>
      <c r="H22" s="204" t="s">
        <v>76</v>
      </c>
      <c r="I22" s="204" t="str">
        <f>_xlfn.XLOOKUP(H22,Dropdown!B:B,Dropdown!C:C)</f>
        <v>תחזוקת דירה ותקשורת</v>
      </c>
      <c r="J22" s="204" t="s">
        <v>166</v>
      </c>
      <c r="P22" s="295" t="str">
        <v>מים</v>
      </c>
      <c r="Q22" s="297">
        <f t="shared" si="5"/>
        <v>600</v>
      </c>
      <c r="R22" s="297">
        <f t="shared" si="6"/>
        <v>0</v>
      </c>
      <c r="S22" s="297">
        <f t="shared" si="6"/>
        <v>0</v>
      </c>
      <c r="T22" s="297">
        <f t="shared" si="6"/>
        <v>0</v>
      </c>
      <c r="U22" s="297">
        <f t="shared" si="6"/>
        <v>0</v>
      </c>
      <c r="V22" s="297">
        <f t="shared" si="6"/>
        <v>0</v>
      </c>
      <c r="W22" s="297">
        <f t="shared" si="6"/>
        <v>0</v>
      </c>
      <c r="X22" s="297">
        <f t="shared" si="6"/>
        <v>0</v>
      </c>
      <c r="Y22" s="297">
        <f t="shared" si="6"/>
        <v>0</v>
      </c>
      <c r="Z22" s="297">
        <f t="shared" si="6"/>
        <v>0</v>
      </c>
      <c r="AA22" s="297">
        <f t="shared" si="6"/>
        <v>0</v>
      </c>
      <c r="AB22" s="297">
        <f t="shared" si="7"/>
        <v>0</v>
      </c>
      <c r="AC22" s="297">
        <f t="shared" si="7"/>
        <v>0</v>
      </c>
      <c r="AD22" s="297">
        <f t="shared" si="7"/>
        <v>0</v>
      </c>
      <c r="AE22" s="297">
        <f t="shared" si="7"/>
        <v>0</v>
      </c>
      <c r="AF22" s="297">
        <f t="shared" si="7"/>
        <v>0</v>
      </c>
      <c r="AG22" s="297">
        <f t="shared" si="7"/>
        <v>0</v>
      </c>
      <c r="AH22" s="297">
        <f t="shared" si="7"/>
        <v>0</v>
      </c>
      <c r="AI22" s="297">
        <f t="shared" si="7"/>
        <v>0</v>
      </c>
      <c r="AJ22" s="297">
        <f t="shared" si="7"/>
        <v>0</v>
      </c>
      <c r="AK22" s="297">
        <f t="shared" si="7"/>
        <v>0</v>
      </c>
      <c r="AL22" s="297">
        <f t="shared" si="8"/>
        <v>0</v>
      </c>
      <c r="AM22" s="297">
        <f t="shared" si="8"/>
        <v>0</v>
      </c>
      <c r="AN22" s="297">
        <f t="shared" si="8"/>
        <v>0</v>
      </c>
      <c r="AO22" s="297">
        <f t="shared" si="8"/>
        <v>0</v>
      </c>
      <c r="AP22" s="297">
        <f t="shared" si="8"/>
        <v>0</v>
      </c>
      <c r="AQ22" s="297">
        <f t="shared" si="8"/>
        <v>0</v>
      </c>
      <c r="AR22" s="297">
        <f t="shared" si="8"/>
        <v>0</v>
      </c>
      <c r="AS22" s="297">
        <f t="shared" si="8"/>
        <v>0</v>
      </c>
      <c r="AT22" s="297">
        <f t="shared" si="8"/>
        <v>0</v>
      </c>
      <c r="AU22" s="297">
        <f t="shared" si="8"/>
        <v>0</v>
      </c>
      <c r="AV22" s="297">
        <f t="shared" si="8"/>
        <v>0</v>
      </c>
      <c r="AW22" s="294">
        <f t="shared" si="9"/>
        <v>600</v>
      </c>
    </row>
    <row r="23" spans="1:49">
      <c r="A23" s="459"/>
      <c r="B23" s="235" t="s">
        <v>339</v>
      </c>
      <c r="C23" s="150">
        <f>SUMIFS(עסק!$E:$E,עסק!$D:$D,$A$1,עסק!F:F,"כן",עסק!G:G,"ביט" )+SUMIFS(עסק!$AA:$AA,עסק!$Z:$Z,$A$1,עסק!AB:AB,"כן",עסק!AC:AC,"ביט" )+SUMIFS(עסק!AA:AA,עסק!Z:Z,$A$1,עסק!AC:AC,"העברה")</f>
        <v>0</v>
      </c>
      <c r="D23" s="202"/>
      <c r="G23" s="279">
        <v>85</v>
      </c>
      <c r="H23" s="204" t="s">
        <v>127</v>
      </c>
      <c r="I23" s="204" t="str">
        <f>_xlfn.XLOOKUP(H23,[2]Dropdown!B:B,[2]Dropdown!C:C)</f>
        <v>בריאות וטיפולים</v>
      </c>
      <c r="J23" s="204" t="s">
        <v>166</v>
      </c>
      <c r="M23" s="275" t="s">
        <v>453</v>
      </c>
      <c r="P23" s="295" t="str">
        <v>חשמל</v>
      </c>
      <c r="Q23" s="297">
        <f t="shared" si="5"/>
        <v>800</v>
      </c>
      <c r="R23" s="297">
        <f t="shared" si="6"/>
        <v>0</v>
      </c>
      <c r="S23" s="297">
        <f t="shared" si="6"/>
        <v>0</v>
      </c>
      <c r="T23" s="297">
        <f t="shared" si="6"/>
        <v>0</v>
      </c>
      <c r="U23" s="297">
        <f t="shared" si="6"/>
        <v>0</v>
      </c>
      <c r="V23" s="297">
        <f t="shared" si="6"/>
        <v>0</v>
      </c>
      <c r="W23" s="297">
        <f t="shared" si="6"/>
        <v>0</v>
      </c>
      <c r="X23" s="297">
        <f t="shared" si="6"/>
        <v>0</v>
      </c>
      <c r="Y23" s="297">
        <f t="shared" si="6"/>
        <v>0</v>
      </c>
      <c r="Z23" s="297">
        <f t="shared" si="6"/>
        <v>0</v>
      </c>
      <c r="AA23" s="297">
        <f t="shared" si="6"/>
        <v>0</v>
      </c>
      <c r="AB23" s="297">
        <f t="shared" si="7"/>
        <v>0</v>
      </c>
      <c r="AC23" s="297">
        <f t="shared" si="7"/>
        <v>0</v>
      </c>
      <c r="AD23" s="297">
        <f t="shared" si="7"/>
        <v>0</v>
      </c>
      <c r="AE23" s="297">
        <f t="shared" si="7"/>
        <v>0</v>
      </c>
      <c r="AF23" s="297">
        <f t="shared" si="7"/>
        <v>0</v>
      </c>
      <c r="AG23" s="297">
        <f t="shared" si="7"/>
        <v>0</v>
      </c>
      <c r="AH23" s="297">
        <f t="shared" si="7"/>
        <v>0</v>
      </c>
      <c r="AI23" s="297">
        <f t="shared" si="7"/>
        <v>0</v>
      </c>
      <c r="AJ23" s="297">
        <f t="shared" si="7"/>
        <v>0</v>
      </c>
      <c r="AK23" s="297">
        <f t="shared" si="7"/>
        <v>0</v>
      </c>
      <c r="AL23" s="297">
        <f t="shared" si="8"/>
        <v>0</v>
      </c>
      <c r="AM23" s="297">
        <f t="shared" si="8"/>
        <v>0</v>
      </c>
      <c r="AN23" s="297">
        <f t="shared" si="8"/>
        <v>0</v>
      </c>
      <c r="AO23" s="297">
        <f t="shared" si="8"/>
        <v>0</v>
      </c>
      <c r="AP23" s="297">
        <f t="shared" si="8"/>
        <v>0</v>
      </c>
      <c r="AQ23" s="297">
        <f t="shared" si="8"/>
        <v>0</v>
      </c>
      <c r="AR23" s="297">
        <f t="shared" si="8"/>
        <v>0</v>
      </c>
      <c r="AS23" s="297">
        <f t="shared" si="8"/>
        <v>0</v>
      </c>
      <c r="AT23" s="297">
        <f t="shared" si="8"/>
        <v>0</v>
      </c>
      <c r="AU23" s="297">
        <f t="shared" si="8"/>
        <v>0</v>
      </c>
      <c r="AV23" s="297">
        <f t="shared" si="8"/>
        <v>0</v>
      </c>
      <c r="AW23" s="294">
        <f t="shared" si="9"/>
        <v>800</v>
      </c>
    </row>
    <row r="24" spans="1:49">
      <c r="A24" s="261" t="s">
        <v>24</v>
      </c>
      <c r="B24" s="262"/>
      <c r="C24" s="255">
        <f ca="1">SUM(C20:C23)</f>
        <v>29269</v>
      </c>
      <c r="D24" s="254">
        <f>SUM(D20:D23)</f>
        <v>0</v>
      </c>
      <c r="G24" s="279">
        <v>30</v>
      </c>
      <c r="H24" s="204" t="s">
        <v>127</v>
      </c>
      <c r="I24" s="204" t="str">
        <f>_xlfn.XLOOKUP(H24,[2]Dropdown!B:B,[2]Dropdown!C:C)</f>
        <v>בריאות וטיפולים</v>
      </c>
      <c r="J24" s="204" t="s">
        <v>166</v>
      </c>
      <c r="M24" s="275" t="s">
        <v>578</v>
      </c>
      <c r="P24" s="295" t="str">
        <v>גז/נפט</v>
      </c>
      <c r="Q24" s="297">
        <f t="shared" si="5"/>
        <v>0</v>
      </c>
      <c r="R24" s="297">
        <f t="shared" si="6"/>
        <v>0</v>
      </c>
      <c r="S24" s="297">
        <f t="shared" si="6"/>
        <v>0</v>
      </c>
      <c r="T24" s="297">
        <f t="shared" si="6"/>
        <v>0</v>
      </c>
      <c r="U24" s="297">
        <f t="shared" si="6"/>
        <v>0</v>
      </c>
      <c r="V24" s="297">
        <f t="shared" si="6"/>
        <v>0</v>
      </c>
      <c r="W24" s="297">
        <f t="shared" si="6"/>
        <v>0</v>
      </c>
      <c r="X24" s="297">
        <f t="shared" si="6"/>
        <v>0</v>
      </c>
      <c r="Y24" s="297">
        <f t="shared" si="6"/>
        <v>0</v>
      </c>
      <c r="Z24" s="297">
        <f t="shared" si="6"/>
        <v>0</v>
      </c>
      <c r="AA24" s="297">
        <f t="shared" si="6"/>
        <v>0</v>
      </c>
      <c r="AB24" s="297">
        <f t="shared" si="7"/>
        <v>0</v>
      </c>
      <c r="AC24" s="297">
        <f t="shared" si="7"/>
        <v>0</v>
      </c>
      <c r="AD24" s="297">
        <f t="shared" si="7"/>
        <v>0</v>
      </c>
      <c r="AE24" s="297">
        <f t="shared" si="7"/>
        <v>0</v>
      </c>
      <c r="AF24" s="297">
        <f t="shared" si="7"/>
        <v>0</v>
      </c>
      <c r="AG24" s="297">
        <f t="shared" si="7"/>
        <v>0</v>
      </c>
      <c r="AH24" s="297">
        <f t="shared" si="7"/>
        <v>0</v>
      </c>
      <c r="AI24" s="297">
        <f t="shared" si="7"/>
        <v>0</v>
      </c>
      <c r="AJ24" s="297">
        <f t="shared" si="7"/>
        <v>0</v>
      </c>
      <c r="AK24" s="297">
        <f t="shared" si="7"/>
        <v>0</v>
      </c>
      <c r="AL24" s="297">
        <f t="shared" si="8"/>
        <v>0</v>
      </c>
      <c r="AM24" s="297">
        <f t="shared" si="8"/>
        <v>0</v>
      </c>
      <c r="AN24" s="297">
        <f t="shared" si="8"/>
        <v>0</v>
      </c>
      <c r="AO24" s="297">
        <f t="shared" si="8"/>
        <v>0</v>
      </c>
      <c r="AP24" s="297">
        <f t="shared" si="8"/>
        <v>0</v>
      </c>
      <c r="AQ24" s="297">
        <f t="shared" si="8"/>
        <v>0</v>
      </c>
      <c r="AR24" s="297">
        <f t="shared" si="8"/>
        <v>0</v>
      </c>
      <c r="AS24" s="297">
        <f t="shared" si="8"/>
        <v>0</v>
      </c>
      <c r="AT24" s="297">
        <f t="shared" si="8"/>
        <v>0</v>
      </c>
      <c r="AU24" s="297">
        <f t="shared" si="8"/>
        <v>0</v>
      </c>
      <c r="AV24" s="297">
        <f t="shared" si="8"/>
        <v>0</v>
      </c>
      <c r="AW24" s="294">
        <f t="shared" si="9"/>
        <v>0</v>
      </c>
    </row>
    <row r="25" spans="1:49">
      <c r="A25" s="236" t="s">
        <v>27</v>
      </c>
      <c r="B25" s="237" t="s">
        <v>27</v>
      </c>
      <c r="C25" s="237"/>
      <c r="D25" s="238">
        <f>SUMIFS(עסק!E:E,עסק!D:D,A1,עסק!G:G,"מזומן")+SUMIFS(עסק!E:E,עסק!D:D,A1,עסק!G:G,"ביט")+SUMIFS(עסק!AA:AA,עסק!Z:Z,A1,עסק!AC:AC,"מזומן")+SUMIFS(עסק!AA:AA,עסק!Z:Z,A1,עסק!AC:AC,"ביט")</f>
        <v>0</v>
      </c>
      <c r="G25" s="279">
        <v>11</v>
      </c>
      <c r="H25" s="204" t="s">
        <v>127</v>
      </c>
      <c r="I25" s="204" t="str">
        <f>_xlfn.XLOOKUP(H25,[2]Dropdown!B:B,[2]Dropdown!C:C)</f>
        <v>בריאות וטיפולים</v>
      </c>
      <c r="J25" s="204" t="s">
        <v>166</v>
      </c>
      <c r="M25" s="275" t="s">
        <v>454</v>
      </c>
      <c r="P25" s="295" t="str">
        <v>טלפון (נייח)</v>
      </c>
      <c r="Q25" s="297">
        <f t="shared" si="5"/>
        <v>0</v>
      </c>
      <c r="R25" s="297">
        <f t="shared" si="6"/>
        <v>0</v>
      </c>
      <c r="S25" s="297">
        <f t="shared" si="6"/>
        <v>0</v>
      </c>
      <c r="T25" s="297">
        <f t="shared" si="6"/>
        <v>0</v>
      </c>
      <c r="U25" s="297">
        <f t="shared" si="6"/>
        <v>0</v>
      </c>
      <c r="V25" s="297">
        <f t="shared" si="6"/>
        <v>0</v>
      </c>
      <c r="W25" s="297">
        <f t="shared" si="6"/>
        <v>0</v>
      </c>
      <c r="X25" s="297">
        <f t="shared" si="6"/>
        <v>0</v>
      </c>
      <c r="Y25" s="297">
        <f t="shared" si="6"/>
        <v>0</v>
      </c>
      <c r="Z25" s="297">
        <f t="shared" si="6"/>
        <v>0</v>
      </c>
      <c r="AA25" s="297">
        <f t="shared" si="6"/>
        <v>0</v>
      </c>
      <c r="AB25" s="297">
        <f t="shared" si="7"/>
        <v>0</v>
      </c>
      <c r="AC25" s="297">
        <f t="shared" si="7"/>
        <v>0</v>
      </c>
      <c r="AD25" s="297">
        <f t="shared" si="7"/>
        <v>0</v>
      </c>
      <c r="AE25" s="297">
        <f t="shared" si="7"/>
        <v>0</v>
      </c>
      <c r="AF25" s="297">
        <f t="shared" si="7"/>
        <v>0</v>
      </c>
      <c r="AG25" s="297">
        <f t="shared" si="7"/>
        <v>0</v>
      </c>
      <c r="AH25" s="297">
        <f t="shared" si="7"/>
        <v>0</v>
      </c>
      <c r="AI25" s="297">
        <f t="shared" si="7"/>
        <v>0</v>
      </c>
      <c r="AJ25" s="297">
        <f t="shared" si="7"/>
        <v>0</v>
      </c>
      <c r="AK25" s="297">
        <f t="shared" si="7"/>
        <v>0</v>
      </c>
      <c r="AL25" s="297">
        <f t="shared" si="8"/>
        <v>0</v>
      </c>
      <c r="AM25" s="297">
        <f t="shared" si="8"/>
        <v>0</v>
      </c>
      <c r="AN25" s="297">
        <f t="shared" si="8"/>
        <v>0</v>
      </c>
      <c r="AO25" s="297">
        <f t="shared" si="8"/>
        <v>0</v>
      </c>
      <c r="AP25" s="297">
        <f t="shared" si="8"/>
        <v>0</v>
      </c>
      <c r="AQ25" s="297">
        <f t="shared" si="8"/>
        <v>0</v>
      </c>
      <c r="AR25" s="297">
        <f t="shared" si="8"/>
        <v>0</v>
      </c>
      <c r="AS25" s="297">
        <f t="shared" si="8"/>
        <v>0</v>
      </c>
      <c r="AT25" s="297">
        <f t="shared" si="8"/>
        <v>0</v>
      </c>
      <c r="AU25" s="297">
        <f t="shared" si="8"/>
        <v>0</v>
      </c>
      <c r="AV25" s="297">
        <f t="shared" si="8"/>
        <v>0</v>
      </c>
      <c r="AW25" s="294">
        <f t="shared" si="9"/>
        <v>0</v>
      </c>
    </row>
    <row r="26" spans="1:49" ht="13.5" thickBot="1">
      <c r="A26" s="263" t="s">
        <v>242</v>
      </c>
      <c r="B26" s="258"/>
      <c r="C26" s="258">
        <f ca="1">SUM(C24:C25)</f>
        <v>29269</v>
      </c>
      <c r="D26" s="257">
        <f>SUM(D24:D25)</f>
        <v>0</v>
      </c>
      <c r="G26" s="279">
        <v>54</v>
      </c>
      <c r="H26" s="204" t="s">
        <v>127</v>
      </c>
      <c r="I26" s="204" t="str">
        <f>_xlfn.XLOOKUP(H26,[2]Dropdown!B:B,[2]Dropdown!C:C)</f>
        <v>בריאות וטיפולים</v>
      </c>
      <c r="J26" s="204" t="s">
        <v>166</v>
      </c>
      <c r="M26" s="275" t="s">
        <v>454</v>
      </c>
      <c r="P26" s="295" t="str">
        <v>טלפונים ניידים</v>
      </c>
      <c r="Q26" s="297">
        <f t="shared" si="5"/>
        <v>272.3</v>
      </c>
      <c r="R26" s="297">
        <f t="shared" si="6"/>
        <v>0</v>
      </c>
      <c r="S26" s="297">
        <f t="shared" si="6"/>
        <v>0</v>
      </c>
      <c r="T26" s="297">
        <f t="shared" si="6"/>
        <v>0</v>
      </c>
      <c r="U26" s="297">
        <f t="shared" si="6"/>
        <v>0</v>
      </c>
      <c r="V26" s="297">
        <f t="shared" si="6"/>
        <v>0</v>
      </c>
      <c r="W26" s="297">
        <f t="shared" si="6"/>
        <v>0</v>
      </c>
      <c r="X26" s="297">
        <f t="shared" si="6"/>
        <v>0</v>
      </c>
      <c r="Y26" s="297">
        <f t="shared" si="6"/>
        <v>0</v>
      </c>
      <c r="Z26" s="297">
        <f t="shared" si="6"/>
        <v>0</v>
      </c>
      <c r="AA26" s="297">
        <f t="shared" si="6"/>
        <v>0</v>
      </c>
      <c r="AB26" s="297">
        <f t="shared" si="7"/>
        <v>0</v>
      </c>
      <c r="AC26" s="297">
        <f t="shared" si="7"/>
        <v>0</v>
      </c>
      <c r="AD26" s="297">
        <f t="shared" si="7"/>
        <v>0</v>
      </c>
      <c r="AE26" s="297">
        <f t="shared" si="7"/>
        <v>0</v>
      </c>
      <c r="AF26" s="297">
        <f t="shared" si="7"/>
        <v>0</v>
      </c>
      <c r="AG26" s="297">
        <f t="shared" si="7"/>
        <v>0</v>
      </c>
      <c r="AH26" s="297">
        <f t="shared" si="7"/>
        <v>0</v>
      </c>
      <c r="AI26" s="297">
        <f t="shared" si="7"/>
        <v>0</v>
      </c>
      <c r="AJ26" s="297">
        <f t="shared" si="7"/>
        <v>0</v>
      </c>
      <c r="AK26" s="297">
        <f t="shared" si="7"/>
        <v>0</v>
      </c>
      <c r="AL26" s="297">
        <f t="shared" si="8"/>
        <v>0</v>
      </c>
      <c r="AM26" s="297">
        <f t="shared" si="8"/>
        <v>0</v>
      </c>
      <c r="AN26" s="297">
        <f t="shared" si="8"/>
        <v>0</v>
      </c>
      <c r="AO26" s="297">
        <f t="shared" si="8"/>
        <v>0</v>
      </c>
      <c r="AP26" s="297">
        <f t="shared" si="8"/>
        <v>0</v>
      </c>
      <c r="AQ26" s="297">
        <f t="shared" si="8"/>
        <v>0</v>
      </c>
      <c r="AR26" s="297">
        <f t="shared" si="8"/>
        <v>0</v>
      </c>
      <c r="AS26" s="297">
        <f t="shared" si="8"/>
        <v>0</v>
      </c>
      <c r="AT26" s="297">
        <f t="shared" si="8"/>
        <v>0</v>
      </c>
      <c r="AU26" s="297">
        <f t="shared" si="8"/>
        <v>0</v>
      </c>
      <c r="AV26" s="297">
        <f t="shared" si="8"/>
        <v>0</v>
      </c>
      <c r="AW26" s="294">
        <f t="shared" si="9"/>
        <v>272.3</v>
      </c>
    </row>
    <row r="27" spans="1:49" ht="13.5" thickBot="1">
      <c r="A27" s="233"/>
      <c r="B27" s="234"/>
      <c r="C27" s="234"/>
      <c r="D27" s="234"/>
      <c r="G27" s="279">
        <v>250</v>
      </c>
      <c r="H27" s="204" t="s">
        <v>127</v>
      </c>
      <c r="I27" s="204" t="str">
        <f>_xlfn.XLOOKUP(H27,[2]Dropdown!B:B,[2]Dropdown!C:C)</f>
        <v>בריאות וטיפולים</v>
      </c>
      <c r="J27" s="204" t="s">
        <v>166</v>
      </c>
      <c r="M27" s="275" t="s">
        <v>454</v>
      </c>
      <c r="P27" s="295" t="str">
        <v>ביוב</v>
      </c>
      <c r="Q27" s="297">
        <f t="shared" si="5"/>
        <v>400</v>
      </c>
      <c r="R27" s="297">
        <f t="shared" si="6"/>
        <v>0</v>
      </c>
      <c r="S27" s="297">
        <f t="shared" si="6"/>
        <v>0</v>
      </c>
      <c r="T27" s="297">
        <f t="shared" si="6"/>
        <v>0</v>
      </c>
      <c r="U27" s="297">
        <f t="shared" si="6"/>
        <v>0</v>
      </c>
      <c r="V27" s="297">
        <f t="shared" si="6"/>
        <v>0</v>
      </c>
      <c r="W27" s="297">
        <f t="shared" si="6"/>
        <v>0</v>
      </c>
      <c r="X27" s="297">
        <f t="shared" si="6"/>
        <v>0</v>
      </c>
      <c r="Y27" s="297">
        <f t="shared" si="6"/>
        <v>0</v>
      </c>
      <c r="Z27" s="297">
        <f t="shared" si="6"/>
        <v>0</v>
      </c>
      <c r="AA27" s="297">
        <f t="shared" si="6"/>
        <v>0</v>
      </c>
      <c r="AB27" s="297">
        <f t="shared" si="7"/>
        <v>0</v>
      </c>
      <c r="AC27" s="297">
        <f t="shared" si="7"/>
        <v>0</v>
      </c>
      <c r="AD27" s="297">
        <f t="shared" si="7"/>
        <v>0</v>
      </c>
      <c r="AE27" s="297">
        <f t="shared" si="7"/>
        <v>0</v>
      </c>
      <c r="AF27" s="297">
        <f t="shared" si="7"/>
        <v>0</v>
      </c>
      <c r="AG27" s="297">
        <f t="shared" si="7"/>
        <v>0</v>
      </c>
      <c r="AH27" s="297">
        <f t="shared" si="7"/>
        <v>0</v>
      </c>
      <c r="AI27" s="297">
        <f t="shared" si="7"/>
        <v>0</v>
      </c>
      <c r="AJ27" s="297">
        <f t="shared" si="7"/>
        <v>0</v>
      </c>
      <c r="AK27" s="297">
        <f t="shared" si="7"/>
        <v>0</v>
      </c>
      <c r="AL27" s="297">
        <f t="shared" si="8"/>
        <v>0</v>
      </c>
      <c r="AM27" s="297">
        <f t="shared" si="8"/>
        <v>0</v>
      </c>
      <c r="AN27" s="297">
        <f t="shared" si="8"/>
        <v>0</v>
      </c>
      <c r="AO27" s="297">
        <f t="shared" si="8"/>
        <v>0</v>
      </c>
      <c r="AP27" s="297">
        <f t="shared" si="8"/>
        <v>0</v>
      </c>
      <c r="AQ27" s="297">
        <f t="shared" si="8"/>
        <v>0</v>
      </c>
      <c r="AR27" s="297">
        <f t="shared" si="8"/>
        <v>0</v>
      </c>
      <c r="AS27" s="297">
        <f t="shared" si="8"/>
        <v>0</v>
      </c>
      <c r="AT27" s="297">
        <f t="shared" si="8"/>
        <v>0</v>
      </c>
      <c r="AU27" s="297">
        <f t="shared" si="8"/>
        <v>0</v>
      </c>
      <c r="AV27" s="297">
        <f t="shared" si="8"/>
        <v>0</v>
      </c>
      <c r="AW27" s="294">
        <f t="shared" si="9"/>
        <v>400</v>
      </c>
    </row>
    <row r="28" spans="1:49">
      <c r="A28" s="467" t="s">
        <v>28</v>
      </c>
      <c r="B28" s="239" t="s">
        <v>29</v>
      </c>
      <c r="C28" s="239">
        <f ca="1">'11'!C29</f>
        <v>376177.92999999993</v>
      </c>
      <c r="D28" s="240">
        <f ca="1">'11'!D29</f>
        <v>-302747</v>
      </c>
      <c r="G28" s="279">
        <v>300</v>
      </c>
      <c r="H28" s="204" t="s">
        <v>126</v>
      </c>
      <c r="I28" s="204" t="str">
        <f>_xlfn.XLOOKUP(H28,[2]Dropdown!B:B,[2]Dropdown!C:C)</f>
        <v>בריאות וטיפולים</v>
      </c>
      <c r="J28" s="204" t="s">
        <v>166</v>
      </c>
      <c r="M28" s="275" t="s">
        <v>455</v>
      </c>
      <c r="P28" s="295" t="str">
        <v>כבלים</v>
      </c>
      <c r="Q28" s="297">
        <f t="shared" si="5"/>
        <v>218.8</v>
      </c>
      <c r="R28" s="297">
        <f t="shared" si="6"/>
        <v>0</v>
      </c>
      <c r="S28" s="297">
        <f t="shared" si="6"/>
        <v>0</v>
      </c>
      <c r="T28" s="297">
        <f t="shared" si="6"/>
        <v>0</v>
      </c>
      <c r="U28" s="297">
        <f t="shared" si="6"/>
        <v>0</v>
      </c>
      <c r="V28" s="297">
        <f t="shared" si="6"/>
        <v>0</v>
      </c>
      <c r="W28" s="297">
        <f t="shared" si="6"/>
        <v>0</v>
      </c>
      <c r="X28" s="297">
        <f t="shared" si="6"/>
        <v>0</v>
      </c>
      <c r="Y28" s="297">
        <f t="shared" si="6"/>
        <v>0</v>
      </c>
      <c r="Z28" s="297">
        <f t="shared" si="6"/>
        <v>0</v>
      </c>
      <c r="AA28" s="297">
        <f t="shared" si="6"/>
        <v>0</v>
      </c>
      <c r="AB28" s="297">
        <f t="shared" si="7"/>
        <v>0</v>
      </c>
      <c r="AC28" s="297">
        <f t="shared" si="7"/>
        <v>0</v>
      </c>
      <c r="AD28" s="297">
        <f t="shared" si="7"/>
        <v>0</v>
      </c>
      <c r="AE28" s="297">
        <f t="shared" si="7"/>
        <v>0</v>
      </c>
      <c r="AF28" s="297">
        <f t="shared" si="7"/>
        <v>0</v>
      </c>
      <c r="AG28" s="297">
        <f t="shared" si="7"/>
        <v>0</v>
      </c>
      <c r="AH28" s="297">
        <f t="shared" si="7"/>
        <v>0</v>
      </c>
      <c r="AI28" s="297">
        <f t="shared" si="7"/>
        <v>0</v>
      </c>
      <c r="AJ28" s="297">
        <f t="shared" si="7"/>
        <v>0</v>
      </c>
      <c r="AK28" s="297">
        <f t="shared" si="7"/>
        <v>0</v>
      </c>
      <c r="AL28" s="297">
        <f t="shared" si="8"/>
        <v>0</v>
      </c>
      <c r="AM28" s="297">
        <f t="shared" si="8"/>
        <v>0</v>
      </c>
      <c r="AN28" s="297">
        <f t="shared" si="8"/>
        <v>0</v>
      </c>
      <c r="AO28" s="297">
        <f t="shared" si="8"/>
        <v>0</v>
      </c>
      <c r="AP28" s="297">
        <f t="shared" si="8"/>
        <v>0</v>
      </c>
      <c r="AQ28" s="297">
        <f t="shared" si="8"/>
        <v>0</v>
      </c>
      <c r="AR28" s="297">
        <f t="shared" si="8"/>
        <v>0</v>
      </c>
      <c r="AS28" s="297">
        <f t="shared" si="8"/>
        <v>0</v>
      </c>
      <c r="AT28" s="297">
        <f t="shared" si="8"/>
        <v>0</v>
      </c>
      <c r="AU28" s="297">
        <f t="shared" si="8"/>
        <v>0</v>
      </c>
      <c r="AV28" s="297">
        <f t="shared" si="8"/>
        <v>0</v>
      </c>
      <c r="AW28" s="294">
        <f t="shared" si="9"/>
        <v>218.8</v>
      </c>
    </row>
    <row r="29" spans="1:49">
      <c r="A29" s="468"/>
      <c r="B29" s="204" t="s">
        <v>30</v>
      </c>
      <c r="C29" s="241">
        <f ca="1">C28+C24-C18</f>
        <v>380259.42999999993</v>
      </c>
      <c r="D29" s="242">
        <f ca="1">D28+D24-D18</f>
        <v>-356357.39</v>
      </c>
      <c r="G29" s="279">
        <v>200</v>
      </c>
      <c r="H29" s="204" t="s">
        <v>127</v>
      </c>
      <c r="I29" s="204" t="str">
        <f>_xlfn.XLOOKUP(H29,[2]Dropdown!B:B,[2]Dropdown!C:C)</f>
        <v>בריאות וטיפולים</v>
      </c>
      <c r="J29" s="204" t="s">
        <v>168</v>
      </c>
      <c r="P29" s="295" t="str">
        <v>אינטרנט</v>
      </c>
      <c r="Q29" s="297">
        <f t="shared" si="5"/>
        <v>95</v>
      </c>
      <c r="R29" s="297">
        <f t="shared" ref="R29:AA37" si="10">SUMIFS($G:$G,$H:$H,$P29,$F:$F,TEXT(R$5,"00") &amp; "." &amp; TEXT($A$1,"00"))</f>
        <v>0</v>
      </c>
      <c r="S29" s="297">
        <f t="shared" si="10"/>
        <v>0</v>
      </c>
      <c r="T29" s="297">
        <f t="shared" si="10"/>
        <v>0</v>
      </c>
      <c r="U29" s="297">
        <f t="shared" si="10"/>
        <v>0</v>
      </c>
      <c r="V29" s="297">
        <f t="shared" si="10"/>
        <v>0</v>
      </c>
      <c r="W29" s="297">
        <f t="shared" si="10"/>
        <v>0</v>
      </c>
      <c r="X29" s="297">
        <f t="shared" si="10"/>
        <v>0</v>
      </c>
      <c r="Y29" s="297">
        <f t="shared" si="10"/>
        <v>0</v>
      </c>
      <c r="Z29" s="297">
        <f t="shared" si="10"/>
        <v>0</v>
      </c>
      <c r="AA29" s="297">
        <f t="shared" si="10"/>
        <v>0</v>
      </c>
      <c r="AB29" s="297">
        <f t="shared" ref="AB29:AK37" si="11">SUMIFS($G:$G,$H:$H,$P29,$F:$F,TEXT(AB$5,"00") &amp; "." &amp; TEXT($A$1,"00"))</f>
        <v>0</v>
      </c>
      <c r="AC29" s="297">
        <f t="shared" si="11"/>
        <v>0</v>
      </c>
      <c r="AD29" s="297">
        <f t="shared" si="11"/>
        <v>0</v>
      </c>
      <c r="AE29" s="297">
        <f t="shared" si="11"/>
        <v>0</v>
      </c>
      <c r="AF29" s="297">
        <f t="shared" si="11"/>
        <v>0</v>
      </c>
      <c r="AG29" s="297">
        <f t="shared" si="11"/>
        <v>0</v>
      </c>
      <c r="AH29" s="297">
        <f t="shared" si="11"/>
        <v>0</v>
      </c>
      <c r="AI29" s="297">
        <f t="shared" si="11"/>
        <v>0</v>
      </c>
      <c r="AJ29" s="297">
        <f t="shared" si="11"/>
        <v>0</v>
      </c>
      <c r="AK29" s="297">
        <f t="shared" si="11"/>
        <v>0</v>
      </c>
      <c r="AL29" s="297">
        <f t="shared" ref="AL29:AV37" si="12">SUMIFS($G:$G,$H:$H,$P29,$F:$F,TEXT(AL$5,"00") &amp; "." &amp; TEXT($A$1,"00"))</f>
        <v>0</v>
      </c>
      <c r="AM29" s="297">
        <f t="shared" si="12"/>
        <v>0</v>
      </c>
      <c r="AN29" s="297">
        <f t="shared" si="12"/>
        <v>0</v>
      </c>
      <c r="AO29" s="297">
        <f t="shared" si="12"/>
        <v>0</v>
      </c>
      <c r="AP29" s="297">
        <f t="shared" si="12"/>
        <v>0</v>
      </c>
      <c r="AQ29" s="297">
        <f t="shared" si="12"/>
        <v>0</v>
      </c>
      <c r="AR29" s="297">
        <f t="shared" si="12"/>
        <v>0</v>
      </c>
      <c r="AS29" s="297">
        <f t="shared" si="12"/>
        <v>0</v>
      </c>
      <c r="AT29" s="297">
        <f t="shared" si="12"/>
        <v>0</v>
      </c>
      <c r="AU29" s="297">
        <f t="shared" si="12"/>
        <v>0</v>
      </c>
      <c r="AV29" s="297">
        <f t="shared" si="12"/>
        <v>0</v>
      </c>
      <c r="AW29" s="294">
        <f t="shared" si="9"/>
        <v>95</v>
      </c>
    </row>
    <row r="30" spans="1:49">
      <c r="A30" s="243" t="s">
        <v>31</v>
      </c>
      <c r="B30" s="204" t="s">
        <v>32</v>
      </c>
      <c r="C30" s="204">
        <f ca="1">SUM(Data!$B$2+C29)</f>
        <v>415259.42999999993</v>
      </c>
      <c r="D30" s="244">
        <f ca="1">SUM(Data!$B$3+D29)</f>
        <v>-346357.39</v>
      </c>
      <c r="G30" s="279">
        <v>280</v>
      </c>
      <c r="H30" s="204" t="s">
        <v>133</v>
      </c>
      <c r="I30" s="204" t="str">
        <f>_xlfn.XLOOKUP(H30,[2]Dropdown!B:B,[2]Dropdown!C:C)</f>
        <v>ביטוחים ופיננסים</v>
      </c>
      <c r="J30" s="204" t="s">
        <v>168</v>
      </c>
      <c r="P30" s="295" t="str">
        <v>ועד בית/ישוב</v>
      </c>
      <c r="Q30" s="297">
        <f t="shared" si="5"/>
        <v>1709.26</v>
      </c>
      <c r="R30" s="297">
        <f t="shared" si="10"/>
        <v>0</v>
      </c>
      <c r="S30" s="297">
        <f t="shared" si="10"/>
        <v>0</v>
      </c>
      <c r="T30" s="297">
        <f t="shared" si="10"/>
        <v>0</v>
      </c>
      <c r="U30" s="297">
        <f t="shared" si="10"/>
        <v>0</v>
      </c>
      <c r="V30" s="297">
        <f t="shared" si="10"/>
        <v>0</v>
      </c>
      <c r="W30" s="297">
        <f t="shared" si="10"/>
        <v>0</v>
      </c>
      <c r="X30" s="297">
        <f t="shared" si="10"/>
        <v>0</v>
      </c>
      <c r="Y30" s="297">
        <f t="shared" si="10"/>
        <v>0</v>
      </c>
      <c r="Z30" s="297">
        <f t="shared" si="10"/>
        <v>0</v>
      </c>
      <c r="AA30" s="297">
        <f t="shared" si="10"/>
        <v>0</v>
      </c>
      <c r="AB30" s="297">
        <f t="shared" si="11"/>
        <v>0</v>
      </c>
      <c r="AC30" s="297">
        <f t="shared" si="11"/>
        <v>0</v>
      </c>
      <c r="AD30" s="297">
        <f t="shared" si="11"/>
        <v>0</v>
      </c>
      <c r="AE30" s="297">
        <f t="shared" si="11"/>
        <v>0</v>
      </c>
      <c r="AF30" s="297">
        <f t="shared" si="11"/>
        <v>0</v>
      </c>
      <c r="AG30" s="297">
        <f t="shared" si="11"/>
        <v>0</v>
      </c>
      <c r="AH30" s="297">
        <f t="shared" si="11"/>
        <v>0</v>
      </c>
      <c r="AI30" s="297">
        <f t="shared" si="11"/>
        <v>0</v>
      </c>
      <c r="AJ30" s="297">
        <f t="shared" si="11"/>
        <v>0</v>
      </c>
      <c r="AK30" s="297">
        <f t="shared" si="11"/>
        <v>0</v>
      </c>
      <c r="AL30" s="297">
        <f t="shared" si="12"/>
        <v>0</v>
      </c>
      <c r="AM30" s="297">
        <f t="shared" si="12"/>
        <v>0</v>
      </c>
      <c r="AN30" s="297">
        <f t="shared" si="12"/>
        <v>0</v>
      </c>
      <c r="AO30" s="297">
        <f t="shared" si="12"/>
        <v>0</v>
      </c>
      <c r="AP30" s="297">
        <f t="shared" si="12"/>
        <v>0</v>
      </c>
      <c r="AQ30" s="297">
        <f t="shared" si="12"/>
        <v>0</v>
      </c>
      <c r="AR30" s="297">
        <f t="shared" si="12"/>
        <v>0</v>
      </c>
      <c r="AS30" s="297">
        <f t="shared" si="12"/>
        <v>0</v>
      </c>
      <c r="AT30" s="297">
        <f t="shared" si="12"/>
        <v>0</v>
      </c>
      <c r="AU30" s="297">
        <f t="shared" si="12"/>
        <v>0</v>
      </c>
      <c r="AV30" s="297">
        <f t="shared" si="12"/>
        <v>0</v>
      </c>
      <c r="AW30" s="294">
        <f t="shared" si="9"/>
        <v>1709.26</v>
      </c>
    </row>
    <row r="31" spans="1:49">
      <c r="A31" s="463" t="s">
        <v>14</v>
      </c>
      <c r="B31" s="204" t="s">
        <v>33</v>
      </c>
      <c r="C31" s="204">
        <f ca="1">SUM(C29+C16-C28+C15)</f>
        <v>4581.5</v>
      </c>
      <c r="D31" s="244">
        <f ca="1">SUM(D29+D16-D28)</f>
        <v>-53610.390000000014</v>
      </c>
      <c r="G31" s="279">
        <v>300</v>
      </c>
      <c r="H31" s="204" t="s">
        <v>133</v>
      </c>
      <c r="I31" s="204" t="str">
        <f>_xlfn.XLOOKUP(H31,[2]Dropdown!B:B,[2]Dropdown!C:C)</f>
        <v>ביטוחים ופיננסים</v>
      </c>
      <c r="J31" s="204" t="s">
        <v>166</v>
      </c>
      <c r="M31" s="275" t="s">
        <v>454</v>
      </c>
      <c r="P31" s="295" t="str">
        <v>עוזרת בית</v>
      </c>
      <c r="Q31" s="297">
        <f t="shared" si="5"/>
        <v>908.6</v>
      </c>
      <c r="R31" s="297">
        <f t="shared" si="10"/>
        <v>0</v>
      </c>
      <c r="S31" s="297">
        <f t="shared" si="10"/>
        <v>0</v>
      </c>
      <c r="T31" s="297">
        <f t="shared" si="10"/>
        <v>0</v>
      </c>
      <c r="U31" s="297">
        <f t="shared" si="10"/>
        <v>0</v>
      </c>
      <c r="V31" s="297">
        <f t="shared" si="10"/>
        <v>0</v>
      </c>
      <c r="W31" s="297">
        <f t="shared" si="10"/>
        <v>0</v>
      </c>
      <c r="X31" s="297">
        <f t="shared" si="10"/>
        <v>0</v>
      </c>
      <c r="Y31" s="297">
        <f t="shared" si="10"/>
        <v>0</v>
      </c>
      <c r="Z31" s="297">
        <f t="shared" si="10"/>
        <v>0</v>
      </c>
      <c r="AA31" s="297">
        <f t="shared" si="10"/>
        <v>0</v>
      </c>
      <c r="AB31" s="297">
        <f t="shared" si="11"/>
        <v>0</v>
      </c>
      <c r="AC31" s="297">
        <f t="shared" si="11"/>
        <v>0</v>
      </c>
      <c r="AD31" s="297">
        <f t="shared" si="11"/>
        <v>0</v>
      </c>
      <c r="AE31" s="297">
        <f t="shared" si="11"/>
        <v>0</v>
      </c>
      <c r="AF31" s="297">
        <f t="shared" si="11"/>
        <v>0</v>
      </c>
      <c r="AG31" s="297">
        <f t="shared" si="11"/>
        <v>0</v>
      </c>
      <c r="AH31" s="297">
        <f t="shared" si="11"/>
        <v>0</v>
      </c>
      <c r="AI31" s="297">
        <f t="shared" si="11"/>
        <v>0</v>
      </c>
      <c r="AJ31" s="297">
        <f t="shared" si="11"/>
        <v>0</v>
      </c>
      <c r="AK31" s="297">
        <f t="shared" si="11"/>
        <v>0</v>
      </c>
      <c r="AL31" s="297">
        <f t="shared" si="12"/>
        <v>0</v>
      </c>
      <c r="AM31" s="297">
        <f t="shared" si="12"/>
        <v>0</v>
      </c>
      <c r="AN31" s="297">
        <f t="shared" si="12"/>
        <v>0</v>
      </c>
      <c r="AO31" s="297">
        <f t="shared" si="12"/>
        <v>0</v>
      </c>
      <c r="AP31" s="297">
        <f t="shared" si="12"/>
        <v>0</v>
      </c>
      <c r="AQ31" s="297">
        <f t="shared" si="12"/>
        <v>0</v>
      </c>
      <c r="AR31" s="297">
        <f t="shared" si="12"/>
        <v>0</v>
      </c>
      <c r="AS31" s="297">
        <f t="shared" si="12"/>
        <v>0</v>
      </c>
      <c r="AT31" s="297">
        <f t="shared" si="12"/>
        <v>0</v>
      </c>
      <c r="AU31" s="297">
        <f t="shared" si="12"/>
        <v>0</v>
      </c>
      <c r="AV31" s="297">
        <f t="shared" si="12"/>
        <v>0</v>
      </c>
      <c r="AW31" s="294">
        <f t="shared" si="9"/>
        <v>908.6</v>
      </c>
    </row>
    <row r="32" spans="1:49" ht="13.5" thickBot="1">
      <c r="A32" s="464"/>
      <c r="B32" s="245" t="s">
        <v>34</v>
      </c>
      <c r="C32" s="245">
        <f ca="1">C24-C18</f>
        <v>4081.5</v>
      </c>
      <c r="D32" s="246">
        <f ca="1">D24-D18</f>
        <v>-53610.39</v>
      </c>
      <c r="G32" s="279">
        <v>80</v>
      </c>
      <c r="H32" s="204" t="s">
        <v>133</v>
      </c>
      <c r="I32" s="204" t="str">
        <f>_xlfn.XLOOKUP(H32,[2]Dropdown!B:B,[2]Dropdown!C:C)</f>
        <v>ביטוחים ופיננסים</v>
      </c>
      <c r="J32" s="204" t="s">
        <v>166</v>
      </c>
      <c r="M32" s="275" t="s">
        <v>454</v>
      </c>
      <c r="P32" s="295" t="str">
        <v>גינון</v>
      </c>
      <c r="Q32" s="297">
        <f t="shared" si="5"/>
        <v>0</v>
      </c>
      <c r="R32" s="297">
        <f t="shared" si="10"/>
        <v>0</v>
      </c>
      <c r="S32" s="297">
        <f t="shared" si="10"/>
        <v>0</v>
      </c>
      <c r="T32" s="297">
        <f t="shared" si="10"/>
        <v>0</v>
      </c>
      <c r="U32" s="297">
        <f t="shared" si="10"/>
        <v>0</v>
      </c>
      <c r="V32" s="297">
        <f t="shared" si="10"/>
        <v>0</v>
      </c>
      <c r="W32" s="297">
        <f t="shared" si="10"/>
        <v>0</v>
      </c>
      <c r="X32" s="297">
        <f t="shared" si="10"/>
        <v>0</v>
      </c>
      <c r="Y32" s="297">
        <f t="shared" si="10"/>
        <v>0</v>
      </c>
      <c r="Z32" s="297">
        <f t="shared" si="10"/>
        <v>0</v>
      </c>
      <c r="AA32" s="297">
        <f t="shared" si="10"/>
        <v>0</v>
      </c>
      <c r="AB32" s="297">
        <f t="shared" si="11"/>
        <v>0</v>
      </c>
      <c r="AC32" s="297">
        <f t="shared" si="11"/>
        <v>0</v>
      </c>
      <c r="AD32" s="297">
        <f t="shared" si="11"/>
        <v>0</v>
      </c>
      <c r="AE32" s="297">
        <f t="shared" si="11"/>
        <v>0</v>
      </c>
      <c r="AF32" s="297">
        <f t="shared" si="11"/>
        <v>0</v>
      </c>
      <c r="AG32" s="297">
        <f t="shared" si="11"/>
        <v>0</v>
      </c>
      <c r="AH32" s="297">
        <f t="shared" si="11"/>
        <v>0</v>
      </c>
      <c r="AI32" s="297">
        <f t="shared" si="11"/>
        <v>0</v>
      </c>
      <c r="AJ32" s="297">
        <f t="shared" si="11"/>
        <v>0</v>
      </c>
      <c r="AK32" s="297">
        <f t="shared" si="11"/>
        <v>0</v>
      </c>
      <c r="AL32" s="297">
        <f t="shared" si="12"/>
        <v>0</v>
      </c>
      <c r="AM32" s="297">
        <f t="shared" si="12"/>
        <v>0</v>
      </c>
      <c r="AN32" s="297">
        <f t="shared" si="12"/>
        <v>0</v>
      </c>
      <c r="AO32" s="297">
        <f t="shared" si="12"/>
        <v>0</v>
      </c>
      <c r="AP32" s="297">
        <f t="shared" si="12"/>
        <v>0</v>
      </c>
      <c r="AQ32" s="297">
        <f t="shared" si="12"/>
        <v>0</v>
      </c>
      <c r="AR32" s="297">
        <f t="shared" si="12"/>
        <v>0</v>
      </c>
      <c r="AS32" s="297">
        <f t="shared" si="12"/>
        <v>0</v>
      </c>
      <c r="AT32" s="297">
        <f t="shared" si="12"/>
        <v>0</v>
      </c>
      <c r="AU32" s="297">
        <f t="shared" si="12"/>
        <v>0</v>
      </c>
      <c r="AV32" s="297">
        <f t="shared" si="12"/>
        <v>0</v>
      </c>
      <c r="AW32" s="294">
        <f t="shared" si="9"/>
        <v>0</v>
      </c>
    </row>
    <row r="33" spans="1:49" ht="13.5" thickBot="1">
      <c r="A33" s="247"/>
      <c r="B33" s="248"/>
      <c r="C33" s="248"/>
      <c r="D33" s="248"/>
      <c r="G33" s="279">
        <v>70</v>
      </c>
      <c r="H33" s="204" t="s">
        <v>133</v>
      </c>
      <c r="I33" s="204" t="str">
        <f>_xlfn.XLOOKUP(H33,[2]Dropdown!B:B,[2]Dropdown!C:C)</f>
        <v>ביטוחים ופיננסים</v>
      </c>
      <c r="J33" s="204" t="s">
        <v>166</v>
      </c>
      <c r="M33" s="275" t="s">
        <v>454</v>
      </c>
      <c r="P33" s="295" t="str">
        <v>ביטוח דירה</v>
      </c>
      <c r="Q33" s="297">
        <f t="shared" si="5"/>
        <v>100</v>
      </c>
      <c r="R33" s="297">
        <f t="shared" si="10"/>
        <v>0</v>
      </c>
      <c r="S33" s="297">
        <f t="shared" si="10"/>
        <v>0</v>
      </c>
      <c r="T33" s="297">
        <f t="shared" si="10"/>
        <v>0</v>
      </c>
      <c r="U33" s="297">
        <f t="shared" si="10"/>
        <v>0</v>
      </c>
      <c r="V33" s="297">
        <f t="shared" si="10"/>
        <v>0</v>
      </c>
      <c r="W33" s="297">
        <f t="shared" si="10"/>
        <v>0</v>
      </c>
      <c r="X33" s="297">
        <f t="shared" si="10"/>
        <v>0</v>
      </c>
      <c r="Y33" s="297">
        <f t="shared" si="10"/>
        <v>0</v>
      </c>
      <c r="Z33" s="297">
        <f t="shared" si="10"/>
        <v>0</v>
      </c>
      <c r="AA33" s="297">
        <f t="shared" si="10"/>
        <v>0</v>
      </c>
      <c r="AB33" s="297">
        <f t="shared" si="11"/>
        <v>0</v>
      </c>
      <c r="AC33" s="297">
        <f t="shared" si="11"/>
        <v>0</v>
      </c>
      <c r="AD33" s="297">
        <f t="shared" si="11"/>
        <v>0</v>
      </c>
      <c r="AE33" s="297">
        <f t="shared" si="11"/>
        <v>0</v>
      </c>
      <c r="AF33" s="297">
        <f t="shared" si="11"/>
        <v>0</v>
      </c>
      <c r="AG33" s="297">
        <f t="shared" si="11"/>
        <v>0</v>
      </c>
      <c r="AH33" s="297">
        <f t="shared" si="11"/>
        <v>0</v>
      </c>
      <c r="AI33" s="297">
        <f t="shared" si="11"/>
        <v>0</v>
      </c>
      <c r="AJ33" s="297">
        <f t="shared" si="11"/>
        <v>0</v>
      </c>
      <c r="AK33" s="297">
        <f t="shared" si="11"/>
        <v>0</v>
      </c>
      <c r="AL33" s="297">
        <f t="shared" si="12"/>
        <v>0</v>
      </c>
      <c r="AM33" s="297">
        <f t="shared" si="12"/>
        <v>0</v>
      </c>
      <c r="AN33" s="297">
        <f t="shared" si="12"/>
        <v>0</v>
      </c>
      <c r="AO33" s="297">
        <f t="shared" si="12"/>
        <v>0</v>
      </c>
      <c r="AP33" s="297">
        <f t="shared" si="12"/>
        <v>0</v>
      </c>
      <c r="AQ33" s="297">
        <f t="shared" si="12"/>
        <v>0</v>
      </c>
      <c r="AR33" s="297">
        <f t="shared" si="12"/>
        <v>0</v>
      </c>
      <c r="AS33" s="297">
        <f t="shared" si="12"/>
        <v>0</v>
      </c>
      <c r="AT33" s="297">
        <f t="shared" si="12"/>
        <v>0</v>
      </c>
      <c r="AU33" s="297">
        <f t="shared" si="12"/>
        <v>0</v>
      </c>
      <c r="AV33" s="297">
        <f t="shared" si="12"/>
        <v>0</v>
      </c>
      <c r="AW33" s="294">
        <f t="shared" si="9"/>
        <v>100</v>
      </c>
    </row>
    <row r="34" spans="1:49">
      <c r="A34" s="266"/>
      <c r="B34" s="267"/>
      <c r="C34" s="265" t="s">
        <v>35</v>
      </c>
      <c r="D34" s="264" t="s">
        <v>14</v>
      </c>
      <c r="E34" s="277"/>
      <c r="G34" s="279">
        <v>105</v>
      </c>
      <c r="H34" s="204" t="s">
        <v>133</v>
      </c>
      <c r="I34" s="204" t="str">
        <f>_xlfn.XLOOKUP(H34,[2]Dropdown!B:B,[2]Dropdown!C:C)</f>
        <v>ביטוחים ופיננסים</v>
      </c>
      <c r="J34" s="204" t="s">
        <v>166</v>
      </c>
      <c r="M34" s="275" t="s">
        <v>454</v>
      </c>
      <c r="P34" s="295" t="str">
        <v>רכישות לבית</v>
      </c>
      <c r="Q34" s="297">
        <f t="shared" si="5"/>
        <v>0</v>
      </c>
      <c r="R34" s="297">
        <f t="shared" si="10"/>
        <v>0</v>
      </c>
      <c r="S34" s="297">
        <f t="shared" si="10"/>
        <v>0</v>
      </c>
      <c r="T34" s="297">
        <f t="shared" si="10"/>
        <v>0</v>
      </c>
      <c r="U34" s="297">
        <f t="shared" si="10"/>
        <v>0</v>
      </c>
      <c r="V34" s="297">
        <f t="shared" si="10"/>
        <v>0</v>
      </c>
      <c r="W34" s="297">
        <f t="shared" si="10"/>
        <v>0</v>
      </c>
      <c r="X34" s="297">
        <f t="shared" si="10"/>
        <v>0</v>
      </c>
      <c r="Y34" s="297">
        <f t="shared" si="10"/>
        <v>0</v>
      </c>
      <c r="Z34" s="297">
        <f t="shared" si="10"/>
        <v>0</v>
      </c>
      <c r="AA34" s="297">
        <f t="shared" si="10"/>
        <v>0</v>
      </c>
      <c r="AB34" s="297">
        <f t="shared" si="11"/>
        <v>0</v>
      </c>
      <c r="AC34" s="297">
        <f t="shared" si="11"/>
        <v>0</v>
      </c>
      <c r="AD34" s="297">
        <f t="shared" si="11"/>
        <v>0</v>
      </c>
      <c r="AE34" s="297">
        <f t="shared" si="11"/>
        <v>0</v>
      </c>
      <c r="AF34" s="297">
        <f t="shared" si="11"/>
        <v>0</v>
      </c>
      <c r="AG34" s="297">
        <f t="shared" si="11"/>
        <v>0</v>
      </c>
      <c r="AH34" s="297">
        <f t="shared" si="11"/>
        <v>0</v>
      </c>
      <c r="AI34" s="297">
        <f t="shared" si="11"/>
        <v>0</v>
      </c>
      <c r="AJ34" s="297">
        <f t="shared" si="11"/>
        <v>0</v>
      </c>
      <c r="AK34" s="297">
        <f t="shared" si="11"/>
        <v>0</v>
      </c>
      <c r="AL34" s="297">
        <f t="shared" si="12"/>
        <v>0</v>
      </c>
      <c r="AM34" s="297">
        <f t="shared" si="12"/>
        <v>0</v>
      </c>
      <c r="AN34" s="297">
        <f t="shared" si="12"/>
        <v>0</v>
      </c>
      <c r="AO34" s="297">
        <f t="shared" si="12"/>
        <v>0</v>
      </c>
      <c r="AP34" s="297">
        <f t="shared" si="12"/>
        <v>0</v>
      </c>
      <c r="AQ34" s="297">
        <f t="shared" si="12"/>
        <v>0</v>
      </c>
      <c r="AR34" s="297">
        <f t="shared" si="12"/>
        <v>0</v>
      </c>
      <c r="AS34" s="297">
        <f t="shared" si="12"/>
        <v>0</v>
      </c>
      <c r="AT34" s="297">
        <f t="shared" si="12"/>
        <v>0</v>
      </c>
      <c r="AU34" s="297">
        <f t="shared" si="12"/>
        <v>0</v>
      </c>
      <c r="AV34" s="297">
        <f t="shared" si="12"/>
        <v>0</v>
      </c>
      <c r="AW34" s="294">
        <f t="shared" si="9"/>
        <v>0</v>
      </c>
    </row>
    <row r="35" spans="1:49">
      <c r="A35" s="457" t="s">
        <v>36</v>
      </c>
      <c r="B35" s="223" t="s">
        <v>288</v>
      </c>
      <c r="C35" s="249"/>
      <c r="D35" s="205">
        <f>'11'!D35-C35</f>
        <v>58550</v>
      </c>
      <c r="E35" s="277"/>
      <c r="G35" s="279">
        <v>130</v>
      </c>
      <c r="H35" s="204" t="s">
        <v>133</v>
      </c>
      <c r="I35" s="204" t="str">
        <f>_xlfn.XLOOKUP(H35,[2]Dropdown!B:B,[2]Dropdown!C:C)</f>
        <v>ביטוחים ופיננסים</v>
      </c>
      <c r="J35" s="204" t="s">
        <v>165</v>
      </c>
      <c r="M35" s="275" t="s">
        <v>456</v>
      </c>
      <c r="P35" s="295" t="str">
        <v>אחזקת בית ותיקונים</v>
      </c>
      <c r="Q35" s="297">
        <f t="shared" si="5"/>
        <v>0</v>
      </c>
      <c r="R35" s="297">
        <f t="shared" si="10"/>
        <v>0</v>
      </c>
      <c r="S35" s="297">
        <f t="shared" si="10"/>
        <v>0</v>
      </c>
      <c r="T35" s="297">
        <f t="shared" si="10"/>
        <v>0</v>
      </c>
      <c r="U35" s="297">
        <f t="shared" si="10"/>
        <v>0</v>
      </c>
      <c r="V35" s="297">
        <f t="shared" si="10"/>
        <v>0</v>
      </c>
      <c r="W35" s="297">
        <f t="shared" si="10"/>
        <v>0</v>
      </c>
      <c r="X35" s="297">
        <f t="shared" si="10"/>
        <v>0</v>
      </c>
      <c r="Y35" s="297">
        <f t="shared" si="10"/>
        <v>0</v>
      </c>
      <c r="Z35" s="297">
        <f t="shared" si="10"/>
        <v>0</v>
      </c>
      <c r="AA35" s="297">
        <f t="shared" si="10"/>
        <v>0</v>
      </c>
      <c r="AB35" s="297">
        <f t="shared" si="11"/>
        <v>0</v>
      </c>
      <c r="AC35" s="297">
        <f t="shared" si="11"/>
        <v>0</v>
      </c>
      <c r="AD35" s="297">
        <f t="shared" si="11"/>
        <v>0</v>
      </c>
      <c r="AE35" s="297">
        <f t="shared" si="11"/>
        <v>0</v>
      </c>
      <c r="AF35" s="297">
        <f t="shared" si="11"/>
        <v>0</v>
      </c>
      <c r="AG35" s="297">
        <f t="shared" si="11"/>
        <v>0</v>
      </c>
      <c r="AH35" s="297">
        <f t="shared" si="11"/>
        <v>0</v>
      </c>
      <c r="AI35" s="297">
        <f t="shared" si="11"/>
        <v>0</v>
      </c>
      <c r="AJ35" s="297">
        <f t="shared" si="11"/>
        <v>0</v>
      </c>
      <c r="AK35" s="297">
        <f t="shared" si="11"/>
        <v>0</v>
      </c>
      <c r="AL35" s="297">
        <f t="shared" si="12"/>
        <v>0</v>
      </c>
      <c r="AM35" s="297">
        <f t="shared" si="12"/>
        <v>0</v>
      </c>
      <c r="AN35" s="297">
        <f t="shared" si="12"/>
        <v>0</v>
      </c>
      <c r="AO35" s="297">
        <f t="shared" si="12"/>
        <v>0</v>
      </c>
      <c r="AP35" s="297">
        <f t="shared" si="12"/>
        <v>0</v>
      </c>
      <c r="AQ35" s="297">
        <f t="shared" si="12"/>
        <v>0</v>
      </c>
      <c r="AR35" s="297">
        <f t="shared" si="12"/>
        <v>0</v>
      </c>
      <c r="AS35" s="297">
        <f t="shared" si="12"/>
        <v>0</v>
      </c>
      <c r="AT35" s="297">
        <f t="shared" si="12"/>
        <v>0</v>
      </c>
      <c r="AU35" s="297">
        <f t="shared" si="12"/>
        <v>0</v>
      </c>
      <c r="AV35" s="297">
        <f t="shared" si="12"/>
        <v>0</v>
      </c>
      <c r="AW35" s="294">
        <f t="shared" si="9"/>
        <v>0</v>
      </c>
    </row>
    <row r="36" spans="1:49">
      <c r="A36" s="458"/>
      <c r="B36" s="150" t="s">
        <v>227</v>
      </c>
      <c r="C36" s="150"/>
      <c r="D36" s="205">
        <f>'11'!D36-C36</f>
        <v>133764</v>
      </c>
      <c r="E36" s="277"/>
      <c r="G36" s="279">
        <f ca="1">SUMIF(פקדונות!B:G,$A$1,פקדונות!F:F)</f>
        <v>500</v>
      </c>
      <c r="H36" s="204" t="s">
        <v>176</v>
      </c>
      <c r="I36" s="204" t="str">
        <f>_xlfn.XLOOKUP(H36,Dropdown!B:B,Dropdown!C:C)</f>
        <v>ביטוחים ופיננסים</v>
      </c>
      <c r="J36" s="204" t="s">
        <v>179</v>
      </c>
      <c r="P36" s="295" t="str">
        <v>מנויים דיגטליים</v>
      </c>
      <c r="Q36" s="297">
        <f t="shared" si="5"/>
        <v>0</v>
      </c>
      <c r="R36" s="297">
        <f t="shared" si="10"/>
        <v>0</v>
      </c>
      <c r="S36" s="297">
        <f t="shared" si="10"/>
        <v>0</v>
      </c>
      <c r="T36" s="297">
        <f t="shared" si="10"/>
        <v>0</v>
      </c>
      <c r="U36" s="297">
        <f t="shared" si="10"/>
        <v>0</v>
      </c>
      <c r="V36" s="297">
        <f t="shared" si="10"/>
        <v>0</v>
      </c>
      <c r="W36" s="297">
        <f t="shared" si="10"/>
        <v>0</v>
      </c>
      <c r="X36" s="297">
        <f t="shared" si="10"/>
        <v>0</v>
      </c>
      <c r="Y36" s="297">
        <f t="shared" si="10"/>
        <v>0</v>
      </c>
      <c r="Z36" s="297">
        <f t="shared" si="10"/>
        <v>0</v>
      </c>
      <c r="AA36" s="297">
        <f t="shared" si="10"/>
        <v>0</v>
      </c>
      <c r="AB36" s="297">
        <f t="shared" si="11"/>
        <v>0</v>
      </c>
      <c r="AC36" s="297">
        <f t="shared" si="11"/>
        <v>0</v>
      </c>
      <c r="AD36" s="297">
        <f t="shared" si="11"/>
        <v>0</v>
      </c>
      <c r="AE36" s="297">
        <f t="shared" si="11"/>
        <v>0</v>
      </c>
      <c r="AF36" s="297">
        <f t="shared" si="11"/>
        <v>0</v>
      </c>
      <c r="AG36" s="297">
        <f t="shared" si="11"/>
        <v>0</v>
      </c>
      <c r="AH36" s="297">
        <f t="shared" si="11"/>
        <v>0</v>
      </c>
      <c r="AI36" s="297">
        <f t="shared" si="11"/>
        <v>0</v>
      </c>
      <c r="AJ36" s="297">
        <f t="shared" si="11"/>
        <v>0</v>
      </c>
      <c r="AK36" s="297">
        <f t="shared" si="11"/>
        <v>0</v>
      </c>
      <c r="AL36" s="297">
        <f t="shared" si="12"/>
        <v>0</v>
      </c>
      <c r="AM36" s="297">
        <f t="shared" si="12"/>
        <v>0</v>
      </c>
      <c r="AN36" s="297">
        <f t="shared" si="12"/>
        <v>0</v>
      </c>
      <c r="AO36" s="297">
        <f t="shared" si="12"/>
        <v>0</v>
      </c>
      <c r="AP36" s="297">
        <f t="shared" si="12"/>
        <v>0</v>
      </c>
      <c r="AQ36" s="297">
        <f t="shared" si="12"/>
        <v>0</v>
      </c>
      <c r="AR36" s="297">
        <f t="shared" si="12"/>
        <v>0</v>
      </c>
      <c r="AS36" s="297">
        <f t="shared" si="12"/>
        <v>0</v>
      </c>
      <c r="AT36" s="297">
        <f t="shared" si="12"/>
        <v>0</v>
      </c>
      <c r="AU36" s="297">
        <f t="shared" si="12"/>
        <v>0</v>
      </c>
      <c r="AV36" s="297">
        <f t="shared" si="12"/>
        <v>0</v>
      </c>
      <c r="AW36" s="294">
        <f t="shared" si="9"/>
        <v>0</v>
      </c>
    </row>
    <row r="37" spans="1:49">
      <c r="A37" s="458"/>
      <c r="B37" s="150"/>
      <c r="C37" s="150"/>
      <c r="D37" s="205"/>
      <c r="E37" s="277"/>
      <c r="G37" s="279">
        <f>454.3*2</f>
        <v>908.6</v>
      </c>
      <c r="H37" s="204" t="s">
        <v>83</v>
      </c>
      <c r="I37" s="204" t="str">
        <f>_xlfn.XLOOKUP(H37,Dropdown!B:B,Dropdown!C:C)</f>
        <v>תחזוקת דירה ותקשורת</v>
      </c>
      <c r="J37" s="204" t="s">
        <v>179</v>
      </c>
      <c r="L37" s="228"/>
      <c r="M37" s="228"/>
      <c r="N37" s="228"/>
      <c r="P37" s="295" t="str">
        <v>בנייה</v>
      </c>
      <c r="Q37" s="297">
        <f t="shared" si="5"/>
        <v>2000</v>
      </c>
      <c r="R37" s="297">
        <f t="shared" si="10"/>
        <v>0</v>
      </c>
      <c r="S37" s="297">
        <f t="shared" si="10"/>
        <v>0</v>
      </c>
      <c r="T37" s="297">
        <f t="shared" si="10"/>
        <v>0</v>
      </c>
      <c r="U37" s="297">
        <f t="shared" si="10"/>
        <v>0</v>
      </c>
      <c r="V37" s="297">
        <f t="shared" si="10"/>
        <v>0</v>
      </c>
      <c r="W37" s="297">
        <f t="shared" si="10"/>
        <v>0</v>
      </c>
      <c r="X37" s="297">
        <f t="shared" si="10"/>
        <v>0</v>
      </c>
      <c r="Y37" s="297">
        <f t="shared" si="10"/>
        <v>0</v>
      </c>
      <c r="Z37" s="297">
        <f t="shared" si="10"/>
        <v>0</v>
      </c>
      <c r="AA37" s="297">
        <f t="shared" si="10"/>
        <v>0</v>
      </c>
      <c r="AB37" s="297">
        <f t="shared" si="11"/>
        <v>0</v>
      </c>
      <c r="AC37" s="297">
        <f t="shared" si="11"/>
        <v>0</v>
      </c>
      <c r="AD37" s="297">
        <f t="shared" si="11"/>
        <v>0</v>
      </c>
      <c r="AE37" s="297">
        <f t="shared" si="11"/>
        <v>0</v>
      </c>
      <c r="AF37" s="297">
        <f t="shared" si="11"/>
        <v>0</v>
      </c>
      <c r="AG37" s="297">
        <f t="shared" si="11"/>
        <v>0</v>
      </c>
      <c r="AH37" s="297">
        <f t="shared" si="11"/>
        <v>0</v>
      </c>
      <c r="AI37" s="297">
        <f t="shared" si="11"/>
        <v>0</v>
      </c>
      <c r="AJ37" s="297">
        <f t="shared" si="11"/>
        <v>0</v>
      </c>
      <c r="AK37" s="297">
        <f t="shared" si="11"/>
        <v>0</v>
      </c>
      <c r="AL37" s="297">
        <f t="shared" si="12"/>
        <v>0</v>
      </c>
      <c r="AM37" s="297">
        <f t="shared" si="12"/>
        <v>0</v>
      </c>
      <c r="AN37" s="297">
        <f t="shared" si="12"/>
        <v>0</v>
      </c>
      <c r="AO37" s="297">
        <f t="shared" si="12"/>
        <v>0</v>
      </c>
      <c r="AP37" s="297">
        <f t="shared" si="12"/>
        <v>0</v>
      </c>
      <c r="AQ37" s="297">
        <f t="shared" si="12"/>
        <v>0</v>
      </c>
      <c r="AR37" s="297">
        <f t="shared" si="12"/>
        <v>0</v>
      </c>
      <c r="AS37" s="297">
        <f t="shared" si="12"/>
        <v>0</v>
      </c>
      <c r="AT37" s="297">
        <f t="shared" si="12"/>
        <v>0</v>
      </c>
      <c r="AU37" s="297">
        <f t="shared" si="12"/>
        <v>0</v>
      </c>
      <c r="AV37" s="297">
        <f t="shared" si="12"/>
        <v>0</v>
      </c>
      <c r="AW37" s="294">
        <f t="shared" si="9"/>
        <v>2000</v>
      </c>
    </row>
    <row r="38" spans="1:49">
      <c r="A38" s="459"/>
      <c r="B38" s="150"/>
      <c r="C38" s="150"/>
      <c r="D38" s="202"/>
      <c r="E38" s="277"/>
      <c r="G38" s="279">
        <v>15000</v>
      </c>
      <c r="H38" s="204" t="s">
        <v>335</v>
      </c>
      <c r="I38" s="204" t="str">
        <f>_xlfn.XLOOKUP(H38,Dropdown!B:B,Dropdown!C:C)</f>
        <v>עסק</v>
      </c>
      <c r="J38" s="204" t="s">
        <v>352</v>
      </c>
      <c r="P38" s="287"/>
    </row>
    <row r="39" spans="1:49" ht="13.5" thickBot="1">
      <c r="A39" s="263"/>
      <c r="B39" s="258"/>
      <c r="C39" s="258">
        <f>SUM(C35:C38)</f>
        <v>0</v>
      </c>
      <c r="D39" s="257">
        <f>SUM(D35:D38)</f>
        <v>192314</v>
      </c>
      <c r="E39" s="277"/>
      <c r="G39" s="279">
        <v>3021.77</v>
      </c>
      <c r="H39" s="204" t="s">
        <v>328</v>
      </c>
      <c r="I39" s="204" t="str">
        <f>_xlfn.XLOOKUP(H39,Dropdown!B:B,Dropdown!C:C)</f>
        <v>עסק</v>
      </c>
      <c r="J39" s="204" t="s">
        <v>352</v>
      </c>
    </row>
    <row r="40" spans="1:49" ht="13.5" thickBot="1">
      <c r="D40" s="136"/>
      <c r="G40" s="279">
        <v>0</v>
      </c>
      <c r="H40" s="204" t="s">
        <v>326</v>
      </c>
      <c r="I40" s="204" t="str">
        <f>_xlfn.XLOOKUP(H40,Dropdown!B:B,Dropdown!C:C)</f>
        <v>עסק</v>
      </c>
      <c r="J40" s="204" t="s">
        <v>400</v>
      </c>
    </row>
    <row r="41" spans="1:49">
      <c r="A41" s="204" t="s">
        <v>175</v>
      </c>
      <c r="B41" s="268"/>
      <c r="C41" s="221" t="s">
        <v>449</v>
      </c>
      <c r="D41" s="212"/>
      <c r="G41" s="279">
        <v>10000</v>
      </c>
      <c r="H41" s="204" t="s">
        <v>327</v>
      </c>
      <c r="I41" s="204" t="str">
        <f>_xlfn.XLOOKUP(H41,Dropdown!B:B,Dropdown!C:C)</f>
        <v>עסק</v>
      </c>
      <c r="J41" s="204" t="s">
        <v>400</v>
      </c>
    </row>
    <row r="42" spans="1:49">
      <c r="A42" s="204" t="s">
        <v>314</v>
      </c>
      <c r="B42" s="268">
        <f ca="1">SUMIF((INDIRECT("'"&amp;$A$1&amp;"'!"&amp;"N:N")),"&lt;&gt;",(INDIRECT("'"&amp;$A$1&amp;"'!"&amp;"G:G")))</f>
        <v>0</v>
      </c>
      <c r="C42" s="269" t="s">
        <v>450</v>
      </c>
      <c r="D42" s="205">
        <f ca="1">49000-SUM(C2:C3)</f>
        <v>40628.9</v>
      </c>
      <c r="G42" s="279">
        <v>5414</v>
      </c>
      <c r="H42" s="204" t="s">
        <v>329</v>
      </c>
      <c r="I42" s="204" t="str">
        <f>_xlfn.XLOOKUP(H42,Dropdown!B:B,Dropdown!C:C)</f>
        <v>עסק</v>
      </c>
      <c r="J42" s="204" t="s">
        <v>400</v>
      </c>
    </row>
    <row r="43" spans="1:49">
      <c r="A43" s="204" t="s">
        <v>12</v>
      </c>
      <c r="B43" s="268">
        <f ca="1">SUMIF((INDIRECT("'"&amp;$A$1&amp;"'!"&amp;"K:K")),"&lt;&gt;",(INDIRECT("'"&amp;$A$1&amp;"'!"&amp;"G:G")))</f>
        <v>2000</v>
      </c>
      <c r="C43" s="269" t="s">
        <v>451</v>
      </c>
      <c r="D43" s="205">
        <f ca="1">50000-C4</f>
        <v>46676.1</v>
      </c>
      <c r="G43" s="279">
        <v>600</v>
      </c>
      <c r="H43" s="204" t="s">
        <v>330</v>
      </c>
      <c r="I43" s="204" t="str">
        <f>_xlfn.XLOOKUP(H43,Dropdown!B:B,Dropdown!C:C)</f>
        <v>עסק</v>
      </c>
      <c r="J43" s="204" t="s">
        <v>352</v>
      </c>
    </row>
    <row r="44" spans="1:49">
      <c r="A44" s="204" t="s">
        <v>135</v>
      </c>
      <c r="B44" s="268">
        <f ca="1">SUMIF((INDIRECT("'"&amp;$A$1&amp;"'!"&amp;"H:H")),A44,(INDIRECT("'"&amp;$A$1&amp;"'!"&amp;"G:G")))</f>
        <v>0</v>
      </c>
      <c r="C44" s="270" t="s">
        <v>452</v>
      </c>
      <c r="D44" s="202">
        <f ca="1">50000-D4</f>
        <v>17931.38</v>
      </c>
      <c r="G44" s="279">
        <v>1710</v>
      </c>
      <c r="H44" s="204" t="s">
        <v>236</v>
      </c>
      <c r="I44" s="204" t="str">
        <f>_xlfn.XLOOKUP(H44,Dropdown!B:B,Dropdown!C:C)</f>
        <v>עסק</v>
      </c>
      <c r="J44" s="204" t="s">
        <v>352</v>
      </c>
    </row>
    <row r="45" spans="1:49">
      <c r="A45" s="204" t="s">
        <v>11</v>
      </c>
      <c r="B45" s="268">
        <f ca="1">SUMIF((INDIRECT("'"&amp;$A$1&amp;"'!"&amp;"H:H")),"תוכניות חסכון",(INDIRECT("'"&amp;$A$1&amp;"'!"&amp;"G:G")))+C15</f>
        <v>500</v>
      </c>
      <c r="C45" s="271"/>
      <c r="D45" s="202"/>
      <c r="G45" s="279">
        <v>43.9</v>
      </c>
      <c r="H45" s="204" t="s">
        <v>406</v>
      </c>
      <c r="I45" s="204" t="str">
        <f>_xlfn.XLOOKUP(H45,Dropdown!B:B,Dropdown!C:C)</f>
        <v>מזון וקניות</v>
      </c>
      <c r="J45" s="204" t="s">
        <v>168</v>
      </c>
      <c r="M45" s="275" t="s">
        <v>446</v>
      </c>
    </row>
    <row r="46" spans="1:49" ht="13.5" thickBot="1">
      <c r="B46" s="268"/>
      <c r="C46" s="272"/>
      <c r="D46" s="257">
        <f ca="1">SUM(D42:D45)</f>
        <v>105236.38</v>
      </c>
      <c r="G46" s="279">
        <v>66.62</v>
      </c>
      <c r="H46" s="204" t="s">
        <v>406</v>
      </c>
      <c r="I46" s="204" t="str">
        <f>_xlfn.XLOOKUP(H46,Dropdown!B:B,Dropdown!C:C)</f>
        <v>מזון וקניות</v>
      </c>
      <c r="J46" s="204" t="s">
        <v>399</v>
      </c>
      <c r="M46" s="275" t="s">
        <v>441</v>
      </c>
    </row>
    <row r="47" spans="1:49">
      <c r="D47" s="136"/>
      <c r="G47" s="279">
        <v>600</v>
      </c>
      <c r="H47" s="204" t="s">
        <v>111</v>
      </c>
      <c r="I47" s="204" t="str">
        <f>_xlfn.XLOOKUP(H47,Dropdown!B:B,Dropdown!C:C)</f>
        <v>ילדים וחינוך</v>
      </c>
      <c r="J47" s="204" t="s">
        <v>166</v>
      </c>
      <c r="M47" s="275" t="s">
        <v>409</v>
      </c>
    </row>
    <row r="48" spans="1:49">
      <c r="D48" s="136"/>
      <c r="G48" s="279">
        <v>700</v>
      </c>
      <c r="H48" s="204" t="s">
        <v>111</v>
      </c>
      <c r="I48" s="204" t="str">
        <f>_xlfn.XLOOKUP(H48,Dropdown!B:B,Dropdown!C:C)</f>
        <v>ילדים וחינוך</v>
      </c>
      <c r="J48" s="204" t="s">
        <v>166</v>
      </c>
      <c r="M48" s="275" t="s">
        <v>383</v>
      </c>
    </row>
    <row r="49" spans="1:14">
      <c r="D49" s="136"/>
      <c r="G49" s="279">
        <v>450</v>
      </c>
      <c r="H49" s="204" t="s">
        <v>111</v>
      </c>
      <c r="I49" s="204" t="str">
        <f>_xlfn.XLOOKUP(H49,Dropdown!B:B,Dropdown!C:C)</f>
        <v>ילדים וחינוך</v>
      </c>
      <c r="J49" s="204" t="s">
        <v>166</v>
      </c>
      <c r="M49" s="275" t="s">
        <v>382</v>
      </c>
    </row>
    <row r="50" spans="1:14">
      <c r="D50" s="136"/>
      <c r="G50" s="279">
        <f>390+45</f>
        <v>435</v>
      </c>
      <c r="H50" s="204" t="s">
        <v>111</v>
      </c>
      <c r="I50" s="204" t="str">
        <f>_xlfn.XLOOKUP(H50,Dropdown!B:B,Dropdown!C:C)</f>
        <v>ילדים וחינוך</v>
      </c>
      <c r="J50" s="204" t="s">
        <v>165</v>
      </c>
      <c r="M50" s="275" t="s">
        <v>410</v>
      </c>
    </row>
    <row r="51" spans="1:14" ht="13.5" thickBot="1">
      <c r="D51" s="136"/>
      <c r="G51" s="279">
        <v>280</v>
      </c>
      <c r="H51" s="204" t="s">
        <v>111</v>
      </c>
      <c r="I51" s="204" t="str">
        <f>_xlfn.XLOOKUP(H51,Dropdown!B:B,Dropdown!C:C)</f>
        <v>ילדים וחינוך</v>
      </c>
      <c r="J51" s="204" t="s">
        <v>165</v>
      </c>
      <c r="M51" s="275" t="s">
        <v>411</v>
      </c>
    </row>
    <row r="52" spans="1:14">
      <c r="D52" s="136"/>
      <c r="F52" s="219" t="s">
        <v>404</v>
      </c>
      <c r="G52" s="225"/>
      <c r="H52" s="225"/>
      <c r="I52" s="225"/>
      <c r="J52" s="225"/>
      <c r="K52" s="225"/>
      <c r="L52" s="225"/>
      <c r="M52" s="274"/>
      <c r="N52" s="274"/>
    </row>
    <row r="53" spans="1:14">
      <c r="D53" s="136"/>
      <c r="G53" s="204">
        <v>2000</v>
      </c>
      <c r="H53" s="204" t="s">
        <v>374</v>
      </c>
      <c r="I53" s="204" t="str">
        <f>_xlfn.XLOOKUP(H53,[2]Dropdown!B:B,[2]Dropdown!C:C)</f>
        <v>תחזוקת דירה ותקשורת</v>
      </c>
      <c r="J53" s="204" t="s">
        <v>168</v>
      </c>
      <c r="K53" s="227">
        <v>0</v>
      </c>
      <c r="L53" s="253" t="s">
        <v>610</v>
      </c>
      <c r="M53" s="275" t="s">
        <v>609</v>
      </c>
    </row>
    <row r="54" spans="1:14" ht="13.5" thickBot="1">
      <c r="G54" s="204">
        <v>1200</v>
      </c>
      <c r="H54" s="204" t="s">
        <v>330</v>
      </c>
      <c r="I54" s="204" t="str">
        <f>_xlfn.XLOOKUP(H54,Dropdown!B:B,Dropdown!C:C)</f>
        <v>עסק</v>
      </c>
      <c r="J54" s="204" t="s">
        <v>352</v>
      </c>
      <c r="M54" s="275" t="s">
        <v>447</v>
      </c>
    </row>
    <row r="55" spans="1:14">
      <c r="F55" s="219" t="s">
        <v>287</v>
      </c>
      <c r="G55" s="225"/>
      <c r="H55" s="225"/>
      <c r="I55" s="225"/>
      <c r="J55" s="225"/>
      <c r="K55" s="225"/>
      <c r="L55" s="225"/>
      <c r="M55" s="274"/>
      <c r="N55" s="274"/>
    </row>
    <row r="56" spans="1:14">
      <c r="I56" s="204">
        <f>_xlfn.XLOOKUP(H56,Dropdown!B:B,Dropdown!C:C)</f>
        <v>0</v>
      </c>
    </row>
    <row r="57" spans="1:14">
      <c r="I57" s="204">
        <f>_xlfn.XLOOKUP(H57,Dropdown!B:B,Dropdown!C:C)</f>
        <v>0</v>
      </c>
    </row>
    <row r="58" spans="1:14">
      <c r="I58" s="204">
        <f>_xlfn.XLOOKUP(H58,Dropdown!B:B,Dropdown!C:C)</f>
        <v>0</v>
      </c>
    </row>
    <row r="59" spans="1:14">
      <c r="I59" s="204">
        <f>_xlfn.XLOOKUP(H59,Dropdown!B:B,Dropdown!C:C)</f>
        <v>0</v>
      </c>
    </row>
    <row r="60" spans="1:14">
      <c r="G60" s="250"/>
      <c r="I60" s="204">
        <f>_xlfn.XLOOKUP(H60,Dropdown!B:B,Dropdown!C:C)</f>
        <v>0</v>
      </c>
    </row>
    <row r="61" spans="1:14">
      <c r="G61" s="250"/>
      <c r="I61" s="204">
        <f>_xlfn.XLOOKUP(H61,Dropdown!B:B,Dropdown!C:C)</f>
        <v>0</v>
      </c>
    </row>
    <row r="62" spans="1:14">
      <c r="G62" s="250">
        <v>1000</v>
      </c>
      <c r="H62" s="204" t="s">
        <v>91</v>
      </c>
      <c r="I62" s="204" t="str">
        <f>_xlfn.XLOOKUP(H62,Dropdown!B:B,Dropdown!C:C)</f>
        <v>מזון וקניות</v>
      </c>
      <c r="J62" s="204" t="s">
        <v>165</v>
      </c>
    </row>
    <row r="63" spans="1:14">
      <c r="E63" s="204"/>
      <c r="G63" s="250"/>
      <c r="I63" s="204">
        <f>_xlfn.XLOOKUP(H63,Dropdown!B:B,Dropdown!C:C)</f>
        <v>0</v>
      </c>
    </row>
    <row r="64" spans="1:14">
      <c r="A64" s="204" t="s">
        <v>214</v>
      </c>
      <c r="B64" s="204" t="s">
        <v>204</v>
      </c>
      <c r="C64" s="204" t="s">
        <v>181</v>
      </c>
      <c r="D64" s="204" t="s">
        <v>182</v>
      </c>
      <c r="E64" s="204" t="s">
        <v>238</v>
      </c>
      <c r="G64" s="250"/>
      <c r="I64" s="204">
        <f>_xlfn.XLOOKUP(H64,Dropdown!B:B,Dropdown!C:C)</f>
        <v>0</v>
      </c>
    </row>
    <row r="65" spans="1:10">
      <c r="A65" s="204" t="s">
        <v>426</v>
      </c>
      <c r="B65" s="204">
        <f>SUMIF(I:I,A65,G:G)-SUMIF(H:H,"הוצאות על הבנייה",G:G)</f>
        <v>16253.96</v>
      </c>
      <c r="C65" s="204">
        <f>'ממוצע ורצוי'!$N$22</f>
        <v>12822</v>
      </c>
      <c r="D65" s="204">
        <f>IF(C65-B65&lt;0,0,C65-B65)</f>
        <v>0</v>
      </c>
      <c r="E65" s="204">
        <f>IF(C65-B65&lt;0,(C65-B65)*-1,0)</f>
        <v>3431.9599999999991</v>
      </c>
      <c r="G65" s="250"/>
      <c r="I65" s="204">
        <f>_xlfn.XLOOKUP(H65,Dropdown!B:B,Dropdown!C:C)</f>
        <v>0</v>
      </c>
    </row>
    <row r="66" spans="1:10">
      <c r="A66" s="227" t="s">
        <v>425</v>
      </c>
      <c r="B66" s="251">
        <f t="shared" ref="B66:B71" si="13">SUMIF(I:I,A66,G:G)</f>
        <v>4110.5200000000004</v>
      </c>
      <c r="C66" s="204">
        <f>'ממוצע ורצוי'!$N$38</f>
        <v>9000</v>
      </c>
      <c r="D66" s="204">
        <f t="shared" ref="D66:D71" si="14">IF(C66-B66&lt;0,0,C66-B66)</f>
        <v>4889.4799999999996</v>
      </c>
      <c r="E66" s="204">
        <f t="shared" ref="E66:E71" si="15">IF(C66-B66&lt;0,(C66-B66)*-1,0)</f>
        <v>0</v>
      </c>
      <c r="G66" s="250"/>
      <c r="I66" s="204">
        <f>_xlfn.XLOOKUP(H66,Dropdown!B:B,Dropdown!C:C)</f>
        <v>0</v>
      </c>
    </row>
    <row r="67" spans="1:10">
      <c r="A67" s="227" t="s">
        <v>424</v>
      </c>
      <c r="B67" s="136">
        <f t="shared" si="13"/>
        <v>0</v>
      </c>
      <c r="C67" s="204">
        <f>'ממוצע ורצוי'!$N$54</f>
        <v>3240</v>
      </c>
      <c r="D67" s="204">
        <f t="shared" si="14"/>
        <v>3240</v>
      </c>
      <c r="E67" s="204">
        <f t="shared" si="15"/>
        <v>0</v>
      </c>
      <c r="G67" s="250"/>
      <c r="I67" s="204">
        <f>_xlfn.XLOOKUP(H67,Dropdown!B:B,Dropdown!C:C)</f>
        <v>0</v>
      </c>
    </row>
    <row r="68" spans="1:10">
      <c r="A68" s="227" t="s">
        <v>423</v>
      </c>
      <c r="B68" s="136">
        <f t="shared" si="13"/>
        <v>2670</v>
      </c>
      <c r="C68" s="204">
        <f>'ממוצע ורצוי'!$N$71</f>
        <v>4900</v>
      </c>
      <c r="D68" s="204">
        <f t="shared" si="14"/>
        <v>2230</v>
      </c>
      <c r="E68" s="204">
        <f t="shared" si="15"/>
        <v>0</v>
      </c>
      <c r="G68" s="250"/>
      <c r="I68" s="204">
        <f>_xlfn.XLOOKUP(H68,Dropdown!B:B,Dropdown!C:C)</f>
        <v>0</v>
      </c>
    </row>
    <row r="69" spans="1:10">
      <c r="A69" s="252" t="s">
        <v>422</v>
      </c>
      <c r="B69" s="136">
        <f t="shared" si="13"/>
        <v>0</v>
      </c>
      <c r="C69" s="204">
        <f>'ממוצע ורצוי'!$N$88</f>
        <v>2600</v>
      </c>
      <c r="D69" s="204">
        <f t="shared" si="14"/>
        <v>2600</v>
      </c>
      <c r="E69" s="204">
        <f t="shared" si="15"/>
        <v>0</v>
      </c>
      <c r="G69" s="250"/>
      <c r="I69" s="204">
        <f>_xlfn.XLOOKUP(H69,Dropdown!B:B,Dropdown!C:C)</f>
        <v>0</v>
      </c>
    </row>
    <row r="70" spans="1:10">
      <c r="A70" s="227" t="s">
        <v>421</v>
      </c>
      <c r="B70" s="136">
        <f t="shared" si="13"/>
        <v>1402</v>
      </c>
      <c r="C70" s="204">
        <f>'ממוצע ורצוי'!$N$98</f>
        <v>980</v>
      </c>
      <c r="D70" s="204">
        <f t="shared" si="14"/>
        <v>0</v>
      </c>
      <c r="E70" s="204">
        <f t="shared" si="15"/>
        <v>422</v>
      </c>
      <c r="G70" s="250"/>
      <c r="I70" s="204">
        <f>_xlfn.XLOOKUP(H70,Dropdown!B:B,Dropdown!C:C)</f>
        <v>0</v>
      </c>
    </row>
    <row r="71" spans="1:10">
      <c r="A71" s="227" t="s">
        <v>420</v>
      </c>
      <c r="B71" s="136">
        <f t="shared" ca="1" si="13"/>
        <v>1475</v>
      </c>
      <c r="C71" s="204">
        <f>'ממוצע ורצוי'!$N$111</f>
        <v>1330</v>
      </c>
      <c r="D71" s="204">
        <f t="shared" ca="1" si="14"/>
        <v>0</v>
      </c>
      <c r="E71" s="204">
        <f t="shared" ca="1" si="15"/>
        <v>145</v>
      </c>
      <c r="G71" s="250"/>
      <c r="I71" s="204">
        <f>_xlfn.XLOOKUP(H71,Dropdown!B:B,Dropdown!C:C)</f>
        <v>0</v>
      </c>
    </row>
    <row r="72" spans="1:10">
      <c r="A72" s="227"/>
      <c r="B72" s="136"/>
      <c r="E72" s="204"/>
      <c r="G72" s="250"/>
      <c r="I72" s="204">
        <f>_xlfn.XLOOKUP(H72,Dropdown!B:B,Dropdown!C:C)</f>
        <v>0</v>
      </c>
    </row>
    <row r="73" spans="1:10">
      <c r="A73" s="227"/>
      <c r="B73" s="136"/>
      <c r="G73" s="250"/>
      <c r="I73" s="204">
        <f>_xlfn.XLOOKUP(H73,Dropdown!B:B,Dropdown!C:C)</f>
        <v>0</v>
      </c>
    </row>
    <row r="74" spans="1:10">
      <c r="G74" s="250">
        <v>1000</v>
      </c>
      <c r="H74" s="204" t="s">
        <v>91</v>
      </c>
      <c r="I74" s="204" t="str">
        <f>_xlfn.XLOOKUP(H74,Dropdown!B:B,Dropdown!C:C)</f>
        <v>מזון וקניות</v>
      </c>
      <c r="J74" s="204" t="s">
        <v>166</v>
      </c>
    </row>
    <row r="75" spans="1:10">
      <c r="G75" s="250"/>
      <c r="I75" s="204">
        <f>_xlfn.XLOOKUP(H75,Dropdown!B:B,Dropdown!C:C)</f>
        <v>0</v>
      </c>
    </row>
    <row r="76" spans="1:10">
      <c r="G76" s="250"/>
      <c r="I76" s="204">
        <f>_xlfn.XLOOKUP(H76,Dropdown!B:B,Dropdown!C:C)</f>
        <v>0</v>
      </c>
    </row>
    <row r="77" spans="1:10">
      <c r="G77" s="250"/>
      <c r="I77" s="204">
        <f>_xlfn.XLOOKUP(H77,Dropdown!B:B,Dropdown!C:C)</f>
        <v>0</v>
      </c>
    </row>
    <row r="78" spans="1:10">
      <c r="G78" s="250"/>
      <c r="I78" s="204">
        <f>_xlfn.XLOOKUP(H78,Dropdown!B:B,Dropdown!C:C)</f>
        <v>0</v>
      </c>
    </row>
    <row r="79" spans="1:10">
      <c r="G79" s="250"/>
      <c r="I79" s="204">
        <f>_xlfn.XLOOKUP(H79,Dropdown!B:B,Dropdown!C:C)</f>
        <v>0</v>
      </c>
    </row>
    <row r="80" spans="1:10">
      <c r="G80" s="250"/>
      <c r="I80" s="204">
        <f>_xlfn.XLOOKUP(H80,Dropdown!B:B,Dropdown!C:C)</f>
        <v>0</v>
      </c>
    </row>
    <row r="81" spans="7:10">
      <c r="G81" s="250"/>
      <c r="I81" s="204">
        <f>_xlfn.XLOOKUP(H81,Dropdown!B:B,Dropdown!C:C)</f>
        <v>0</v>
      </c>
    </row>
    <row r="82" spans="7:10">
      <c r="G82" s="250"/>
      <c r="I82" s="204">
        <f>_xlfn.XLOOKUP(H82,Dropdown!B:B,Dropdown!C:C)</f>
        <v>0</v>
      </c>
    </row>
    <row r="83" spans="7:10">
      <c r="G83" s="250"/>
      <c r="I83" s="204">
        <f>_xlfn.XLOOKUP(H83,Dropdown!B:B,Dropdown!C:C)</f>
        <v>0</v>
      </c>
    </row>
    <row r="84" spans="7:10">
      <c r="G84" s="250"/>
      <c r="I84" s="204">
        <f>_xlfn.XLOOKUP(H84,Dropdown!B:B,Dropdown!C:C)</f>
        <v>0</v>
      </c>
    </row>
    <row r="85" spans="7:10">
      <c r="G85" s="250"/>
      <c r="I85" s="204">
        <f>_xlfn.XLOOKUP(H85,Dropdown!B:B,Dropdown!C:C)</f>
        <v>0</v>
      </c>
    </row>
    <row r="86" spans="7:10">
      <c r="G86" s="250">
        <v>1000</v>
      </c>
      <c r="H86" s="204" t="s">
        <v>91</v>
      </c>
      <c r="I86" s="204" t="str">
        <f>_xlfn.XLOOKUP(H86,Dropdown!B:B,Dropdown!C:C)</f>
        <v>מזון וקניות</v>
      </c>
      <c r="J86" s="204" t="s">
        <v>166</v>
      </c>
    </row>
    <row r="87" spans="7:10">
      <c r="G87" s="250"/>
      <c r="I87" s="204">
        <f>_xlfn.XLOOKUP(H87,Dropdown!B:B,Dropdown!C:C)</f>
        <v>0</v>
      </c>
    </row>
    <row r="88" spans="7:10">
      <c r="G88" s="250"/>
      <c r="I88" s="204">
        <f>_xlfn.XLOOKUP(H88,Dropdown!B:B,Dropdown!C:C)</f>
        <v>0</v>
      </c>
    </row>
    <row r="89" spans="7:10">
      <c r="G89" s="250"/>
      <c r="I89" s="204">
        <f>_xlfn.XLOOKUP(H89,Dropdown!B:B,Dropdown!C:C)</f>
        <v>0</v>
      </c>
    </row>
    <row r="90" spans="7:10">
      <c r="G90" s="250"/>
      <c r="I90" s="204">
        <f>_xlfn.XLOOKUP(H90,Dropdown!B:B,Dropdown!C:C)</f>
        <v>0</v>
      </c>
    </row>
    <row r="91" spans="7:10">
      <c r="G91" s="250"/>
      <c r="I91" s="204">
        <f>_xlfn.XLOOKUP(H91,Dropdown!B:B,Dropdown!C:C)</f>
        <v>0</v>
      </c>
    </row>
    <row r="92" spans="7:10">
      <c r="G92" s="250"/>
      <c r="I92" s="204">
        <f>_xlfn.XLOOKUP(H92,Dropdown!B:B,Dropdown!C:C)</f>
        <v>0</v>
      </c>
    </row>
    <row r="93" spans="7:10">
      <c r="G93" s="250"/>
      <c r="I93" s="204">
        <f>_xlfn.XLOOKUP(H93,Dropdown!B:B,Dropdown!C:C)</f>
        <v>0</v>
      </c>
    </row>
    <row r="94" spans="7:10">
      <c r="G94" s="250"/>
      <c r="I94" s="204">
        <f>_xlfn.XLOOKUP(H94,Dropdown!B:B,Dropdown!C:C)</f>
        <v>0</v>
      </c>
    </row>
    <row r="95" spans="7:10">
      <c r="G95" s="250"/>
      <c r="I95" s="204">
        <f>_xlfn.XLOOKUP(H95,Dropdown!B:B,Dropdown!C:C)</f>
        <v>0</v>
      </c>
    </row>
    <row r="96" spans="7:10">
      <c r="G96" s="250"/>
      <c r="I96" s="204">
        <f>_xlfn.XLOOKUP(H96,Dropdown!B:B,Dropdown!C:C)</f>
        <v>0</v>
      </c>
    </row>
    <row r="97" spans="7:10">
      <c r="G97" s="250"/>
      <c r="I97" s="204">
        <f>_xlfn.XLOOKUP(H97,Dropdown!B:B,Dropdown!C:C)</f>
        <v>0</v>
      </c>
    </row>
    <row r="98" spans="7:10">
      <c r="G98" s="250"/>
      <c r="I98" s="204">
        <f>_xlfn.XLOOKUP(H98,Dropdown!B:B,Dropdown!C:C)</f>
        <v>0</v>
      </c>
    </row>
    <row r="99" spans="7:10">
      <c r="G99" s="250"/>
      <c r="I99" s="204">
        <f>_xlfn.XLOOKUP(H99,Dropdown!B:B,Dropdown!C:C)</f>
        <v>0</v>
      </c>
    </row>
    <row r="100" spans="7:10">
      <c r="G100" s="250">
        <v>1000</v>
      </c>
      <c r="H100" s="204" t="s">
        <v>91</v>
      </c>
      <c r="I100" s="204" t="str">
        <f>_xlfn.XLOOKUP(H100,Dropdown!B:B,Dropdown!C:C)</f>
        <v>מזון וקניות</v>
      </c>
      <c r="J100" s="204" t="s">
        <v>166</v>
      </c>
    </row>
    <row r="101" spans="7:10">
      <c r="G101" s="250"/>
      <c r="I101" s="204">
        <f>_xlfn.XLOOKUP(H101,Dropdown!B:B,Dropdown!C:C)</f>
        <v>0</v>
      </c>
    </row>
    <row r="102" spans="7:10">
      <c r="G102" s="250"/>
      <c r="I102" s="204">
        <f>_xlfn.XLOOKUP(H102,Dropdown!B:B,Dropdown!C:C)</f>
        <v>0</v>
      </c>
    </row>
    <row r="103" spans="7:10">
      <c r="G103" s="250"/>
      <c r="I103" s="204">
        <f>_xlfn.XLOOKUP(H103,Dropdown!B:B,Dropdown!C:C)</f>
        <v>0</v>
      </c>
    </row>
    <row r="104" spans="7:10">
      <c r="G104" s="250"/>
      <c r="I104" s="204">
        <f>_xlfn.XLOOKUP(H104,Dropdown!B:B,Dropdown!C:C)</f>
        <v>0</v>
      </c>
    </row>
    <row r="105" spans="7:10">
      <c r="G105" s="250"/>
      <c r="I105" s="204">
        <f>_xlfn.XLOOKUP(H105,Dropdown!B:B,Dropdown!C:C)</f>
        <v>0</v>
      </c>
    </row>
    <row r="106" spans="7:10">
      <c r="G106" s="250"/>
      <c r="I106" s="204">
        <f>_xlfn.XLOOKUP(H106,Dropdown!B:B,Dropdown!C:C)</f>
        <v>0</v>
      </c>
    </row>
    <row r="107" spans="7:10">
      <c r="G107" s="250"/>
      <c r="I107" s="204">
        <f>_xlfn.XLOOKUP(H107,Dropdown!B:B,Dropdown!C:C)</f>
        <v>0</v>
      </c>
    </row>
    <row r="108" spans="7:10">
      <c r="G108" s="250"/>
      <c r="I108" s="204">
        <f>_xlfn.XLOOKUP(H108,Dropdown!B:B,Dropdown!C:C)</f>
        <v>0</v>
      </c>
    </row>
    <row r="109" spans="7:10">
      <c r="G109" s="250"/>
      <c r="I109" s="204">
        <f>_xlfn.XLOOKUP(H109,Dropdown!B:B,Dropdown!C:C)</f>
        <v>0</v>
      </c>
    </row>
    <row r="110" spans="7:10">
      <c r="G110" s="250"/>
      <c r="I110" s="204">
        <f>_xlfn.XLOOKUP(H110,Dropdown!B:B,Dropdown!C:C)</f>
        <v>0</v>
      </c>
    </row>
    <row r="111" spans="7:10">
      <c r="G111" s="250"/>
      <c r="I111" s="204">
        <f>_xlfn.XLOOKUP(H111,Dropdown!B:B,Dropdown!C:C)</f>
        <v>0</v>
      </c>
    </row>
    <row r="112" spans="7:10">
      <c r="G112" s="250"/>
      <c r="I112" s="204">
        <f>_xlfn.XLOOKUP(H112,Dropdown!B:B,Dropdown!C:C)</f>
        <v>0</v>
      </c>
    </row>
    <row r="113" spans="7:9">
      <c r="G113" s="250"/>
      <c r="I113" s="204">
        <f>_xlfn.XLOOKUP(H113,Dropdown!B:B,Dropdown!C:C)</f>
        <v>0</v>
      </c>
    </row>
    <row r="114" spans="7:9">
      <c r="G114" s="250"/>
      <c r="I114" s="204">
        <f>_xlfn.XLOOKUP(H114,Dropdown!B:B,Dropdown!C:C)</f>
        <v>0</v>
      </c>
    </row>
    <row r="115" spans="7:9">
      <c r="G115" s="250"/>
      <c r="I115" s="204">
        <f>_xlfn.XLOOKUP(H115,Dropdown!B:B,Dropdown!C:C)</f>
        <v>0</v>
      </c>
    </row>
    <row r="116" spans="7:9">
      <c r="G116" s="250"/>
      <c r="I116" s="204">
        <f>_xlfn.XLOOKUP(H116,Dropdown!B:B,Dropdown!C:C)</f>
        <v>0</v>
      </c>
    </row>
    <row r="117" spans="7:9">
      <c r="G117" s="250"/>
      <c r="I117" s="204">
        <f>_xlfn.XLOOKUP(H117,Dropdown!B:B,Dropdown!C:C)</f>
        <v>0</v>
      </c>
    </row>
    <row r="118" spans="7:9">
      <c r="G118" s="250"/>
      <c r="I118" s="204">
        <f>_xlfn.XLOOKUP(H118,Dropdown!B:B,Dropdown!C:C)</f>
        <v>0</v>
      </c>
    </row>
    <row r="119" spans="7:9">
      <c r="G119" s="250"/>
      <c r="I119" s="204">
        <f>_xlfn.XLOOKUP(H119,Dropdown!B:B,Dropdown!C:C)</f>
        <v>0</v>
      </c>
    </row>
    <row r="120" spans="7:9">
      <c r="G120" s="250"/>
      <c r="I120" s="204">
        <f>_xlfn.XLOOKUP(H120,Dropdown!B:B,Dropdown!C:C)</f>
        <v>0</v>
      </c>
    </row>
    <row r="121" spans="7:9">
      <c r="G121" s="250"/>
      <c r="I121" s="204">
        <f>_xlfn.XLOOKUP(H121,Dropdown!B:B,Dropdown!C:C)</f>
        <v>0</v>
      </c>
    </row>
    <row r="122" spans="7:9">
      <c r="G122" s="250"/>
      <c r="I122" s="204">
        <f>_xlfn.XLOOKUP(H122,Dropdown!B:B,Dropdown!C:C)</f>
        <v>0</v>
      </c>
    </row>
    <row r="123" spans="7:9">
      <c r="G123" s="250"/>
      <c r="I123" s="204">
        <f>_xlfn.XLOOKUP(H123,Dropdown!B:B,Dropdown!C:C)</f>
        <v>0</v>
      </c>
    </row>
    <row r="124" spans="7:9">
      <c r="G124" s="250"/>
      <c r="I124" s="204">
        <f>_xlfn.XLOOKUP(H124,Dropdown!B:B,Dropdown!C:C)</f>
        <v>0</v>
      </c>
    </row>
    <row r="125" spans="7:9">
      <c r="G125" s="250"/>
      <c r="I125" s="204">
        <f>_xlfn.XLOOKUP(H125,Dropdown!B:B,Dropdown!C:C)</f>
        <v>0</v>
      </c>
    </row>
    <row r="126" spans="7:9">
      <c r="G126" s="250"/>
      <c r="I126" s="204">
        <f>_xlfn.XLOOKUP(H126,Dropdown!B:B,Dropdown!C:C)</f>
        <v>0</v>
      </c>
    </row>
    <row r="127" spans="7:9">
      <c r="G127" s="250"/>
      <c r="I127" s="204">
        <f>_xlfn.XLOOKUP(H127,Dropdown!B:B,Dropdown!C:C)</f>
        <v>0</v>
      </c>
    </row>
    <row r="128" spans="7:9">
      <c r="G128" s="250"/>
      <c r="I128" s="204">
        <f>_xlfn.XLOOKUP(H128,Dropdown!B:B,Dropdown!C:C)</f>
        <v>0</v>
      </c>
    </row>
    <row r="129" spans="7:9">
      <c r="G129" s="250"/>
      <c r="I129" s="204">
        <f>_xlfn.XLOOKUP(H129,Dropdown!B:B,Dropdown!C:C)</f>
        <v>0</v>
      </c>
    </row>
    <row r="130" spans="7:9">
      <c r="G130" s="250"/>
      <c r="I130" s="204">
        <f>_xlfn.XLOOKUP(H130,Dropdown!B:B,Dropdown!C:C)</f>
        <v>0</v>
      </c>
    </row>
    <row r="131" spans="7:9">
      <c r="G131" s="250"/>
      <c r="I131" s="204">
        <f>_xlfn.XLOOKUP(H131,Dropdown!B:B,Dropdown!C:C)</f>
        <v>0</v>
      </c>
    </row>
    <row r="132" spans="7:9">
      <c r="G132" s="250"/>
      <c r="I132" s="204">
        <f>_xlfn.XLOOKUP(H132,Dropdown!B:B,Dropdown!C:C)</f>
        <v>0</v>
      </c>
    </row>
    <row r="133" spans="7:9">
      <c r="G133" s="250"/>
      <c r="I133" s="204">
        <f>_xlfn.XLOOKUP(H133,Dropdown!B:B,Dropdown!C:C)</f>
        <v>0</v>
      </c>
    </row>
    <row r="134" spans="7:9">
      <c r="G134" s="250"/>
      <c r="I134" s="204">
        <f>_xlfn.XLOOKUP(H134,Dropdown!B:B,Dropdown!C:C)</f>
        <v>0</v>
      </c>
    </row>
    <row r="135" spans="7:9">
      <c r="G135" s="250"/>
      <c r="I135" s="204">
        <f>_xlfn.XLOOKUP(H135,Dropdown!B:B,Dropdown!C:C)</f>
        <v>0</v>
      </c>
    </row>
    <row r="136" spans="7:9">
      <c r="G136" s="250"/>
      <c r="I136" s="204">
        <f>_xlfn.XLOOKUP(H136,Dropdown!B:B,Dropdown!C:C)</f>
        <v>0</v>
      </c>
    </row>
    <row r="137" spans="7:9">
      <c r="G137" s="250"/>
      <c r="I137" s="204">
        <f>_xlfn.XLOOKUP(H137,Dropdown!B:B,Dropdown!C:C)</f>
        <v>0</v>
      </c>
    </row>
    <row r="138" spans="7:9">
      <c r="G138" s="250"/>
      <c r="I138" s="204">
        <f>_xlfn.XLOOKUP(H138,Dropdown!B:B,Dropdown!C:C)</f>
        <v>0</v>
      </c>
    </row>
    <row r="139" spans="7:9">
      <c r="G139" s="250"/>
      <c r="I139" s="204">
        <f>_xlfn.XLOOKUP(H139,Dropdown!B:B,Dropdown!C:C)</f>
        <v>0</v>
      </c>
    </row>
    <row r="140" spans="7:9">
      <c r="G140" s="250"/>
      <c r="I140" s="204">
        <f>_xlfn.XLOOKUP(H140,Dropdown!B:B,Dropdown!C:C)</f>
        <v>0</v>
      </c>
    </row>
    <row r="141" spans="7:9">
      <c r="G141" s="250"/>
      <c r="I141" s="204">
        <f>_xlfn.XLOOKUP(H141,Dropdown!B:B,Dropdown!C:C)</f>
        <v>0</v>
      </c>
    </row>
    <row r="142" spans="7:9">
      <c r="G142" s="250"/>
      <c r="I142" s="204">
        <f>_xlfn.XLOOKUP(H142,Dropdown!B:B,Dropdown!C:C)</f>
        <v>0</v>
      </c>
    </row>
    <row r="143" spans="7:9">
      <c r="G143" s="250"/>
      <c r="I143" s="204">
        <f>_xlfn.XLOOKUP(H143,Dropdown!B:B,Dropdown!C:C)</f>
        <v>0</v>
      </c>
    </row>
    <row r="144" spans="7:9">
      <c r="G144" s="250"/>
      <c r="I144" s="204">
        <f>_xlfn.XLOOKUP(H144,Dropdown!B:B,Dropdown!C:C)</f>
        <v>0</v>
      </c>
    </row>
    <row r="145" spans="7:9">
      <c r="G145" s="250"/>
      <c r="I145" s="204">
        <f>_xlfn.XLOOKUP(H145,Dropdown!B:B,Dropdown!C:C)</f>
        <v>0</v>
      </c>
    </row>
    <row r="146" spans="7:9">
      <c r="G146" s="250"/>
      <c r="I146" s="204">
        <f>_xlfn.XLOOKUP(H146,Dropdown!B:B,Dropdown!C:C)</f>
        <v>0</v>
      </c>
    </row>
    <row r="147" spans="7:9">
      <c r="G147" s="250"/>
      <c r="I147" s="204">
        <f>_xlfn.XLOOKUP(H147,Dropdown!B:B,Dropdown!C:C)</f>
        <v>0</v>
      </c>
    </row>
    <row r="148" spans="7:9">
      <c r="G148" s="250"/>
      <c r="I148" s="204">
        <f>_xlfn.XLOOKUP(H148,Dropdown!B:B,Dropdown!C:C)</f>
        <v>0</v>
      </c>
    </row>
    <row r="149" spans="7:9">
      <c r="G149" s="250"/>
      <c r="I149" s="204">
        <f>_xlfn.XLOOKUP(H149,Dropdown!B:B,Dropdown!C:C)</f>
        <v>0</v>
      </c>
    </row>
    <row r="150" spans="7:9">
      <c r="G150" s="250"/>
      <c r="I150" s="204">
        <f>_xlfn.XLOOKUP(H150,Dropdown!B:B,Dropdown!C:C)</f>
        <v>0</v>
      </c>
    </row>
    <row r="151" spans="7:9">
      <c r="G151" s="250"/>
      <c r="I151" s="204">
        <f>_xlfn.XLOOKUP(H151,Dropdown!B:B,Dropdown!C:C)</f>
        <v>0</v>
      </c>
    </row>
    <row r="152" spans="7:9">
      <c r="G152" s="250"/>
      <c r="I152" s="204">
        <f>_xlfn.XLOOKUP(H152,Dropdown!B:B,Dropdown!C:C)</f>
        <v>0</v>
      </c>
    </row>
    <row r="153" spans="7:9">
      <c r="G153" s="250"/>
      <c r="I153" s="204">
        <f>_xlfn.XLOOKUP(H153,Dropdown!B:B,Dropdown!C:C)</f>
        <v>0</v>
      </c>
    </row>
    <row r="154" spans="7:9">
      <c r="G154" s="250"/>
      <c r="I154" s="204">
        <f>_xlfn.XLOOKUP(H154,Dropdown!B:B,Dropdown!C:C)</f>
        <v>0</v>
      </c>
    </row>
    <row r="155" spans="7:9">
      <c r="G155" s="250"/>
      <c r="I155" s="204">
        <f>_xlfn.XLOOKUP(H155,Dropdown!B:B,Dropdown!C:C)</f>
        <v>0</v>
      </c>
    </row>
    <row r="156" spans="7:9">
      <c r="G156" s="250"/>
      <c r="I156" s="204">
        <f>_xlfn.XLOOKUP(H156,Dropdown!B:B,Dropdown!C:C)</f>
        <v>0</v>
      </c>
    </row>
    <row r="157" spans="7:9">
      <c r="G157" s="250"/>
      <c r="I157" s="204">
        <f>_xlfn.XLOOKUP(H157,Dropdown!B:B,Dropdown!C:C)</f>
        <v>0</v>
      </c>
    </row>
    <row r="158" spans="7:9">
      <c r="G158" s="250"/>
      <c r="I158" s="204">
        <f>_xlfn.XLOOKUP(H158,Dropdown!B:B,Dropdown!C:C)</f>
        <v>0</v>
      </c>
    </row>
    <row r="159" spans="7:9">
      <c r="G159" s="250"/>
      <c r="I159" s="204">
        <f>_xlfn.XLOOKUP(H159,Dropdown!B:B,Dropdown!C:C)</f>
        <v>0</v>
      </c>
    </row>
    <row r="160" spans="7:9">
      <c r="G160" s="250"/>
      <c r="I160" s="204">
        <f>_xlfn.XLOOKUP(H160,Dropdown!B:B,Dropdown!C:C)</f>
        <v>0</v>
      </c>
    </row>
    <row r="161" spans="7:9">
      <c r="G161" s="250"/>
      <c r="I161" s="204">
        <f>_xlfn.XLOOKUP(H161,Dropdown!B:B,Dropdown!C:C)</f>
        <v>0</v>
      </c>
    </row>
    <row r="162" spans="7:9">
      <c r="G162" s="250"/>
      <c r="I162" s="204">
        <f>_xlfn.XLOOKUP(H162,Dropdown!B:B,Dropdown!C:C)</f>
        <v>0</v>
      </c>
    </row>
    <row r="163" spans="7:9">
      <c r="G163" s="250"/>
      <c r="I163" s="204">
        <f>_xlfn.XLOOKUP(H163,Dropdown!B:B,Dropdown!C:C)</f>
        <v>0</v>
      </c>
    </row>
    <row r="164" spans="7:9">
      <c r="G164" s="250"/>
      <c r="I164" s="204">
        <f>_xlfn.XLOOKUP(H164,Dropdown!B:B,Dropdown!C:C)</f>
        <v>0</v>
      </c>
    </row>
    <row r="165" spans="7:9">
      <c r="G165" s="250"/>
      <c r="I165" s="204">
        <f>_xlfn.XLOOKUP(H165,Dropdown!B:B,Dropdown!C:C)</f>
        <v>0</v>
      </c>
    </row>
    <row r="166" spans="7:9">
      <c r="G166" s="250"/>
      <c r="I166" s="204">
        <f>_xlfn.XLOOKUP(H166,Dropdown!B:B,Dropdown!C:C)</f>
        <v>0</v>
      </c>
    </row>
    <row r="167" spans="7:9">
      <c r="G167" s="250"/>
      <c r="I167" s="204">
        <f>_xlfn.XLOOKUP(H167,Dropdown!B:B,Dropdown!C:C)</f>
        <v>0</v>
      </c>
    </row>
    <row r="168" spans="7:9">
      <c r="G168" s="250"/>
      <c r="I168" s="204">
        <f>_xlfn.XLOOKUP(H168,Dropdown!B:B,Dropdown!C:C)</f>
        <v>0</v>
      </c>
    </row>
    <row r="169" spans="7:9">
      <c r="G169" s="250"/>
      <c r="I169" s="204">
        <f>_xlfn.XLOOKUP(H169,Dropdown!B:B,Dropdown!C:C)</f>
        <v>0</v>
      </c>
    </row>
    <row r="170" spans="7:9">
      <c r="G170" s="250"/>
      <c r="I170" s="204">
        <f>_xlfn.XLOOKUP(H170,Dropdown!B:B,Dropdown!C:C)</f>
        <v>0</v>
      </c>
    </row>
    <row r="171" spans="7:9">
      <c r="G171" s="250"/>
      <c r="I171" s="204">
        <f>_xlfn.XLOOKUP(H171,Dropdown!B:B,Dropdown!C:C)</f>
        <v>0</v>
      </c>
    </row>
    <row r="172" spans="7:9">
      <c r="G172" s="250"/>
      <c r="I172" s="204">
        <f>_xlfn.XLOOKUP(H172,Dropdown!B:B,Dropdown!C:C)</f>
        <v>0</v>
      </c>
    </row>
    <row r="173" spans="7:9">
      <c r="G173" s="250"/>
      <c r="I173" s="204">
        <f>_xlfn.XLOOKUP(H173,Dropdown!B:B,Dropdown!C:C)</f>
        <v>0</v>
      </c>
    </row>
    <row r="174" spans="7:9">
      <c r="G174" s="250"/>
      <c r="I174" s="204">
        <f>_xlfn.XLOOKUP(H174,Dropdown!B:B,Dropdown!C:C)</f>
        <v>0</v>
      </c>
    </row>
    <row r="175" spans="7:9">
      <c r="G175" s="250"/>
      <c r="I175" s="204">
        <f>_xlfn.XLOOKUP(H175,Dropdown!B:B,Dropdown!C:C)</f>
        <v>0</v>
      </c>
    </row>
    <row r="176" spans="7:9">
      <c r="G176" s="250"/>
      <c r="I176" s="204">
        <f>_xlfn.XLOOKUP(H176,Dropdown!B:B,Dropdown!C:C)</f>
        <v>0</v>
      </c>
    </row>
    <row r="177" spans="7:9">
      <c r="G177" s="250"/>
      <c r="I177" s="204">
        <f>_xlfn.XLOOKUP(H177,Dropdown!B:B,Dropdown!C:C)</f>
        <v>0</v>
      </c>
    </row>
    <row r="178" spans="7:9">
      <c r="G178" s="250"/>
      <c r="I178" s="204">
        <f>_xlfn.XLOOKUP(H178,Dropdown!B:B,Dropdown!C:C)</f>
        <v>0</v>
      </c>
    </row>
    <row r="179" spans="7:9">
      <c r="G179" s="250"/>
      <c r="I179" s="204">
        <f>_xlfn.XLOOKUP(H179,Dropdown!B:B,Dropdown!C:C)</f>
        <v>0</v>
      </c>
    </row>
    <row r="180" spans="7:9">
      <c r="G180" s="250"/>
      <c r="I180" s="204">
        <f>_xlfn.XLOOKUP(H180,Dropdown!B:B,Dropdown!C:C)</f>
        <v>0</v>
      </c>
    </row>
    <row r="181" spans="7:9">
      <c r="G181" s="250"/>
      <c r="I181" s="204">
        <f>_xlfn.XLOOKUP(H181,Dropdown!B:B,Dropdown!C:C)</f>
        <v>0</v>
      </c>
    </row>
    <row r="182" spans="7:9">
      <c r="G182" s="250"/>
      <c r="I182" s="204">
        <f>_xlfn.XLOOKUP(H182,Dropdown!B:B,Dropdown!C:C)</f>
        <v>0</v>
      </c>
    </row>
    <row r="183" spans="7:9">
      <c r="G183" s="250"/>
      <c r="I183" s="204">
        <f>_xlfn.XLOOKUP(H183,Dropdown!B:B,Dropdown!C:C)</f>
        <v>0</v>
      </c>
    </row>
    <row r="184" spans="7:9">
      <c r="G184" s="250"/>
      <c r="I184" s="204">
        <f>_xlfn.XLOOKUP(H184,Dropdown!B:B,Dropdown!C:C)</f>
        <v>0</v>
      </c>
    </row>
    <row r="185" spans="7:9">
      <c r="G185" s="250"/>
      <c r="I185" s="204">
        <f>_xlfn.XLOOKUP(H185,Dropdown!B:B,Dropdown!C:C)</f>
        <v>0</v>
      </c>
    </row>
    <row r="186" spans="7:9">
      <c r="G186" s="250"/>
      <c r="I186" s="204">
        <f>_xlfn.XLOOKUP(H186,Dropdown!B:B,Dropdown!C:C)</f>
        <v>0</v>
      </c>
    </row>
    <row r="187" spans="7:9">
      <c r="G187" s="250"/>
      <c r="I187" s="204">
        <f>_xlfn.XLOOKUP(H187,Dropdown!B:B,Dropdown!C:C)</f>
        <v>0</v>
      </c>
    </row>
    <row r="188" spans="7:9">
      <c r="G188" s="250"/>
      <c r="I188" s="204">
        <f>_xlfn.XLOOKUP(H188,Dropdown!B:B,Dropdown!C:C)</f>
        <v>0</v>
      </c>
    </row>
    <row r="189" spans="7:9">
      <c r="G189" s="250"/>
      <c r="I189" s="204">
        <f>_xlfn.XLOOKUP(H189,Dropdown!B:B,Dropdown!C:C)</f>
        <v>0</v>
      </c>
    </row>
    <row r="190" spans="7:9">
      <c r="G190" s="250"/>
      <c r="I190" s="204">
        <f>_xlfn.XLOOKUP(H190,Dropdown!B:B,Dropdown!C:C)</f>
        <v>0</v>
      </c>
    </row>
    <row r="191" spans="7:9">
      <c r="G191" s="250"/>
      <c r="I191" s="204">
        <f>_xlfn.XLOOKUP(H191,Dropdown!B:B,Dropdown!C:C)</f>
        <v>0</v>
      </c>
    </row>
    <row r="192" spans="7:9">
      <c r="G192" s="250"/>
      <c r="I192" s="204">
        <f>_xlfn.XLOOKUP(H192,Dropdown!B:B,Dropdown!C:C)</f>
        <v>0</v>
      </c>
    </row>
    <row r="193" spans="7:9">
      <c r="G193" s="250"/>
      <c r="I193" s="204">
        <f>_xlfn.XLOOKUP(H193,Dropdown!B:B,Dropdown!C:C)</f>
        <v>0</v>
      </c>
    </row>
    <row r="194" spans="7:9">
      <c r="G194" s="250"/>
      <c r="I194" s="204">
        <f>_xlfn.XLOOKUP(H194,Dropdown!B:B,Dropdown!C:C)</f>
        <v>0</v>
      </c>
    </row>
    <row r="195" spans="7:9">
      <c r="G195" s="250"/>
      <c r="I195" s="204">
        <f>_xlfn.XLOOKUP(H195,Dropdown!B:B,Dropdown!C:C)</f>
        <v>0</v>
      </c>
    </row>
    <row r="196" spans="7:9">
      <c r="G196" s="250"/>
      <c r="I196" s="204">
        <f>_xlfn.XLOOKUP(H196,Dropdown!B:B,Dropdown!C:C)</f>
        <v>0</v>
      </c>
    </row>
    <row r="197" spans="7:9">
      <c r="G197" s="250"/>
      <c r="I197" s="204">
        <f>_xlfn.XLOOKUP(H197,Dropdown!B:B,Dropdown!C:C)</f>
        <v>0</v>
      </c>
    </row>
    <row r="198" spans="7:9">
      <c r="G198" s="250"/>
      <c r="I198" s="204">
        <f>_xlfn.XLOOKUP(H198,Dropdown!B:B,Dropdown!C:C)</f>
        <v>0</v>
      </c>
    </row>
    <row r="199" spans="7:9">
      <c r="G199" s="250"/>
      <c r="I199" s="204">
        <f>_xlfn.XLOOKUP(H199,Dropdown!B:B,Dropdown!C:C)</f>
        <v>0</v>
      </c>
    </row>
    <row r="200" spans="7:9">
      <c r="G200" s="250"/>
      <c r="I200" s="204">
        <f>_xlfn.XLOOKUP(H200,Dropdown!B:B,Dropdown!C:C)</f>
        <v>0</v>
      </c>
    </row>
    <row r="201" spans="7:9">
      <c r="G201" s="250"/>
      <c r="I201" s="204">
        <f>_xlfn.XLOOKUP(H201,Dropdown!B:B,Dropdown!C:C)</f>
        <v>0</v>
      </c>
    </row>
    <row r="202" spans="7:9">
      <c r="G202" s="250"/>
      <c r="I202" s="204">
        <f>_xlfn.XLOOKUP(H202,Dropdown!B:B,Dropdown!C:C)</f>
        <v>0</v>
      </c>
    </row>
    <row r="203" spans="7:9">
      <c r="G203" s="250"/>
      <c r="I203" s="204">
        <f>_xlfn.XLOOKUP(H203,Dropdown!B:B,Dropdown!C:C)</f>
        <v>0</v>
      </c>
    </row>
    <row r="204" spans="7:9">
      <c r="G204" s="250"/>
      <c r="I204" s="204">
        <f>_xlfn.XLOOKUP(H204,Dropdown!B:B,Dropdown!C:C)</f>
        <v>0</v>
      </c>
    </row>
    <row r="205" spans="7:9">
      <c r="G205" s="250"/>
      <c r="I205" s="204">
        <f>_xlfn.XLOOKUP(H205,Dropdown!B:B,Dropdown!C:C)</f>
        <v>0</v>
      </c>
    </row>
    <row r="206" spans="7:9">
      <c r="G206" s="250"/>
      <c r="I206" s="204">
        <f>_xlfn.XLOOKUP(H206,Dropdown!B:B,Dropdown!C:C)</f>
        <v>0</v>
      </c>
    </row>
    <row r="207" spans="7:9">
      <c r="G207" s="250"/>
      <c r="I207" s="204">
        <f>_xlfn.XLOOKUP(H207,Dropdown!B:B,Dropdown!C:C)</f>
        <v>0</v>
      </c>
    </row>
    <row r="208" spans="7:9">
      <c r="G208" s="250"/>
      <c r="I208" s="204">
        <f>_xlfn.XLOOKUP(H208,Dropdown!B:B,Dropdown!C:C)</f>
        <v>0</v>
      </c>
    </row>
    <row r="209" spans="7:9">
      <c r="G209" s="250"/>
      <c r="I209" s="204">
        <f>_xlfn.XLOOKUP(H209,Dropdown!B:B,Dropdown!C:C)</f>
        <v>0</v>
      </c>
    </row>
    <row r="210" spans="7:9">
      <c r="G210" s="250"/>
      <c r="I210" s="204">
        <f>_xlfn.XLOOKUP(H210,Dropdown!B:B,Dropdown!C:C)</f>
        <v>0</v>
      </c>
    </row>
    <row r="211" spans="7:9">
      <c r="G211" s="250"/>
      <c r="I211" s="204">
        <f>_xlfn.XLOOKUP(H211,Dropdown!B:B,Dropdown!C:C)</f>
        <v>0</v>
      </c>
    </row>
    <row r="212" spans="7:9">
      <c r="G212" s="250"/>
      <c r="I212" s="204">
        <f>_xlfn.XLOOKUP(H212,Dropdown!B:B,Dropdown!C:C)</f>
        <v>0</v>
      </c>
    </row>
    <row r="213" spans="7:9">
      <c r="G213" s="250"/>
      <c r="I213" s="204">
        <f>_xlfn.XLOOKUP(H213,Dropdown!B:B,Dropdown!C:C)</f>
        <v>0</v>
      </c>
    </row>
    <row r="214" spans="7:9">
      <c r="G214" s="250"/>
      <c r="I214" s="204">
        <f>_xlfn.XLOOKUP(H214,Dropdown!B:B,Dropdown!C:C)</f>
        <v>0</v>
      </c>
    </row>
    <row r="215" spans="7:9">
      <c r="G215" s="250"/>
      <c r="I215" s="204">
        <f>_xlfn.XLOOKUP(H215,Dropdown!B:B,Dropdown!C:C)</f>
        <v>0</v>
      </c>
    </row>
    <row r="216" spans="7:9">
      <c r="G216" s="250"/>
    </row>
    <row r="217" spans="7:9">
      <c r="G217" s="250"/>
    </row>
    <row r="218" spans="7:9">
      <c r="G218" s="250"/>
    </row>
    <row r="219" spans="7:9">
      <c r="G219" s="250"/>
    </row>
    <row r="220" spans="7:9">
      <c r="G220" s="250"/>
    </row>
    <row r="221" spans="7:9">
      <c r="G221" s="250"/>
    </row>
    <row r="222" spans="7:9">
      <c r="G222" s="250"/>
    </row>
    <row r="223" spans="7:9">
      <c r="G223" s="250"/>
    </row>
    <row r="224" spans="7:9">
      <c r="G224" s="250"/>
    </row>
    <row r="225" spans="7:7">
      <c r="G225" s="250"/>
    </row>
    <row r="226" spans="7:7">
      <c r="G226" s="250"/>
    </row>
    <row r="227" spans="7:7">
      <c r="G227" s="250"/>
    </row>
    <row r="228" spans="7:7">
      <c r="G228" s="250"/>
    </row>
    <row r="229" spans="7:7">
      <c r="G229" s="250"/>
    </row>
    <row r="230" spans="7:7">
      <c r="G230" s="250"/>
    </row>
    <row r="231" spans="7:7">
      <c r="G231" s="250"/>
    </row>
    <row r="232" spans="7:7">
      <c r="G232" s="250"/>
    </row>
    <row r="233" spans="7:7">
      <c r="G233" s="250"/>
    </row>
    <row r="234" spans="7:7">
      <c r="G234" s="250"/>
    </row>
    <row r="235" spans="7:7">
      <c r="G235" s="250"/>
    </row>
    <row r="236" spans="7:7">
      <c r="G236" s="250"/>
    </row>
    <row r="237" spans="7:7">
      <c r="G237" s="250"/>
    </row>
    <row r="238" spans="7:7">
      <c r="G238" s="250"/>
    </row>
    <row r="239" spans="7:7">
      <c r="G239" s="250"/>
    </row>
    <row r="240" spans="7:7">
      <c r="G240" s="250"/>
    </row>
    <row r="241" spans="7:7">
      <c r="G241" s="250"/>
    </row>
    <row r="242" spans="7:7">
      <c r="G242" s="250"/>
    </row>
    <row r="243" spans="7:7">
      <c r="G243" s="250"/>
    </row>
    <row r="244" spans="7:7">
      <c r="G244" s="250"/>
    </row>
    <row r="245" spans="7:7">
      <c r="G245" s="250"/>
    </row>
    <row r="246" spans="7:7">
      <c r="G246" s="250"/>
    </row>
    <row r="247" spans="7:7">
      <c r="G247" s="250"/>
    </row>
    <row r="248" spans="7:7">
      <c r="G248" s="250"/>
    </row>
    <row r="249" spans="7:7">
      <c r="G249" s="250"/>
    </row>
    <row r="250" spans="7:7">
      <c r="G250" s="250"/>
    </row>
    <row r="251" spans="7:7">
      <c r="G251" s="250"/>
    </row>
    <row r="252" spans="7:7">
      <c r="G252" s="250"/>
    </row>
    <row r="253" spans="7:7">
      <c r="G253" s="250"/>
    </row>
    <row r="254" spans="7:7">
      <c r="G254" s="250"/>
    </row>
    <row r="255" spans="7:7">
      <c r="G255" s="250"/>
    </row>
    <row r="256" spans="7:7">
      <c r="G256" s="250"/>
    </row>
    <row r="257" spans="7:7">
      <c r="G257" s="250"/>
    </row>
    <row r="258" spans="7:7">
      <c r="G258" s="250"/>
    </row>
    <row r="259" spans="7:7">
      <c r="G259" s="250"/>
    </row>
  </sheetData>
  <sheetProtection selectLockedCells="1" selectUnlockedCells="1"/>
  <autoFilter ref="F1:N85" xr:uid="{00000000-0009-0000-0000-000010000000}"/>
  <mergeCells count="8">
    <mergeCell ref="A35:A38"/>
    <mergeCell ref="A31:A32"/>
    <mergeCell ref="A2:A6"/>
    <mergeCell ref="A9:A10"/>
    <mergeCell ref="A11:A13"/>
    <mergeCell ref="A20:A23"/>
    <mergeCell ref="A28:A29"/>
    <mergeCell ref="A7:A8"/>
  </mergeCells>
  <conditionalFormatting sqref="C2">
    <cfRule type="duplicateValues" dxfId="67" priority="1" stopIfTrue="1"/>
  </conditionalFormatting>
  <conditionalFormatting sqref="Q6:AV13">
    <cfRule type="cellIs" dxfId="66" priority="2" operator="greaterThan">
      <formula>0</formula>
    </cfRule>
  </conditionalFormatting>
  <conditionalFormatting sqref="Q19:AV37">
    <cfRule type="cellIs" dxfId="65" priority="3" operator="greaterThan">
      <formula>0</formula>
    </cfRule>
  </conditionalFormatting>
  <dataValidations count="2">
    <dataValidation type="list" errorStyle="warning" allowBlank="1" showInputMessage="1" showErrorMessage="1" errorTitle="חסרה קטגוריה" sqref="J56:J167 J3:J51 J53:J54" xr:uid="{CA375B63-6FEE-4593-A7B9-3DBFB4F9AA34}">
      <formula1>סוג_תשלום</formula1>
    </dataValidation>
    <dataValidation type="list" errorStyle="warning" allowBlank="1" showInputMessage="1" showErrorMessage="1" errorTitle="חסרה קטגוריה" sqref="H56:H167 H53:H54 H3:H51" xr:uid="{13432F53-2673-473B-80FE-2B83CA31D6DC}">
      <formula1>סוג_הוצאה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900FA9-C199-41DA-A817-04A6DE3A6B6C}">
          <x14:formula1>
            <xm:f>Dropdown!$D$2:$D$9</xm:f>
          </x14:formula1>
          <xm:sqref>P18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2:AH1139"/>
  <sheetViews>
    <sheetView rightToLeft="1" topLeftCell="A21" workbookViewId="0">
      <selection activeCell="M41" sqref="M41"/>
    </sheetView>
  </sheetViews>
  <sheetFormatPr defaultRowHeight="12.75"/>
  <cols>
    <col min="2" max="2" width="10.7109375" bestFit="1" customWidth="1"/>
    <col min="5" max="5" width="13.42578125" bestFit="1" customWidth="1"/>
    <col min="8" max="8" width="1.7109375" customWidth="1"/>
    <col min="9" max="9" width="7.140625" bestFit="1" customWidth="1"/>
    <col min="10" max="16" width="9.28515625" customWidth="1"/>
    <col min="17" max="18" width="10" bestFit="1" customWidth="1"/>
    <col min="19" max="19" width="12" bestFit="1" customWidth="1"/>
    <col min="20" max="22" width="9.28515625" customWidth="1"/>
    <col min="24" max="24" width="13" bestFit="1" customWidth="1"/>
    <col min="25" max="25" width="8.85546875" style="149"/>
    <col min="27" max="27" width="10.5703125" bestFit="1" customWidth="1"/>
    <col min="31" max="31" width="16.28515625" bestFit="1" customWidth="1"/>
  </cols>
  <sheetData>
    <row r="2" spans="1:34" ht="13.5" thickBot="1">
      <c r="B2" t="s">
        <v>290</v>
      </c>
      <c r="C2" t="s">
        <v>3</v>
      </c>
      <c r="D2" t="s">
        <v>291</v>
      </c>
      <c r="E2" t="s">
        <v>300</v>
      </c>
      <c r="F2" t="s">
        <v>292</v>
      </c>
      <c r="G2" t="s">
        <v>142</v>
      </c>
      <c r="X2" t="s">
        <v>290</v>
      </c>
      <c r="Y2" s="149" t="s">
        <v>3</v>
      </c>
      <c r="Z2" t="s">
        <v>291</v>
      </c>
      <c r="AA2" t="s">
        <v>300</v>
      </c>
      <c r="AB2" t="s">
        <v>292</v>
      </c>
      <c r="AC2" t="s">
        <v>142</v>
      </c>
      <c r="AD2" t="s">
        <v>302</v>
      </c>
      <c r="AE2" t="s">
        <v>303</v>
      </c>
      <c r="AF2" t="s">
        <v>304</v>
      </c>
    </row>
    <row r="3" spans="1:34" ht="13.5" thickBot="1">
      <c r="B3" s="43" t="s">
        <v>394</v>
      </c>
      <c r="C3" s="40" t="s">
        <v>582</v>
      </c>
      <c r="D3" s="40">
        <v>5</v>
      </c>
      <c r="E3" s="184">
        <v>140</v>
      </c>
      <c r="F3" s="40" t="s">
        <v>402</v>
      </c>
      <c r="G3" s="40"/>
      <c r="I3" s="280" t="s">
        <v>190</v>
      </c>
      <c r="J3" s="280" t="s">
        <v>25</v>
      </c>
      <c r="K3" s="280" t="s">
        <v>293</v>
      </c>
      <c r="L3" s="280" t="s">
        <v>726</v>
      </c>
      <c r="M3" s="280" t="s">
        <v>381</v>
      </c>
      <c r="N3" s="280" t="s">
        <v>540</v>
      </c>
      <c r="O3" s="280" t="s">
        <v>538</v>
      </c>
      <c r="P3" s="280" t="s">
        <v>384</v>
      </c>
      <c r="Q3" s="280" t="s">
        <v>394</v>
      </c>
      <c r="R3" s="280" t="s">
        <v>439</v>
      </c>
      <c r="S3" s="280" t="s">
        <v>403</v>
      </c>
      <c r="T3" s="280" t="s">
        <v>301</v>
      </c>
      <c r="U3" s="280" t="s">
        <v>321</v>
      </c>
      <c r="V3" s="280" t="s">
        <v>340</v>
      </c>
      <c r="X3" s="40" t="s">
        <v>385</v>
      </c>
      <c r="Y3" s="149" t="s">
        <v>615</v>
      </c>
      <c r="Z3">
        <v>2</v>
      </c>
      <c r="AA3">
        <v>794</v>
      </c>
      <c r="AB3" t="s">
        <v>376</v>
      </c>
      <c r="AC3" s="40" t="s">
        <v>20</v>
      </c>
    </row>
    <row r="4" spans="1:34">
      <c r="B4" s="43" t="s">
        <v>540</v>
      </c>
      <c r="C4" s="40" t="s">
        <v>541</v>
      </c>
      <c r="D4" s="40">
        <v>5</v>
      </c>
      <c r="E4" s="184">
        <v>160</v>
      </c>
      <c r="F4" s="40" t="s">
        <v>402</v>
      </c>
      <c r="G4" s="40"/>
      <c r="I4" s="40">
        <v>1</v>
      </c>
      <c r="J4" s="281">
        <f t="shared" ref="J4:J15" si="0">SUMIF(D:D,I4,E:E)</f>
        <v>49846</v>
      </c>
      <c r="K4" s="282">
        <f t="shared" ref="K4:K15" si="1">SUMIFS(E:E,D:D,I4,F:F,"לא")</f>
        <v>0</v>
      </c>
      <c r="L4" s="40">
        <f t="shared" ref="L4:S15" si="2">SUMIFS($E:$E,$D:$D,$I4,$B:$B,L$3)</f>
        <v>0</v>
      </c>
      <c r="M4" s="40">
        <f t="shared" si="2"/>
        <v>140</v>
      </c>
      <c r="N4" s="40">
        <f t="shared" si="2"/>
        <v>0</v>
      </c>
      <c r="O4" s="40">
        <f t="shared" si="2"/>
        <v>640</v>
      </c>
      <c r="P4" s="40">
        <f t="shared" si="2"/>
        <v>700</v>
      </c>
      <c r="Q4" s="40">
        <f t="shared" si="2"/>
        <v>280</v>
      </c>
      <c r="R4" s="40">
        <f t="shared" si="2"/>
        <v>640</v>
      </c>
      <c r="S4" s="40">
        <f t="shared" si="2"/>
        <v>520</v>
      </c>
      <c r="T4" s="40">
        <f t="shared" ref="T4:T13" si="3">SUMIFS($E:$E,$D:$D,$I4,$B:$B,"אליאב")</f>
        <v>0</v>
      </c>
      <c r="U4" s="40">
        <f t="shared" ref="U4:U15" si="4">SUMIFS($E:$E,$D:$D,$I4,$B:$B,"*ייעוץ*")</f>
        <v>0</v>
      </c>
      <c r="V4" s="40">
        <f t="shared" ref="V4:V15" si="5">SUMIFS($E:$E,$D:$D,$I4,$B:$B,"*2do*")</f>
        <v>46926</v>
      </c>
      <c r="X4" t="s">
        <v>635</v>
      </c>
      <c r="Y4" s="149" t="s">
        <v>636</v>
      </c>
      <c r="Z4">
        <v>3</v>
      </c>
      <c r="AA4">
        <v>460</v>
      </c>
      <c r="AB4" t="s">
        <v>376</v>
      </c>
      <c r="AC4" s="40" t="s">
        <v>20</v>
      </c>
    </row>
    <row r="5" spans="1:34">
      <c r="B5" s="43" t="s">
        <v>394</v>
      </c>
      <c r="C5" s="40" t="s">
        <v>571</v>
      </c>
      <c r="D5" s="40">
        <v>5</v>
      </c>
      <c r="E5" s="184">
        <v>140</v>
      </c>
      <c r="F5" s="40" t="s">
        <v>402</v>
      </c>
      <c r="G5" s="40"/>
      <c r="I5">
        <v>2</v>
      </c>
      <c r="J5" s="281">
        <f t="shared" si="0"/>
        <v>39317</v>
      </c>
      <c r="K5" s="282">
        <f t="shared" si="1"/>
        <v>39317</v>
      </c>
      <c r="L5" s="40">
        <f t="shared" si="2"/>
        <v>0</v>
      </c>
      <c r="M5" s="40">
        <f t="shared" si="2"/>
        <v>0</v>
      </c>
      <c r="N5" s="40">
        <f t="shared" si="2"/>
        <v>0</v>
      </c>
      <c r="O5" s="40">
        <f t="shared" si="2"/>
        <v>0</v>
      </c>
      <c r="P5" s="40">
        <f t="shared" si="2"/>
        <v>0</v>
      </c>
      <c r="Q5" s="40">
        <f t="shared" si="2"/>
        <v>0</v>
      </c>
      <c r="R5" s="40">
        <f t="shared" si="2"/>
        <v>0</v>
      </c>
      <c r="S5" s="40">
        <f t="shared" si="2"/>
        <v>0</v>
      </c>
      <c r="T5" s="40">
        <f t="shared" si="3"/>
        <v>0</v>
      </c>
      <c r="U5" s="40">
        <f t="shared" si="4"/>
        <v>0</v>
      </c>
      <c r="V5" s="40">
        <f t="shared" si="5"/>
        <v>39317</v>
      </c>
    </row>
    <row r="6" spans="1:34">
      <c r="B6" s="43" t="s">
        <v>540</v>
      </c>
      <c r="C6" s="40" t="s">
        <v>581</v>
      </c>
      <c r="D6" s="40">
        <v>5</v>
      </c>
      <c r="E6" s="184">
        <v>160</v>
      </c>
      <c r="F6" s="40" t="s">
        <v>402</v>
      </c>
      <c r="G6" s="40"/>
      <c r="I6">
        <v>3</v>
      </c>
      <c r="J6" s="281">
        <f t="shared" si="0"/>
        <v>48201</v>
      </c>
      <c r="K6" s="282">
        <f t="shared" si="1"/>
        <v>0</v>
      </c>
      <c r="L6" s="40">
        <f t="shared" si="2"/>
        <v>0</v>
      </c>
      <c r="M6" s="40">
        <f t="shared" si="2"/>
        <v>0</v>
      </c>
      <c r="N6" s="40">
        <f t="shared" si="2"/>
        <v>0</v>
      </c>
      <c r="O6" s="40">
        <f t="shared" si="2"/>
        <v>0</v>
      </c>
      <c r="P6" s="40">
        <f t="shared" si="2"/>
        <v>700</v>
      </c>
      <c r="Q6" s="40">
        <f t="shared" si="2"/>
        <v>0</v>
      </c>
      <c r="R6" s="40">
        <f t="shared" si="2"/>
        <v>0</v>
      </c>
      <c r="S6" s="40">
        <f t="shared" si="2"/>
        <v>0</v>
      </c>
      <c r="T6" s="40">
        <f t="shared" si="3"/>
        <v>0</v>
      </c>
      <c r="U6" s="40">
        <f t="shared" si="4"/>
        <v>0</v>
      </c>
      <c r="V6" s="40">
        <f t="shared" si="5"/>
        <v>47501</v>
      </c>
      <c r="AG6" s="146"/>
    </row>
    <row r="7" spans="1:34">
      <c r="B7" s="43" t="s">
        <v>540</v>
      </c>
      <c r="C7" s="40" t="s">
        <v>617</v>
      </c>
      <c r="D7" s="40">
        <v>5</v>
      </c>
      <c r="E7" s="184">
        <v>160</v>
      </c>
      <c r="F7" s="40" t="s">
        <v>402</v>
      </c>
      <c r="G7" s="40"/>
      <c r="I7">
        <v>4</v>
      </c>
      <c r="J7" s="281">
        <f t="shared" si="0"/>
        <v>53324</v>
      </c>
      <c r="K7" s="282">
        <f t="shared" si="1"/>
        <v>0</v>
      </c>
      <c r="L7" s="40">
        <f t="shared" si="2"/>
        <v>0</v>
      </c>
      <c r="M7" s="40">
        <f t="shared" si="2"/>
        <v>0</v>
      </c>
      <c r="N7" s="40">
        <f t="shared" si="2"/>
        <v>0</v>
      </c>
      <c r="O7" s="40">
        <f t="shared" si="2"/>
        <v>0</v>
      </c>
      <c r="P7" s="40">
        <f t="shared" si="2"/>
        <v>0</v>
      </c>
      <c r="Q7" s="40">
        <f t="shared" si="2"/>
        <v>0</v>
      </c>
      <c r="R7" s="40">
        <f t="shared" si="2"/>
        <v>0</v>
      </c>
      <c r="S7" s="40">
        <f t="shared" si="2"/>
        <v>0</v>
      </c>
      <c r="T7" s="40">
        <f t="shared" si="3"/>
        <v>0</v>
      </c>
      <c r="U7" s="40">
        <f t="shared" si="4"/>
        <v>0</v>
      </c>
      <c r="V7" s="40">
        <f t="shared" si="5"/>
        <v>0</v>
      </c>
      <c r="X7" s="146"/>
      <c r="Y7" s="146"/>
      <c r="Z7" s="146"/>
      <c r="AA7" s="146"/>
      <c r="AB7" s="146"/>
      <c r="AC7" s="40"/>
    </row>
    <row r="8" spans="1:34">
      <c r="B8" s="43" t="s">
        <v>384</v>
      </c>
      <c r="C8" s="40" t="s">
        <v>618</v>
      </c>
      <c r="D8" s="40">
        <v>5</v>
      </c>
      <c r="E8" s="184">
        <v>140</v>
      </c>
      <c r="F8" s="40" t="s">
        <v>402</v>
      </c>
      <c r="G8" s="40"/>
      <c r="I8">
        <v>5</v>
      </c>
      <c r="J8" s="281">
        <f t="shared" si="0"/>
        <v>1500</v>
      </c>
      <c r="K8" s="282">
        <f t="shared" si="1"/>
        <v>1500</v>
      </c>
      <c r="L8" s="40">
        <f t="shared" si="2"/>
        <v>160</v>
      </c>
      <c r="M8" s="40">
        <f t="shared" si="2"/>
        <v>0</v>
      </c>
      <c r="N8" s="40">
        <f t="shared" si="2"/>
        <v>640</v>
      </c>
      <c r="O8" s="40">
        <f t="shared" si="2"/>
        <v>0</v>
      </c>
      <c r="P8" s="40">
        <f t="shared" si="2"/>
        <v>420</v>
      </c>
      <c r="Q8" s="40">
        <f t="shared" si="2"/>
        <v>280</v>
      </c>
      <c r="R8" s="40">
        <f t="shared" si="2"/>
        <v>0</v>
      </c>
      <c r="S8" s="40">
        <f t="shared" si="2"/>
        <v>0</v>
      </c>
      <c r="T8" s="40">
        <f t="shared" si="3"/>
        <v>0</v>
      </c>
      <c r="U8" s="40">
        <f t="shared" si="4"/>
        <v>0</v>
      </c>
      <c r="V8" s="40">
        <f t="shared" si="5"/>
        <v>0</v>
      </c>
      <c r="X8" s="146"/>
      <c r="Y8" s="146"/>
      <c r="Z8" s="146"/>
      <c r="AA8" s="146"/>
      <c r="AB8" s="146"/>
      <c r="AC8" s="146"/>
    </row>
    <row r="9" spans="1:34">
      <c r="B9" s="43" t="s">
        <v>384</v>
      </c>
      <c r="C9" s="40" t="s">
        <v>727</v>
      </c>
      <c r="D9" s="40">
        <v>5</v>
      </c>
      <c r="E9" s="184">
        <v>140</v>
      </c>
      <c r="F9" s="40" t="s">
        <v>402</v>
      </c>
      <c r="G9" s="40"/>
      <c r="I9">
        <v>6</v>
      </c>
      <c r="J9" s="281">
        <f t="shared" si="0"/>
        <v>0</v>
      </c>
      <c r="K9" s="282">
        <f t="shared" si="1"/>
        <v>0</v>
      </c>
      <c r="L9" s="40">
        <f t="shared" si="2"/>
        <v>0</v>
      </c>
      <c r="M9" s="40">
        <f t="shared" si="2"/>
        <v>0</v>
      </c>
      <c r="N9" s="40">
        <f t="shared" si="2"/>
        <v>0</v>
      </c>
      <c r="O9" s="40">
        <f t="shared" si="2"/>
        <v>0</v>
      </c>
      <c r="P9" s="40">
        <f t="shared" si="2"/>
        <v>0</v>
      </c>
      <c r="Q9" s="40">
        <f t="shared" si="2"/>
        <v>0</v>
      </c>
      <c r="R9" s="40">
        <f t="shared" si="2"/>
        <v>0</v>
      </c>
      <c r="S9" s="40">
        <f t="shared" si="2"/>
        <v>0</v>
      </c>
      <c r="T9" s="40">
        <f t="shared" si="3"/>
        <v>0</v>
      </c>
      <c r="U9" s="40">
        <f t="shared" si="4"/>
        <v>0</v>
      </c>
      <c r="V9" s="40">
        <f t="shared" si="5"/>
        <v>0</v>
      </c>
    </row>
    <row r="10" spans="1:34">
      <c r="B10" s="43" t="s">
        <v>726</v>
      </c>
      <c r="C10" s="40" t="s">
        <v>725</v>
      </c>
      <c r="D10" s="40">
        <v>5</v>
      </c>
      <c r="E10" s="184">
        <v>160</v>
      </c>
      <c r="F10" s="40" t="s">
        <v>402</v>
      </c>
      <c r="G10" s="40"/>
      <c r="I10">
        <v>7</v>
      </c>
      <c r="J10" s="281">
        <f t="shared" si="0"/>
        <v>0</v>
      </c>
      <c r="K10" s="282">
        <f t="shared" si="1"/>
        <v>0</v>
      </c>
      <c r="L10" s="40">
        <f t="shared" si="2"/>
        <v>0</v>
      </c>
      <c r="M10" s="40">
        <f t="shared" si="2"/>
        <v>0</v>
      </c>
      <c r="N10" s="40">
        <f t="shared" si="2"/>
        <v>0</v>
      </c>
      <c r="O10" s="40">
        <f t="shared" si="2"/>
        <v>0</v>
      </c>
      <c r="P10" s="40">
        <f t="shared" si="2"/>
        <v>0</v>
      </c>
      <c r="Q10" s="40">
        <f t="shared" si="2"/>
        <v>0</v>
      </c>
      <c r="R10" s="40">
        <f t="shared" si="2"/>
        <v>0</v>
      </c>
      <c r="S10" s="40">
        <f t="shared" si="2"/>
        <v>0</v>
      </c>
      <c r="T10" s="40">
        <f t="shared" si="3"/>
        <v>0</v>
      </c>
      <c r="U10" s="40">
        <f t="shared" si="4"/>
        <v>0</v>
      </c>
      <c r="V10" s="40">
        <f t="shared" si="5"/>
        <v>0</v>
      </c>
      <c r="AB10" s="146"/>
      <c r="AC10" s="146"/>
      <c r="AH10" s="146"/>
    </row>
    <row r="11" spans="1:34" s="146" customFormat="1">
      <c r="A11"/>
      <c r="B11" s="43" t="s">
        <v>384</v>
      </c>
      <c r="C11" s="40" t="s">
        <v>657</v>
      </c>
      <c r="D11" s="40">
        <v>5</v>
      </c>
      <c r="E11" s="184">
        <v>140</v>
      </c>
      <c r="F11" s="40" t="s">
        <v>402</v>
      </c>
      <c r="G11" s="40"/>
      <c r="I11">
        <v>8</v>
      </c>
      <c r="J11" s="281">
        <f t="shared" si="0"/>
        <v>0</v>
      </c>
      <c r="K11" s="282">
        <f t="shared" si="1"/>
        <v>0</v>
      </c>
      <c r="L11" s="40">
        <f t="shared" si="2"/>
        <v>0</v>
      </c>
      <c r="M11" s="40">
        <f t="shared" si="2"/>
        <v>0</v>
      </c>
      <c r="N11" s="40">
        <f t="shared" si="2"/>
        <v>0</v>
      </c>
      <c r="O11" s="40">
        <f t="shared" si="2"/>
        <v>0</v>
      </c>
      <c r="P11" s="40">
        <f t="shared" si="2"/>
        <v>0</v>
      </c>
      <c r="Q11" s="40">
        <f t="shared" si="2"/>
        <v>0</v>
      </c>
      <c r="R11" s="40">
        <f t="shared" si="2"/>
        <v>0</v>
      </c>
      <c r="S11" s="40">
        <f t="shared" si="2"/>
        <v>0</v>
      </c>
      <c r="T11" s="40">
        <f t="shared" si="3"/>
        <v>0</v>
      </c>
      <c r="U11" s="40">
        <f t="shared" si="4"/>
        <v>0</v>
      </c>
      <c r="V11" s="40">
        <f t="shared" si="5"/>
        <v>0</v>
      </c>
      <c r="X11"/>
      <c r="Y11" s="149"/>
      <c r="Z11"/>
      <c r="AA11"/>
      <c r="AB11"/>
      <c r="AC11"/>
      <c r="AD11"/>
      <c r="AE11"/>
      <c r="AF11"/>
      <c r="AG11"/>
      <c r="AH11"/>
    </row>
    <row r="12" spans="1:34">
      <c r="B12" s="43" t="s">
        <v>540</v>
      </c>
      <c r="C12" s="40" t="s">
        <v>657</v>
      </c>
      <c r="D12" s="40">
        <v>5</v>
      </c>
      <c r="E12" s="184">
        <v>160</v>
      </c>
      <c r="F12" s="40" t="s">
        <v>402</v>
      </c>
      <c r="G12" s="40"/>
      <c r="I12">
        <v>9</v>
      </c>
      <c r="J12" s="281">
        <f t="shared" si="0"/>
        <v>0</v>
      </c>
      <c r="K12" s="282">
        <f t="shared" si="1"/>
        <v>0</v>
      </c>
      <c r="L12" s="40">
        <f t="shared" si="2"/>
        <v>0</v>
      </c>
      <c r="M12" s="40">
        <f t="shared" si="2"/>
        <v>0</v>
      </c>
      <c r="N12" s="40">
        <f t="shared" si="2"/>
        <v>0</v>
      </c>
      <c r="O12" s="40">
        <f t="shared" si="2"/>
        <v>0</v>
      </c>
      <c r="P12" s="40">
        <f t="shared" si="2"/>
        <v>0</v>
      </c>
      <c r="Q12" s="40">
        <f t="shared" si="2"/>
        <v>0</v>
      </c>
      <c r="R12" s="40">
        <f t="shared" si="2"/>
        <v>0</v>
      </c>
      <c r="S12" s="40">
        <f t="shared" si="2"/>
        <v>0</v>
      </c>
      <c r="T12" s="40">
        <f t="shared" si="3"/>
        <v>0</v>
      </c>
      <c r="U12" s="40">
        <f t="shared" si="4"/>
        <v>0</v>
      </c>
      <c r="V12" s="40">
        <f t="shared" si="5"/>
        <v>0</v>
      </c>
    </row>
    <row r="13" spans="1:34">
      <c r="B13" s="43" t="s">
        <v>340</v>
      </c>
      <c r="C13" s="40" t="s">
        <v>571</v>
      </c>
      <c r="D13" s="40">
        <v>2</v>
      </c>
      <c r="E13" s="184">
        <v>39317</v>
      </c>
      <c r="F13" s="40" t="s">
        <v>402</v>
      </c>
      <c r="G13" s="40" t="s">
        <v>20</v>
      </c>
      <c r="I13">
        <v>10</v>
      </c>
      <c r="J13" s="281">
        <f t="shared" si="0"/>
        <v>0</v>
      </c>
      <c r="K13" s="282">
        <f t="shared" si="1"/>
        <v>0</v>
      </c>
      <c r="L13" s="40">
        <f t="shared" si="2"/>
        <v>0</v>
      </c>
      <c r="M13" s="40">
        <f t="shared" si="2"/>
        <v>0</v>
      </c>
      <c r="N13" s="40">
        <f t="shared" si="2"/>
        <v>0</v>
      </c>
      <c r="O13" s="40">
        <f t="shared" si="2"/>
        <v>0</v>
      </c>
      <c r="P13" s="40">
        <f t="shared" si="2"/>
        <v>0</v>
      </c>
      <c r="Q13" s="40">
        <f t="shared" si="2"/>
        <v>0</v>
      </c>
      <c r="R13" s="40">
        <f t="shared" si="2"/>
        <v>0</v>
      </c>
      <c r="S13" s="40">
        <f t="shared" si="2"/>
        <v>0</v>
      </c>
      <c r="T13" s="40">
        <f t="shared" si="3"/>
        <v>0</v>
      </c>
      <c r="U13" s="40">
        <f t="shared" si="4"/>
        <v>0</v>
      </c>
      <c r="V13" s="40">
        <f t="shared" si="5"/>
        <v>0</v>
      </c>
    </row>
    <row r="14" spans="1:34">
      <c r="B14" s="43" t="s">
        <v>384</v>
      </c>
      <c r="C14" s="40" t="s">
        <v>515</v>
      </c>
      <c r="D14" s="40">
        <v>3</v>
      </c>
      <c r="E14" s="184">
        <v>140</v>
      </c>
      <c r="F14" s="40" t="s">
        <v>376</v>
      </c>
      <c r="G14" s="40" t="s">
        <v>537</v>
      </c>
      <c r="I14">
        <v>11</v>
      </c>
      <c r="J14" s="281">
        <f t="shared" si="0"/>
        <v>0</v>
      </c>
      <c r="K14" s="282">
        <f t="shared" si="1"/>
        <v>0</v>
      </c>
      <c r="L14" s="40">
        <f t="shared" si="2"/>
        <v>0</v>
      </c>
      <c r="M14" s="40">
        <f t="shared" si="2"/>
        <v>0</v>
      </c>
      <c r="N14" s="40">
        <f t="shared" si="2"/>
        <v>0</v>
      </c>
      <c r="O14" s="40">
        <f t="shared" si="2"/>
        <v>0</v>
      </c>
      <c r="P14" s="40">
        <f t="shared" si="2"/>
        <v>0</v>
      </c>
      <c r="Q14" s="40">
        <f t="shared" si="2"/>
        <v>0</v>
      </c>
      <c r="R14" s="40">
        <f t="shared" si="2"/>
        <v>0</v>
      </c>
      <c r="S14" s="40">
        <f t="shared" si="2"/>
        <v>0</v>
      </c>
      <c r="T14" s="40">
        <f>SUMIFS($E:$E,$D:$D,$I14,$B:$B,"אריאל דביר")</f>
        <v>0</v>
      </c>
      <c r="U14" s="40">
        <f t="shared" si="4"/>
        <v>0</v>
      </c>
      <c r="V14" s="40">
        <f t="shared" si="5"/>
        <v>0</v>
      </c>
      <c r="X14" s="40"/>
      <c r="Y14" s="43"/>
      <c r="Z14" s="40"/>
      <c r="AA14" s="40"/>
      <c r="AB14" s="40"/>
      <c r="AC14" s="40"/>
      <c r="AD14" s="40"/>
    </row>
    <row r="15" spans="1:34">
      <c r="B15" s="43" t="s">
        <v>384</v>
      </c>
      <c r="C15" s="40" t="s">
        <v>580</v>
      </c>
      <c r="D15" s="40">
        <v>3</v>
      </c>
      <c r="E15" s="184">
        <v>280</v>
      </c>
      <c r="F15" s="40" t="s">
        <v>376</v>
      </c>
      <c r="G15" s="40" t="s">
        <v>537</v>
      </c>
      <c r="I15">
        <v>12</v>
      </c>
      <c r="J15" s="281">
        <f t="shared" si="0"/>
        <v>0</v>
      </c>
      <c r="K15" s="282">
        <f t="shared" si="1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>SUMIFS($E:$E,$D:$D,$I15,$B:$B,"אליאב")</f>
        <v>0</v>
      </c>
      <c r="U15" s="40">
        <f t="shared" si="4"/>
        <v>0</v>
      </c>
      <c r="V15" s="40">
        <f t="shared" si="5"/>
        <v>0</v>
      </c>
      <c r="X15" s="40"/>
      <c r="Y15" s="43"/>
      <c r="Z15" s="40"/>
      <c r="AA15" s="40"/>
      <c r="AB15" s="40"/>
      <c r="AC15" s="40"/>
      <c r="AD15" s="40"/>
    </row>
    <row r="16" spans="1:34">
      <c r="B16" s="43" t="s">
        <v>384</v>
      </c>
      <c r="C16" s="40" t="s">
        <v>616</v>
      </c>
      <c r="D16" s="40">
        <v>3</v>
      </c>
      <c r="E16" s="184">
        <v>140</v>
      </c>
      <c r="F16" s="40" t="s">
        <v>376</v>
      </c>
      <c r="G16" s="40" t="s">
        <v>537</v>
      </c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X16" s="40"/>
      <c r="Y16" s="43"/>
      <c r="Z16" s="40"/>
      <c r="AA16" s="40"/>
      <c r="AB16" s="40"/>
      <c r="AC16" s="40"/>
      <c r="AD16" s="40"/>
    </row>
    <row r="17" spans="1:32" ht="13.5" thickBot="1">
      <c r="B17" s="43" t="s">
        <v>384</v>
      </c>
      <c r="C17" s="40" t="s">
        <v>617</v>
      </c>
      <c r="D17" s="40">
        <v>3</v>
      </c>
      <c r="E17" s="184">
        <v>140</v>
      </c>
      <c r="F17" s="40" t="s">
        <v>376</v>
      </c>
      <c r="G17" s="40" t="s">
        <v>537</v>
      </c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X17" s="40"/>
      <c r="Y17" s="43"/>
      <c r="Z17" s="40"/>
      <c r="AA17" s="40"/>
      <c r="AB17" s="40"/>
      <c r="AC17" s="40"/>
      <c r="AD17" s="40"/>
    </row>
    <row r="18" spans="1:32" ht="13.5" thickBot="1">
      <c r="B18" s="43" t="s">
        <v>381</v>
      </c>
      <c r="C18" s="40" t="s">
        <v>512</v>
      </c>
      <c r="D18" s="40">
        <v>1</v>
      </c>
      <c r="E18" s="184">
        <v>140</v>
      </c>
      <c r="F18" s="40" t="s">
        <v>376</v>
      </c>
      <c r="G18" s="40" t="s">
        <v>537</v>
      </c>
      <c r="I18" s="280" t="s">
        <v>190</v>
      </c>
      <c r="J18" s="280" t="s">
        <v>49</v>
      </c>
      <c r="K18" s="280" t="s">
        <v>318</v>
      </c>
      <c r="L18" s="280" t="s">
        <v>319</v>
      </c>
      <c r="M18" s="280" t="s">
        <v>241</v>
      </c>
      <c r="X18" s="40"/>
      <c r="Y18" s="43"/>
      <c r="Z18" s="40"/>
      <c r="AA18" s="40"/>
      <c r="AB18" s="40"/>
      <c r="AC18" s="40"/>
      <c r="AD18" s="40"/>
    </row>
    <row r="19" spans="1:32">
      <c r="B19" s="43" t="s">
        <v>538</v>
      </c>
      <c r="C19" s="40" t="s">
        <v>539</v>
      </c>
      <c r="D19" s="40">
        <v>1</v>
      </c>
      <c r="E19" s="184">
        <v>160</v>
      </c>
      <c r="F19" s="40" t="s">
        <v>376</v>
      </c>
      <c r="G19" s="40" t="s">
        <v>537</v>
      </c>
      <c r="I19" s="40">
        <v>1</v>
      </c>
      <c r="J19" s="40">
        <f ca="1">SUMIF((INDIRECT("'"&amp;$I19&amp;"'!"&amp;"I:I")),"עסק",(INDIRECT("'"&amp;$I19&amp;"'!"&amp;"G:G")))</f>
        <v>47408.57</v>
      </c>
      <c r="K19" s="40">
        <f t="shared" ref="K19:K30" si="6">SUMIFS(E:E,D:D,$I19,F:F,"כן")</f>
        <v>49846</v>
      </c>
      <c r="L19" s="40">
        <f t="shared" ref="L19:L30" si="7">SUMIFS(AA:AA,Z:Z,$I19,AB:AB,"כן")</f>
        <v>0</v>
      </c>
      <c r="M19" s="40">
        <f ca="1">L19+K19-J19</f>
        <v>2437.4300000000003</v>
      </c>
      <c r="N19" s="152"/>
      <c r="X19" s="40"/>
      <c r="Y19" s="43"/>
      <c r="Z19" s="40"/>
      <c r="AA19" s="40"/>
      <c r="AB19" s="40"/>
      <c r="AC19" s="40"/>
      <c r="AD19" s="40"/>
    </row>
    <row r="20" spans="1:32">
      <c r="B20" s="43" t="s">
        <v>538</v>
      </c>
      <c r="C20" s="40" t="s">
        <v>549</v>
      </c>
      <c r="D20" s="40">
        <v>1</v>
      </c>
      <c r="E20" s="184">
        <v>160</v>
      </c>
      <c r="F20" s="40" t="s">
        <v>376</v>
      </c>
      <c r="G20" s="40" t="s">
        <v>537</v>
      </c>
      <c r="I20" s="40">
        <v>2</v>
      </c>
      <c r="J20" s="40">
        <f t="shared" ref="J20:J30" ca="1" si="8">SUMIF((INDIRECT("'"&amp;$I20&amp;"'!"&amp;"I:I")),"עסק",(INDIRECT("'"&amp;$I20&amp;"'!"&amp;"G:G")))</f>
        <v>27236.57</v>
      </c>
      <c r="K20" s="40">
        <f t="shared" si="6"/>
        <v>0</v>
      </c>
      <c r="L20" s="40">
        <f t="shared" si="7"/>
        <v>794</v>
      </c>
      <c r="M20" s="40">
        <f t="shared" ref="M20:M30" ca="1" si="9">L20+K20-J20</f>
        <v>-26442.57</v>
      </c>
      <c r="N20" s="152"/>
      <c r="X20" s="40"/>
      <c r="Y20" s="43"/>
      <c r="Z20" s="40"/>
      <c r="AA20" s="40"/>
      <c r="AB20" s="40"/>
      <c r="AC20" s="40"/>
      <c r="AD20" s="40"/>
      <c r="AE20" s="40"/>
    </row>
    <row r="21" spans="1:32">
      <c r="A21" s="146"/>
      <c r="B21" s="43" t="s">
        <v>538</v>
      </c>
      <c r="C21" s="40" t="s">
        <v>550</v>
      </c>
      <c r="D21" s="40">
        <v>1</v>
      </c>
      <c r="E21" s="184">
        <v>160</v>
      </c>
      <c r="F21" s="40" t="s">
        <v>376</v>
      </c>
      <c r="G21" s="40" t="s">
        <v>537</v>
      </c>
      <c r="I21" s="40">
        <v>3</v>
      </c>
      <c r="J21" s="40">
        <f t="shared" ca="1" si="8"/>
        <v>41233.57</v>
      </c>
      <c r="K21" s="40">
        <f t="shared" si="6"/>
        <v>48201</v>
      </c>
      <c r="L21" s="40">
        <f t="shared" si="7"/>
        <v>460</v>
      </c>
      <c r="M21" s="40">
        <f t="shared" ca="1" si="9"/>
        <v>7427.43</v>
      </c>
      <c r="N21" s="152"/>
      <c r="X21" s="40"/>
      <c r="Y21" s="43"/>
      <c r="Z21" s="40"/>
      <c r="AA21" s="40"/>
      <c r="AB21" s="40"/>
      <c r="AC21" s="40"/>
      <c r="AD21" s="40"/>
      <c r="AE21" s="40"/>
    </row>
    <row r="22" spans="1:32">
      <c r="B22" s="43" t="s">
        <v>538</v>
      </c>
      <c r="C22" s="40" t="s">
        <v>551</v>
      </c>
      <c r="D22" s="40">
        <v>1</v>
      </c>
      <c r="E22" s="184">
        <v>160</v>
      </c>
      <c r="F22" s="40" t="s">
        <v>376</v>
      </c>
      <c r="G22" s="40" t="s">
        <v>537</v>
      </c>
      <c r="I22" s="40">
        <v>4</v>
      </c>
      <c r="J22" s="40">
        <f t="shared" ca="1" si="8"/>
        <v>27271.61</v>
      </c>
      <c r="K22" s="40">
        <f t="shared" si="6"/>
        <v>53324</v>
      </c>
      <c r="L22" s="40">
        <f t="shared" si="7"/>
        <v>0</v>
      </c>
      <c r="M22" s="40">
        <f t="shared" ca="1" si="9"/>
        <v>26052.39</v>
      </c>
      <c r="N22" s="152"/>
      <c r="X22" s="40"/>
      <c r="Y22" s="43"/>
      <c r="Z22" s="40"/>
      <c r="AA22" s="40"/>
      <c r="AB22" s="40"/>
      <c r="AC22" s="40"/>
      <c r="AD22" s="40"/>
    </row>
    <row r="23" spans="1:32">
      <c r="B23" s="43" t="s">
        <v>394</v>
      </c>
      <c r="C23" s="40" t="s">
        <v>430</v>
      </c>
      <c r="D23" s="40">
        <v>1</v>
      </c>
      <c r="E23" s="184">
        <v>140</v>
      </c>
      <c r="F23" s="40" t="s">
        <v>376</v>
      </c>
      <c r="G23" s="40" t="s">
        <v>537</v>
      </c>
      <c r="I23" s="40">
        <v>5</v>
      </c>
      <c r="J23" s="40">
        <f t="shared" ca="1" si="8"/>
        <v>50745.770000000004</v>
      </c>
      <c r="K23" s="40">
        <f t="shared" si="6"/>
        <v>0</v>
      </c>
      <c r="L23" s="40">
        <f t="shared" si="7"/>
        <v>0</v>
      </c>
      <c r="M23" s="40">
        <f t="shared" ca="1" si="9"/>
        <v>-50745.770000000004</v>
      </c>
      <c r="N23" s="152"/>
      <c r="X23" s="40"/>
      <c r="Y23" s="43"/>
      <c r="AA23" s="40"/>
      <c r="AB23" s="40"/>
      <c r="AC23" s="40"/>
      <c r="AD23" s="40"/>
    </row>
    <row r="24" spans="1:32">
      <c r="B24" s="43" t="s">
        <v>394</v>
      </c>
      <c r="C24" s="40" t="s">
        <v>509</v>
      </c>
      <c r="D24" s="40">
        <v>1</v>
      </c>
      <c r="E24" s="184">
        <v>140</v>
      </c>
      <c r="F24" s="40" t="s">
        <v>376</v>
      </c>
      <c r="G24" s="40" t="s">
        <v>537</v>
      </c>
      <c r="I24" s="40">
        <v>6</v>
      </c>
      <c r="J24" s="40">
        <f t="shared" ca="1" si="8"/>
        <v>35745.770000000004</v>
      </c>
      <c r="K24" s="40">
        <f t="shared" si="6"/>
        <v>0</v>
      </c>
      <c r="L24" s="40">
        <f t="shared" si="7"/>
        <v>0</v>
      </c>
      <c r="M24" s="40">
        <f t="shared" ca="1" si="9"/>
        <v>-35745.770000000004</v>
      </c>
      <c r="N24" s="152"/>
      <c r="X24" s="40"/>
      <c r="Y24" s="43"/>
      <c r="AA24" s="40"/>
      <c r="AB24" s="40"/>
      <c r="AC24" s="40"/>
      <c r="AD24" s="40"/>
    </row>
    <row r="25" spans="1:32">
      <c r="B25" s="43" t="s">
        <v>439</v>
      </c>
      <c r="C25" s="40" t="s">
        <v>511</v>
      </c>
      <c r="D25" s="40">
        <v>1</v>
      </c>
      <c r="E25" s="184">
        <v>160</v>
      </c>
      <c r="F25" s="40" t="s">
        <v>376</v>
      </c>
      <c r="G25" s="40" t="s">
        <v>537</v>
      </c>
      <c r="I25" s="40">
        <v>7</v>
      </c>
      <c r="J25" s="40">
        <f t="shared" ca="1" si="8"/>
        <v>50745.770000000004</v>
      </c>
      <c r="K25" s="40">
        <f t="shared" si="6"/>
        <v>0</v>
      </c>
      <c r="L25" s="40">
        <f t="shared" si="7"/>
        <v>0</v>
      </c>
      <c r="M25" s="40">
        <f t="shared" ca="1" si="9"/>
        <v>-50745.770000000004</v>
      </c>
      <c r="N25" s="152"/>
      <c r="X25" s="40"/>
      <c r="Y25" s="43"/>
      <c r="AA25" s="40"/>
      <c r="AB25" s="40"/>
      <c r="AC25" s="40"/>
      <c r="AD25" s="40"/>
    </row>
    <row r="26" spans="1:32">
      <c r="B26" s="43" t="s">
        <v>403</v>
      </c>
      <c r="C26" s="40" t="s">
        <v>514</v>
      </c>
      <c r="D26" s="40">
        <v>1</v>
      </c>
      <c r="E26" s="184">
        <v>140</v>
      </c>
      <c r="F26" s="40" t="s">
        <v>376</v>
      </c>
      <c r="G26" s="40" t="s">
        <v>537</v>
      </c>
      <c r="I26" s="40">
        <v>8</v>
      </c>
      <c r="J26" s="40">
        <f t="shared" ca="1" si="8"/>
        <v>35745.770000000004</v>
      </c>
      <c r="K26" s="40">
        <f t="shared" si="6"/>
        <v>0</v>
      </c>
      <c r="L26" s="40">
        <f t="shared" si="7"/>
        <v>0</v>
      </c>
      <c r="M26" s="40">
        <f t="shared" ca="1" si="9"/>
        <v>-35745.770000000004</v>
      </c>
      <c r="N26" s="152"/>
      <c r="X26" s="40" t="s">
        <v>385</v>
      </c>
      <c r="Y26" s="43" t="s">
        <v>401</v>
      </c>
      <c r="AA26" s="40">
        <v>300</v>
      </c>
      <c r="AB26" s="40" t="s">
        <v>376</v>
      </c>
      <c r="AC26" s="40" t="s">
        <v>20</v>
      </c>
      <c r="AD26" s="40">
        <v>204</v>
      </c>
    </row>
    <row r="27" spans="1:32">
      <c r="B27" s="43" t="s">
        <v>403</v>
      </c>
      <c r="C27" s="40" t="s">
        <v>516</v>
      </c>
      <c r="D27" s="40">
        <v>1</v>
      </c>
      <c r="E27" s="184">
        <v>140</v>
      </c>
      <c r="F27" s="40" t="s">
        <v>376</v>
      </c>
      <c r="G27" s="40" t="s">
        <v>537</v>
      </c>
      <c r="I27" s="40">
        <v>9</v>
      </c>
      <c r="J27" s="40">
        <f t="shared" ca="1" si="8"/>
        <v>50745.770000000004</v>
      </c>
      <c r="K27" s="40">
        <f t="shared" si="6"/>
        <v>0</v>
      </c>
      <c r="L27" s="40">
        <f t="shared" si="7"/>
        <v>0</v>
      </c>
      <c r="M27" s="40">
        <f t="shared" ca="1" si="9"/>
        <v>-50745.770000000004</v>
      </c>
      <c r="N27" s="152"/>
      <c r="X27" s="40" t="s">
        <v>385</v>
      </c>
      <c r="Y27" s="43"/>
      <c r="Z27" s="40"/>
      <c r="AA27" s="40"/>
      <c r="AB27" s="40"/>
      <c r="AC27" s="40"/>
      <c r="AD27" s="40"/>
    </row>
    <row r="28" spans="1:32">
      <c r="B28" s="43" t="s">
        <v>439</v>
      </c>
      <c r="C28" s="40" t="s">
        <v>512</v>
      </c>
      <c r="D28" s="40">
        <v>1</v>
      </c>
      <c r="E28" s="184">
        <v>160</v>
      </c>
      <c r="F28" s="40" t="s">
        <v>376</v>
      </c>
      <c r="G28" s="40" t="s">
        <v>537</v>
      </c>
      <c r="I28" s="40">
        <v>10</v>
      </c>
      <c r="J28" s="40">
        <f t="shared" ca="1" si="8"/>
        <v>35745.770000000004</v>
      </c>
      <c r="K28" s="40">
        <f t="shared" si="6"/>
        <v>0</v>
      </c>
      <c r="L28" s="40">
        <f t="shared" si="7"/>
        <v>0</v>
      </c>
      <c r="M28" s="40">
        <f t="shared" ca="1" si="9"/>
        <v>-35745.770000000004</v>
      </c>
      <c r="N28" s="152"/>
      <c r="X28" s="40"/>
      <c r="Y28" s="43"/>
      <c r="Z28" s="40"/>
      <c r="AA28" s="40"/>
      <c r="AB28" s="40"/>
      <c r="AC28" s="40"/>
      <c r="AD28" s="40"/>
    </row>
    <row r="29" spans="1:32">
      <c r="B29" s="43" t="s">
        <v>403</v>
      </c>
      <c r="C29" s="40" t="s">
        <v>512</v>
      </c>
      <c r="D29" s="40">
        <v>1</v>
      </c>
      <c r="E29" s="184">
        <v>140</v>
      </c>
      <c r="F29" s="40" t="s">
        <v>376</v>
      </c>
      <c r="G29" s="40" t="s">
        <v>537</v>
      </c>
      <c r="I29" s="40">
        <v>11</v>
      </c>
      <c r="J29" s="40">
        <f t="shared" ca="1" si="8"/>
        <v>50745.770000000004</v>
      </c>
      <c r="K29" s="40">
        <f t="shared" si="6"/>
        <v>0</v>
      </c>
      <c r="L29" s="40">
        <f t="shared" si="7"/>
        <v>0</v>
      </c>
      <c r="M29" s="40">
        <f t="shared" ca="1" si="9"/>
        <v>-50745.770000000004</v>
      </c>
      <c r="N29" s="152"/>
      <c r="X29" s="40"/>
      <c r="Y29" s="43"/>
      <c r="Z29" s="40"/>
      <c r="AA29" s="40"/>
      <c r="AB29" s="40"/>
      <c r="AC29" s="40"/>
      <c r="AD29" s="40"/>
      <c r="AE29" s="40"/>
      <c r="AF29" s="40"/>
    </row>
    <row r="30" spans="1:32">
      <c r="B30" s="43" t="s">
        <v>439</v>
      </c>
      <c r="C30" s="40" t="s">
        <v>513</v>
      </c>
      <c r="D30" s="40">
        <v>1</v>
      </c>
      <c r="E30" s="184">
        <v>160</v>
      </c>
      <c r="F30" s="40" t="s">
        <v>376</v>
      </c>
      <c r="G30" s="40" t="s">
        <v>537</v>
      </c>
      <c r="I30" s="40">
        <v>12</v>
      </c>
      <c r="J30" s="40">
        <f t="shared" ca="1" si="8"/>
        <v>36945.770000000004</v>
      </c>
      <c r="K30" s="40">
        <f t="shared" si="6"/>
        <v>0</v>
      </c>
      <c r="L30" s="40">
        <f t="shared" si="7"/>
        <v>0</v>
      </c>
      <c r="M30" s="40">
        <f t="shared" ca="1" si="9"/>
        <v>-36945.770000000004</v>
      </c>
      <c r="N30" s="152"/>
      <c r="X30" s="40"/>
      <c r="Y30" s="43"/>
      <c r="Z30" s="40"/>
      <c r="AA30" s="40"/>
      <c r="AB30" s="40"/>
      <c r="AC30" s="40"/>
    </row>
    <row r="31" spans="1:32" ht="13.5" thickBot="1">
      <c r="B31" s="43" t="s">
        <v>403</v>
      </c>
      <c r="C31" s="40" t="s">
        <v>515</v>
      </c>
      <c r="D31" s="40">
        <v>1</v>
      </c>
      <c r="E31" s="184">
        <v>100</v>
      </c>
      <c r="F31" s="40" t="s">
        <v>376</v>
      </c>
      <c r="G31" s="40" t="s">
        <v>537</v>
      </c>
      <c r="I31" s="152"/>
      <c r="J31" s="152"/>
      <c r="K31" s="152"/>
      <c r="L31" s="152"/>
      <c r="M31" s="152"/>
      <c r="N31" s="152"/>
      <c r="X31" s="40"/>
      <c r="Y31" s="43"/>
      <c r="Z31" s="40"/>
      <c r="AA31" s="40"/>
      <c r="AB31" s="40"/>
      <c r="AC31" s="40"/>
      <c r="AD31" s="40"/>
    </row>
    <row r="32" spans="1:32" ht="13.5" thickBot="1">
      <c r="B32" s="43" t="s">
        <v>439</v>
      </c>
      <c r="C32" s="40" t="s">
        <v>515</v>
      </c>
      <c r="D32" s="40">
        <v>1</v>
      </c>
      <c r="E32" s="184">
        <v>160</v>
      </c>
      <c r="F32" s="40" t="s">
        <v>376</v>
      </c>
      <c r="G32" s="40" t="s">
        <v>537</v>
      </c>
      <c r="I32" s="152"/>
      <c r="J32" s="280" t="s">
        <v>320</v>
      </c>
      <c r="K32" s="280">
        <f>SUMIFS(E:E,F:F,"לא")</f>
        <v>40817</v>
      </c>
      <c r="L32" s="280">
        <f>SUMIFS(AA:AA,AB:AB,"לא")</f>
        <v>0</v>
      </c>
      <c r="M32" s="152"/>
      <c r="N32" s="152"/>
      <c r="X32" s="40"/>
      <c r="Y32" s="43"/>
      <c r="Z32" s="40"/>
      <c r="AA32" s="40"/>
      <c r="AB32" s="40"/>
      <c r="AC32" s="40"/>
      <c r="AD32" s="40"/>
    </row>
    <row r="33" spans="2:34">
      <c r="B33" s="43" t="s">
        <v>384</v>
      </c>
      <c r="C33" s="40" t="s">
        <v>440</v>
      </c>
      <c r="D33" s="40">
        <v>1</v>
      </c>
      <c r="E33" s="184">
        <v>140</v>
      </c>
      <c r="F33" s="40" t="s">
        <v>376</v>
      </c>
      <c r="G33" s="40" t="s">
        <v>537</v>
      </c>
      <c r="X33" s="40"/>
      <c r="Y33" s="43"/>
      <c r="Z33" s="40"/>
      <c r="AA33" s="40"/>
      <c r="AB33" s="40"/>
      <c r="AC33" s="40"/>
      <c r="AD33" s="40"/>
    </row>
    <row r="34" spans="2:34">
      <c r="B34" s="43" t="s">
        <v>384</v>
      </c>
      <c r="C34" s="40" t="s">
        <v>509</v>
      </c>
      <c r="D34" s="40">
        <v>1</v>
      </c>
      <c r="E34" s="184">
        <v>140</v>
      </c>
      <c r="F34" s="40" t="s">
        <v>376</v>
      </c>
      <c r="G34" s="40" t="s">
        <v>537</v>
      </c>
      <c r="X34" s="40"/>
      <c r="Y34" s="43"/>
      <c r="Z34" s="40"/>
      <c r="AA34" s="40"/>
      <c r="AB34" s="40"/>
      <c r="AC34" s="40"/>
      <c r="AD34" s="40"/>
      <c r="AH34" s="146"/>
    </row>
    <row r="35" spans="2:34">
      <c r="B35" s="43" t="s">
        <v>384</v>
      </c>
      <c r="C35" s="40" t="s">
        <v>510</v>
      </c>
      <c r="D35" s="40">
        <v>1</v>
      </c>
      <c r="E35" s="184">
        <v>140</v>
      </c>
      <c r="F35" s="40" t="s">
        <v>376</v>
      </c>
      <c r="G35" s="40" t="s">
        <v>537</v>
      </c>
      <c r="AB35" s="40"/>
      <c r="AC35" s="40"/>
      <c r="AD35" s="40"/>
    </row>
    <row r="36" spans="2:34">
      <c r="B36" s="43" t="s">
        <v>384</v>
      </c>
      <c r="C36" s="40" t="s">
        <v>514</v>
      </c>
      <c r="D36" s="40">
        <v>1</v>
      </c>
      <c r="E36" s="184">
        <v>140</v>
      </c>
      <c r="F36" s="40" t="s">
        <v>376</v>
      </c>
      <c r="G36" s="40" t="s">
        <v>537</v>
      </c>
      <c r="AB36" s="40"/>
      <c r="AC36" s="40"/>
      <c r="AD36" s="40"/>
    </row>
    <row r="37" spans="2:34">
      <c r="B37" s="43" t="s">
        <v>384</v>
      </c>
      <c r="C37" s="40" t="s">
        <v>512</v>
      </c>
      <c r="D37" s="40">
        <v>1</v>
      </c>
      <c r="E37" s="184">
        <v>140</v>
      </c>
      <c r="F37" s="40" t="s">
        <v>376</v>
      </c>
      <c r="G37" s="40" t="s">
        <v>537</v>
      </c>
      <c r="X37" s="40"/>
      <c r="Y37" s="43"/>
      <c r="Z37" s="40"/>
      <c r="AA37" s="40"/>
      <c r="AB37" s="40"/>
      <c r="AC37" s="40"/>
      <c r="AD37" s="40"/>
    </row>
    <row r="38" spans="2:34">
      <c r="B38" s="43" t="s">
        <v>340</v>
      </c>
      <c r="C38" s="40" t="s">
        <v>512</v>
      </c>
      <c r="D38" s="40">
        <v>1</v>
      </c>
      <c r="E38" s="184">
        <v>46926</v>
      </c>
      <c r="F38" s="40" t="s">
        <v>376</v>
      </c>
      <c r="G38" s="40" t="s">
        <v>20</v>
      </c>
      <c r="X38" s="40"/>
      <c r="Y38" s="43"/>
      <c r="Z38" s="40"/>
      <c r="AA38" s="40"/>
      <c r="AB38" s="40"/>
      <c r="AC38" s="40"/>
      <c r="AD38" s="40"/>
    </row>
    <row r="39" spans="2:34">
      <c r="B39" s="43" t="s">
        <v>340</v>
      </c>
      <c r="C39" s="40" t="s">
        <v>619</v>
      </c>
      <c r="D39" s="40">
        <v>3</v>
      </c>
      <c r="E39" s="184">
        <v>47501</v>
      </c>
      <c r="F39" s="40" t="s">
        <v>376</v>
      </c>
      <c r="G39" s="40" t="s">
        <v>20</v>
      </c>
      <c r="X39" s="40"/>
      <c r="Y39" s="43"/>
      <c r="Z39" s="40"/>
      <c r="AA39" s="40"/>
      <c r="AB39" s="40"/>
      <c r="AC39" s="40"/>
      <c r="AD39" s="40"/>
    </row>
    <row r="40" spans="2:34">
      <c r="B40" s="43"/>
      <c r="C40" s="40" t="s">
        <v>652</v>
      </c>
      <c r="D40" s="40">
        <v>4</v>
      </c>
      <c r="E40" s="184">
        <v>53324</v>
      </c>
      <c r="F40" s="40" t="s">
        <v>376</v>
      </c>
      <c r="G40" s="40" t="s">
        <v>20</v>
      </c>
      <c r="X40" s="40"/>
      <c r="Y40" s="43"/>
      <c r="Z40" s="40"/>
      <c r="AA40" s="40"/>
      <c r="AB40" s="40"/>
      <c r="AC40" s="40"/>
    </row>
    <row r="41" spans="2:34">
      <c r="B41" s="43"/>
      <c r="C41" s="40"/>
      <c r="D41" s="40"/>
      <c r="E41" s="184"/>
      <c r="F41" s="40"/>
      <c r="G41" s="40"/>
      <c r="X41" s="40"/>
      <c r="Y41" s="43"/>
      <c r="Z41" s="40"/>
      <c r="AA41" s="40"/>
      <c r="AB41" s="40"/>
      <c r="AC41" s="40"/>
    </row>
    <row r="42" spans="2:34">
      <c r="B42" s="43"/>
      <c r="C42" s="40"/>
      <c r="D42" s="40"/>
      <c r="E42" s="184"/>
      <c r="F42" s="40"/>
      <c r="G42" s="40"/>
      <c r="X42" s="40"/>
      <c r="Y42" s="43"/>
      <c r="Z42" s="40"/>
      <c r="AA42" s="40"/>
      <c r="AB42" s="40"/>
      <c r="AC42" s="40"/>
    </row>
    <row r="43" spans="2:34">
      <c r="B43" s="43"/>
      <c r="C43" s="40"/>
      <c r="D43" s="40"/>
      <c r="E43" s="184"/>
      <c r="F43" s="40"/>
      <c r="G43" s="40"/>
      <c r="X43" s="40"/>
      <c r="Y43" s="43"/>
      <c r="Z43" s="40"/>
      <c r="AA43" s="40"/>
      <c r="AB43" s="40"/>
      <c r="AC43" s="40"/>
    </row>
    <row r="44" spans="2:34">
      <c r="B44" s="43"/>
      <c r="C44" s="40"/>
      <c r="D44" s="40"/>
      <c r="E44" s="184"/>
      <c r="F44" s="40"/>
      <c r="G44" s="40"/>
      <c r="X44" s="40"/>
      <c r="Y44" s="43"/>
      <c r="Z44" s="40"/>
      <c r="AA44" s="40"/>
      <c r="AB44" s="40"/>
      <c r="AC44" s="40"/>
    </row>
    <row r="45" spans="2:34">
      <c r="B45" s="43"/>
      <c r="C45" s="40"/>
      <c r="D45" s="40"/>
      <c r="E45" s="184"/>
      <c r="F45" s="40"/>
      <c r="G45" s="40"/>
      <c r="X45" s="40"/>
      <c r="Y45" s="43"/>
      <c r="Z45" s="40"/>
      <c r="AA45" s="40"/>
      <c r="AB45" s="40"/>
      <c r="AC45" s="40"/>
    </row>
    <row r="46" spans="2:34">
      <c r="B46" s="43"/>
      <c r="C46" s="40"/>
      <c r="D46" s="40"/>
      <c r="E46" s="184"/>
      <c r="F46" s="40"/>
      <c r="G46" s="40"/>
      <c r="X46" s="40"/>
      <c r="Y46" s="43"/>
      <c r="Z46" s="40"/>
      <c r="AA46" s="40"/>
      <c r="AB46" s="40"/>
      <c r="AC46" s="40"/>
    </row>
    <row r="47" spans="2:34">
      <c r="B47" s="43"/>
      <c r="C47" s="40"/>
      <c r="D47" s="40"/>
      <c r="E47" s="184"/>
      <c r="F47" s="40"/>
      <c r="G47" s="40"/>
      <c r="X47" s="40"/>
      <c r="Y47" s="43"/>
      <c r="Z47" s="40"/>
      <c r="AA47" s="40"/>
      <c r="AB47" s="40"/>
      <c r="AC47" s="40"/>
    </row>
    <row r="48" spans="2:34">
      <c r="B48" s="43"/>
      <c r="C48" s="40"/>
      <c r="D48" s="40"/>
      <c r="E48" s="184"/>
      <c r="F48" s="40"/>
      <c r="G48" s="40"/>
      <c r="X48" s="40"/>
      <c r="Y48" s="43"/>
      <c r="Z48" s="40"/>
      <c r="AA48" s="40"/>
      <c r="AB48" s="40"/>
      <c r="AC48" s="40"/>
    </row>
    <row r="49" spans="2:32">
      <c r="B49" s="43"/>
      <c r="C49" s="40"/>
      <c r="D49" s="40"/>
      <c r="E49" s="184"/>
      <c r="F49" s="40"/>
      <c r="G49" s="40"/>
      <c r="X49" s="40"/>
      <c r="Y49" s="43"/>
      <c r="Z49" s="40"/>
      <c r="AA49" s="40"/>
      <c r="AB49" s="40"/>
      <c r="AC49" s="40"/>
    </row>
    <row r="50" spans="2:32">
      <c r="B50" s="43"/>
      <c r="C50" s="40"/>
      <c r="D50" s="40"/>
      <c r="E50" s="184"/>
      <c r="F50" s="40"/>
      <c r="G50" s="40"/>
      <c r="X50" s="40"/>
      <c r="Y50" s="43"/>
      <c r="Z50" s="40"/>
      <c r="AA50" s="40"/>
      <c r="AB50" s="40"/>
      <c r="AC50" s="40"/>
    </row>
    <row r="51" spans="2:32">
      <c r="B51" s="43"/>
      <c r="C51" s="40"/>
      <c r="D51" s="40"/>
      <c r="E51" s="184"/>
      <c r="F51" s="40"/>
      <c r="G51" s="40"/>
      <c r="X51" s="40"/>
      <c r="Y51" s="43"/>
      <c r="Z51" s="40"/>
      <c r="AA51" s="40"/>
      <c r="AB51" s="40"/>
      <c r="AC51" s="40"/>
    </row>
    <row r="52" spans="2:32">
      <c r="B52" s="43"/>
      <c r="C52" s="40"/>
      <c r="D52" s="40"/>
      <c r="E52" s="184"/>
      <c r="F52" s="40"/>
      <c r="G52" s="40"/>
      <c r="X52" s="40"/>
      <c r="Y52" s="43"/>
      <c r="Z52" s="40"/>
      <c r="AA52" s="40"/>
      <c r="AB52" s="40"/>
      <c r="AC52" s="40"/>
    </row>
    <row r="53" spans="2:32">
      <c r="B53" s="43"/>
      <c r="C53" s="40"/>
      <c r="D53" s="40"/>
      <c r="E53" s="184"/>
      <c r="F53" s="40"/>
      <c r="G53" s="40"/>
      <c r="X53" s="40"/>
      <c r="Y53" s="43"/>
      <c r="Z53" s="40"/>
      <c r="AA53" s="40"/>
      <c r="AB53" s="40"/>
      <c r="AC53" s="40"/>
    </row>
    <row r="54" spans="2:32">
      <c r="B54" s="43"/>
      <c r="C54" s="40"/>
      <c r="D54" s="40"/>
      <c r="E54" s="184"/>
      <c r="F54" s="40"/>
      <c r="G54" s="40"/>
      <c r="X54" s="40"/>
      <c r="Y54" s="43"/>
      <c r="Z54" s="40"/>
      <c r="AA54" s="40"/>
      <c r="AB54" s="40"/>
      <c r="AC54" s="40"/>
    </row>
    <row r="55" spans="2:32">
      <c r="B55" s="43"/>
      <c r="C55" s="40"/>
      <c r="D55" s="40"/>
      <c r="E55" s="184"/>
      <c r="F55" s="40"/>
      <c r="G55" s="40"/>
      <c r="X55" s="40"/>
      <c r="Y55" s="43"/>
      <c r="Z55" s="40"/>
      <c r="AA55" s="40"/>
      <c r="AB55" s="40"/>
      <c r="AC55" s="40"/>
    </row>
    <row r="56" spans="2:32">
      <c r="B56" s="43"/>
      <c r="C56" s="40"/>
      <c r="D56" s="40"/>
      <c r="E56" s="184"/>
      <c r="F56" s="40"/>
      <c r="G56" s="40"/>
      <c r="X56" s="40"/>
      <c r="Y56" s="43"/>
      <c r="Z56" s="40"/>
      <c r="AA56" s="40"/>
      <c r="AB56" s="40"/>
      <c r="AC56" s="40"/>
    </row>
    <row r="57" spans="2:32">
      <c r="B57" s="43"/>
      <c r="C57" s="40"/>
      <c r="D57" s="40"/>
      <c r="E57" s="184"/>
      <c r="F57" s="40"/>
      <c r="G57" s="40"/>
      <c r="X57" s="40"/>
      <c r="Y57" s="43"/>
      <c r="Z57" s="40"/>
      <c r="AA57" s="40"/>
      <c r="AB57" s="40"/>
      <c r="AC57" s="40"/>
    </row>
    <row r="58" spans="2:32">
      <c r="B58" s="43"/>
      <c r="C58" s="40"/>
      <c r="D58" s="40"/>
      <c r="E58" s="184"/>
      <c r="F58" s="40"/>
      <c r="G58" s="40"/>
      <c r="X58" s="40"/>
      <c r="Y58" s="43"/>
      <c r="Z58" s="40"/>
      <c r="AA58" s="40"/>
      <c r="AB58" s="40"/>
      <c r="AC58" s="40"/>
    </row>
    <row r="59" spans="2:32">
      <c r="B59" s="43"/>
      <c r="C59" s="40"/>
      <c r="D59" s="40"/>
      <c r="E59" s="184"/>
      <c r="F59" s="40"/>
      <c r="G59" s="40"/>
      <c r="X59" s="40"/>
      <c r="Y59" s="43"/>
      <c r="Z59" s="40"/>
      <c r="AA59" s="40"/>
      <c r="AB59" s="40"/>
      <c r="AC59" s="40"/>
    </row>
    <row r="60" spans="2:32">
      <c r="B60" s="43"/>
      <c r="C60" s="40"/>
      <c r="D60" s="40"/>
      <c r="E60" s="184"/>
      <c r="F60" s="40"/>
      <c r="G60" s="40"/>
      <c r="X60" s="40"/>
      <c r="Y60" s="43"/>
      <c r="Z60" s="40"/>
      <c r="AA60" s="40"/>
      <c r="AB60" s="40"/>
      <c r="AC60" s="40"/>
      <c r="AF60" s="146"/>
    </row>
    <row r="61" spans="2:32">
      <c r="B61" s="43"/>
      <c r="C61" s="40"/>
      <c r="D61" s="40"/>
      <c r="E61" s="184"/>
      <c r="F61" s="40"/>
      <c r="G61" s="40"/>
      <c r="X61" s="40"/>
      <c r="Y61" s="43"/>
      <c r="Z61" s="40"/>
      <c r="AA61" s="40"/>
      <c r="AB61" s="40"/>
      <c r="AC61" s="40"/>
    </row>
    <row r="62" spans="2:32">
      <c r="B62" s="43"/>
      <c r="C62" s="40"/>
      <c r="D62" s="40"/>
      <c r="E62" s="184"/>
      <c r="F62" s="40"/>
      <c r="G62" s="40"/>
    </row>
    <row r="63" spans="2:32">
      <c r="B63" s="43"/>
      <c r="C63" s="40"/>
      <c r="D63" s="40"/>
      <c r="E63" s="184"/>
      <c r="F63" s="40"/>
      <c r="G63" s="40"/>
    </row>
    <row r="64" spans="2:32">
      <c r="B64" s="43"/>
      <c r="C64" s="40"/>
      <c r="D64" s="40"/>
      <c r="E64" s="184"/>
      <c r="F64" s="40"/>
      <c r="G64" s="40"/>
    </row>
    <row r="65" spans="2:7">
      <c r="B65" s="43"/>
      <c r="C65" s="40"/>
      <c r="D65" s="40"/>
      <c r="E65" s="184"/>
      <c r="F65" s="40"/>
      <c r="G65" s="40"/>
    </row>
    <row r="66" spans="2:7">
      <c r="B66" s="43"/>
      <c r="C66" s="40"/>
      <c r="D66" s="40"/>
      <c r="E66" s="184"/>
      <c r="F66" s="40"/>
      <c r="G66" s="40"/>
    </row>
    <row r="67" spans="2:7">
      <c r="B67" s="43"/>
      <c r="C67" s="40"/>
      <c r="D67" s="40"/>
      <c r="E67" s="184"/>
      <c r="F67" s="40"/>
      <c r="G67" s="40"/>
    </row>
    <row r="68" spans="2:7">
      <c r="B68" s="43"/>
      <c r="C68" s="40"/>
      <c r="D68" s="40"/>
      <c r="E68" s="184"/>
      <c r="F68" s="40"/>
      <c r="G68" s="40"/>
    </row>
    <row r="69" spans="2:7">
      <c r="B69" s="43"/>
      <c r="C69" s="40"/>
      <c r="D69" s="40"/>
      <c r="E69" s="184"/>
      <c r="F69" s="40"/>
      <c r="G69" s="40"/>
    </row>
    <row r="70" spans="2:7">
      <c r="B70" s="43"/>
      <c r="C70" s="40"/>
      <c r="D70" s="40"/>
      <c r="E70" s="184"/>
      <c r="F70" s="40"/>
      <c r="G70" s="40"/>
    </row>
    <row r="71" spans="2:7">
      <c r="B71" s="43"/>
      <c r="C71" s="40"/>
      <c r="D71" s="40"/>
      <c r="E71" s="184"/>
      <c r="F71" s="40"/>
      <c r="G71" s="40"/>
    </row>
    <row r="72" spans="2:7">
      <c r="B72" s="43"/>
      <c r="C72" s="40"/>
      <c r="D72" s="40"/>
      <c r="E72" s="184"/>
      <c r="F72" s="40"/>
      <c r="G72" s="40"/>
    </row>
    <row r="73" spans="2:7">
      <c r="B73" s="43"/>
      <c r="C73" s="40"/>
      <c r="D73" s="40"/>
      <c r="E73" s="184"/>
      <c r="F73" s="40"/>
      <c r="G73" s="40"/>
    </row>
    <row r="74" spans="2:7">
      <c r="B74" s="43"/>
      <c r="C74" s="40"/>
      <c r="D74" s="40"/>
      <c r="E74" s="184"/>
      <c r="F74" s="40"/>
      <c r="G74" s="40"/>
    </row>
    <row r="75" spans="2:7">
      <c r="B75" s="43"/>
      <c r="C75" s="40"/>
      <c r="D75" s="40"/>
      <c r="E75" s="184"/>
      <c r="F75" s="40"/>
      <c r="G75" s="40"/>
    </row>
    <row r="76" spans="2:7">
      <c r="B76" s="43"/>
      <c r="C76" s="40"/>
      <c r="D76" s="40"/>
      <c r="E76" s="184"/>
      <c r="F76" s="40"/>
      <c r="G76" s="40"/>
    </row>
    <row r="77" spans="2:7">
      <c r="B77" s="43"/>
      <c r="C77" s="40"/>
      <c r="D77" s="40"/>
      <c r="E77" s="184"/>
      <c r="F77" s="40"/>
      <c r="G77" s="40"/>
    </row>
    <row r="78" spans="2:7">
      <c r="B78" s="43"/>
      <c r="C78" s="40"/>
      <c r="D78" s="40"/>
      <c r="E78" s="184"/>
      <c r="F78" s="40"/>
      <c r="G78" s="40"/>
    </row>
    <row r="79" spans="2:7">
      <c r="B79" s="43"/>
      <c r="C79" s="40"/>
      <c r="D79" s="40"/>
      <c r="E79" s="184"/>
      <c r="F79" s="40"/>
      <c r="G79" s="40"/>
    </row>
    <row r="80" spans="2:7">
      <c r="B80" s="43"/>
      <c r="C80" s="40"/>
      <c r="D80" s="40"/>
      <c r="E80" s="184"/>
      <c r="F80" s="40"/>
      <c r="G80" s="40"/>
    </row>
    <row r="81" spans="2:7">
      <c r="B81" s="43"/>
      <c r="C81" s="40"/>
      <c r="D81" s="40"/>
      <c r="E81" s="184"/>
      <c r="F81" s="40"/>
      <c r="G81" s="40"/>
    </row>
    <row r="82" spans="2:7">
      <c r="B82" s="43"/>
      <c r="C82" s="40"/>
      <c r="D82" s="40"/>
      <c r="E82" s="184"/>
      <c r="F82" s="40"/>
      <c r="G82" s="40"/>
    </row>
    <row r="83" spans="2:7">
      <c r="B83" s="43"/>
      <c r="C83" s="40"/>
      <c r="D83" s="40"/>
      <c r="E83" s="184"/>
      <c r="F83" s="40"/>
      <c r="G83" s="40"/>
    </row>
    <row r="84" spans="2:7">
      <c r="B84" s="43"/>
      <c r="C84" s="40"/>
      <c r="D84" s="40"/>
      <c r="E84" s="184"/>
      <c r="F84" s="40"/>
      <c r="G84" s="40"/>
    </row>
    <row r="85" spans="2:7">
      <c r="B85" s="43"/>
      <c r="C85" s="40"/>
      <c r="D85" s="40"/>
      <c r="E85" s="184"/>
      <c r="F85" s="40"/>
      <c r="G85" s="40"/>
    </row>
    <row r="86" spans="2:7">
      <c r="B86" s="43"/>
      <c r="C86" s="40"/>
      <c r="D86" s="40"/>
      <c r="E86" s="184"/>
      <c r="F86" s="40"/>
      <c r="G86" s="40"/>
    </row>
    <row r="87" spans="2:7">
      <c r="B87" s="43"/>
      <c r="C87" s="40"/>
      <c r="D87" s="40"/>
      <c r="E87" s="184"/>
      <c r="F87" s="40"/>
      <c r="G87" s="40"/>
    </row>
    <row r="88" spans="2:7">
      <c r="B88" s="43"/>
      <c r="C88" s="40"/>
      <c r="D88" s="40"/>
      <c r="E88" s="184"/>
      <c r="F88" s="40"/>
      <c r="G88" s="40"/>
    </row>
    <row r="89" spans="2:7">
      <c r="B89" s="43"/>
      <c r="C89" s="40"/>
      <c r="D89" s="40"/>
      <c r="E89" s="184"/>
      <c r="F89" s="40"/>
      <c r="G89" s="40"/>
    </row>
    <row r="90" spans="2:7">
      <c r="B90" s="43"/>
      <c r="C90" s="40"/>
      <c r="D90" s="40"/>
      <c r="E90" s="184"/>
      <c r="F90" s="40"/>
      <c r="G90" s="40"/>
    </row>
    <row r="91" spans="2:7">
      <c r="B91" s="43"/>
      <c r="C91" s="40"/>
      <c r="D91" s="40"/>
      <c r="E91" s="184"/>
      <c r="F91" s="40"/>
      <c r="G91" s="40"/>
    </row>
    <row r="92" spans="2:7">
      <c r="B92" s="43"/>
      <c r="C92" s="40"/>
      <c r="D92" s="40"/>
      <c r="E92" s="184"/>
      <c r="F92" s="40"/>
      <c r="G92" s="40"/>
    </row>
    <row r="93" spans="2:7">
      <c r="B93" s="43"/>
      <c r="C93" s="40"/>
      <c r="D93" s="40"/>
      <c r="E93" s="184"/>
      <c r="F93" s="40"/>
      <c r="G93" s="40"/>
    </row>
    <row r="94" spans="2:7">
      <c r="B94" s="43"/>
      <c r="C94" s="40"/>
      <c r="D94" s="40"/>
      <c r="E94" s="184"/>
      <c r="F94" s="40"/>
      <c r="G94" s="40"/>
    </row>
    <row r="95" spans="2:7">
      <c r="B95" s="43"/>
      <c r="C95" s="40"/>
      <c r="D95" s="40"/>
      <c r="E95" s="184"/>
      <c r="F95" s="40"/>
      <c r="G95" s="40"/>
    </row>
    <row r="96" spans="2:7">
      <c r="B96" s="43"/>
      <c r="C96" s="40"/>
      <c r="D96" s="40"/>
      <c r="E96" s="184"/>
      <c r="F96" s="40"/>
      <c r="G96" s="40"/>
    </row>
    <row r="97" spans="2:7">
      <c r="B97" s="43"/>
      <c r="C97" s="40"/>
      <c r="D97" s="40"/>
      <c r="E97" s="184"/>
      <c r="F97" s="40"/>
      <c r="G97" s="40"/>
    </row>
    <row r="98" spans="2:7">
      <c r="B98" s="43"/>
      <c r="C98" s="40"/>
      <c r="D98" s="40"/>
      <c r="E98" s="184"/>
      <c r="F98" s="40"/>
      <c r="G98" s="40"/>
    </row>
    <row r="99" spans="2:7">
      <c r="B99" s="43"/>
      <c r="C99" s="40"/>
      <c r="D99" s="40"/>
      <c r="E99" s="184"/>
      <c r="F99" s="40"/>
      <c r="G99" s="40"/>
    </row>
    <row r="100" spans="2:7">
      <c r="B100" s="43"/>
      <c r="C100" s="40"/>
      <c r="D100" s="40"/>
      <c r="E100" s="184"/>
      <c r="F100" s="40"/>
      <c r="G100" s="40"/>
    </row>
    <row r="101" spans="2:7">
      <c r="B101" s="43"/>
      <c r="C101" s="40"/>
      <c r="D101" s="40"/>
      <c r="E101" s="184"/>
      <c r="F101" s="40"/>
      <c r="G101" s="40"/>
    </row>
    <row r="102" spans="2:7">
      <c r="B102" s="43"/>
      <c r="C102" s="40"/>
      <c r="D102" s="40"/>
      <c r="E102" s="184"/>
      <c r="F102" s="40"/>
      <c r="G102" s="40"/>
    </row>
    <row r="103" spans="2:7">
      <c r="B103" s="43"/>
      <c r="C103" s="40"/>
      <c r="D103" s="40"/>
      <c r="E103" s="184"/>
      <c r="F103" s="40"/>
      <c r="G103" s="40"/>
    </row>
    <row r="104" spans="2:7">
      <c r="B104" s="43"/>
      <c r="C104" s="40"/>
      <c r="D104" s="40"/>
      <c r="E104" s="184"/>
      <c r="F104" s="40"/>
      <c r="G104" s="40"/>
    </row>
    <row r="105" spans="2:7">
      <c r="B105" s="43"/>
      <c r="C105" s="40"/>
      <c r="D105" s="40"/>
      <c r="E105" s="184"/>
      <c r="F105" s="40"/>
      <c r="G105" s="40"/>
    </row>
    <row r="106" spans="2:7">
      <c r="B106" s="43"/>
      <c r="C106" s="40"/>
      <c r="D106" s="40"/>
      <c r="E106" s="184"/>
      <c r="F106" s="40"/>
      <c r="G106" s="40"/>
    </row>
    <row r="107" spans="2:7">
      <c r="B107" s="43"/>
      <c r="C107" s="40"/>
      <c r="D107" s="40"/>
      <c r="E107" s="184"/>
      <c r="F107" s="40"/>
      <c r="G107" s="40"/>
    </row>
    <row r="108" spans="2:7">
      <c r="B108" s="43"/>
      <c r="C108" s="40"/>
      <c r="D108" s="40"/>
      <c r="E108" s="184"/>
      <c r="F108" s="40"/>
      <c r="G108" s="40"/>
    </row>
    <row r="109" spans="2:7">
      <c r="B109" s="43"/>
      <c r="C109" s="40"/>
      <c r="D109" s="40"/>
      <c r="E109" s="184"/>
      <c r="F109" s="40"/>
      <c r="G109" s="40"/>
    </row>
    <row r="110" spans="2:7">
      <c r="B110" s="43"/>
      <c r="C110" s="40"/>
      <c r="D110" s="40"/>
      <c r="E110" s="184"/>
      <c r="F110" s="40"/>
      <c r="G110" s="40"/>
    </row>
    <row r="111" spans="2:7">
      <c r="B111" s="43"/>
      <c r="C111" s="40"/>
      <c r="D111" s="40"/>
      <c r="E111" s="184"/>
      <c r="F111" s="40"/>
      <c r="G111" s="40"/>
    </row>
    <row r="112" spans="2:7">
      <c r="B112" s="43"/>
      <c r="C112" s="40"/>
      <c r="D112" s="40"/>
      <c r="E112" s="184"/>
      <c r="F112" s="40"/>
      <c r="G112" s="40"/>
    </row>
    <row r="113" spans="2:7">
      <c r="B113" s="43"/>
      <c r="C113" s="40"/>
      <c r="D113" s="40"/>
      <c r="E113" s="184"/>
      <c r="F113" s="40"/>
      <c r="G113" s="40"/>
    </row>
    <row r="114" spans="2:7">
      <c r="B114" s="43"/>
      <c r="C114" s="40"/>
      <c r="D114" s="40"/>
      <c r="E114" s="184"/>
      <c r="F114" s="40"/>
      <c r="G114" s="40"/>
    </row>
    <row r="115" spans="2:7">
      <c r="B115" s="43"/>
      <c r="C115" s="40"/>
      <c r="D115" s="40"/>
      <c r="E115" s="184"/>
      <c r="F115" s="40"/>
      <c r="G115" s="40"/>
    </row>
    <row r="116" spans="2:7">
      <c r="B116" s="43"/>
      <c r="C116" s="40"/>
      <c r="D116" s="40"/>
      <c r="E116" s="184"/>
      <c r="F116" s="40"/>
      <c r="G116" s="40"/>
    </row>
    <row r="117" spans="2:7">
      <c r="B117" s="43"/>
      <c r="C117" s="40"/>
      <c r="D117" s="40"/>
      <c r="E117" s="184"/>
      <c r="F117" s="40"/>
      <c r="G117" s="40"/>
    </row>
    <row r="118" spans="2:7">
      <c r="B118" s="43"/>
      <c r="C118" s="40"/>
      <c r="D118" s="40"/>
      <c r="E118" s="184"/>
      <c r="F118" s="40"/>
      <c r="G118" s="40"/>
    </row>
    <row r="119" spans="2:7">
      <c r="B119" s="43"/>
      <c r="C119" s="40"/>
      <c r="D119" s="40"/>
      <c r="E119" s="184"/>
      <c r="F119" s="40"/>
      <c r="G119" s="40"/>
    </row>
    <row r="120" spans="2:7">
      <c r="B120" s="43"/>
      <c r="C120" s="40"/>
      <c r="D120" s="40"/>
      <c r="E120" s="184"/>
      <c r="F120" s="40"/>
      <c r="G120" s="40"/>
    </row>
    <row r="121" spans="2:7">
      <c r="B121" s="43"/>
      <c r="C121" s="40"/>
      <c r="D121" s="40"/>
      <c r="E121" s="184"/>
      <c r="F121" s="40"/>
      <c r="G121" s="40"/>
    </row>
    <row r="122" spans="2:7">
      <c r="B122" s="43"/>
      <c r="C122" s="40"/>
      <c r="D122" s="40"/>
      <c r="E122" s="184"/>
      <c r="F122" s="40"/>
      <c r="G122" s="40"/>
    </row>
    <row r="123" spans="2:7">
      <c r="B123" s="43"/>
      <c r="C123" s="40"/>
      <c r="D123" s="40"/>
      <c r="E123" s="184"/>
      <c r="F123" s="40"/>
      <c r="G123" s="40"/>
    </row>
    <row r="124" spans="2:7">
      <c r="B124" s="43"/>
      <c r="C124" s="40"/>
      <c r="D124" s="40"/>
      <c r="E124" s="184"/>
      <c r="F124" s="40"/>
      <c r="G124" s="40"/>
    </row>
    <row r="125" spans="2:7">
      <c r="B125" s="43"/>
      <c r="C125" s="40"/>
      <c r="D125" s="40"/>
      <c r="E125" s="184"/>
      <c r="F125" s="40"/>
      <c r="G125" s="40"/>
    </row>
    <row r="126" spans="2:7">
      <c r="B126" s="43"/>
      <c r="C126" s="40"/>
      <c r="D126" s="40"/>
      <c r="E126" s="184"/>
      <c r="F126" s="40"/>
      <c r="G126" s="40"/>
    </row>
    <row r="127" spans="2:7">
      <c r="B127" s="43"/>
      <c r="C127" s="40"/>
      <c r="D127" s="40"/>
      <c r="E127" s="184"/>
      <c r="F127" s="40"/>
      <c r="G127" s="40"/>
    </row>
    <row r="128" spans="2:7">
      <c r="B128" s="43"/>
      <c r="C128" s="40"/>
      <c r="D128" s="40"/>
      <c r="E128" s="184"/>
      <c r="F128" s="40"/>
      <c r="G128" s="40"/>
    </row>
    <row r="129" spans="2:7">
      <c r="B129" s="43"/>
      <c r="C129" s="40"/>
      <c r="D129" s="40"/>
      <c r="E129" s="184"/>
      <c r="F129" s="40"/>
      <c r="G129" s="40"/>
    </row>
    <row r="130" spans="2:7">
      <c r="B130" s="43"/>
      <c r="C130" s="40"/>
      <c r="D130" s="40"/>
      <c r="E130" s="184"/>
      <c r="F130" s="40"/>
      <c r="G130" s="40"/>
    </row>
    <row r="131" spans="2:7">
      <c r="B131" s="43"/>
      <c r="C131" s="40"/>
      <c r="D131" s="40"/>
      <c r="E131" s="184"/>
      <c r="F131" s="40"/>
      <c r="G131" s="40"/>
    </row>
    <row r="132" spans="2:7">
      <c r="B132" s="43"/>
      <c r="C132" s="40"/>
      <c r="D132" s="40"/>
      <c r="E132" s="184"/>
      <c r="F132" s="40"/>
      <c r="G132" s="40"/>
    </row>
    <row r="133" spans="2:7">
      <c r="B133" s="43"/>
      <c r="C133" s="40"/>
      <c r="D133" s="40"/>
      <c r="E133" s="184"/>
      <c r="F133" s="40"/>
      <c r="G133" s="40"/>
    </row>
    <row r="134" spans="2:7">
      <c r="B134" s="43"/>
      <c r="C134" s="40"/>
      <c r="D134" s="40"/>
      <c r="E134" s="184"/>
      <c r="F134" s="40"/>
      <c r="G134" s="40"/>
    </row>
    <row r="135" spans="2:7">
      <c r="B135" s="43"/>
      <c r="C135" s="40"/>
      <c r="D135" s="40"/>
      <c r="E135" s="184"/>
      <c r="F135" s="40"/>
      <c r="G135" s="40"/>
    </row>
    <row r="136" spans="2:7">
      <c r="B136" s="43"/>
      <c r="C136" s="40"/>
      <c r="D136" s="40"/>
      <c r="E136" s="184"/>
      <c r="F136" s="40"/>
      <c r="G136" s="40"/>
    </row>
    <row r="137" spans="2:7">
      <c r="B137" s="43"/>
      <c r="C137" s="40"/>
      <c r="D137" s="40"/>
      <c r="E137" s="184"/>
      <c r="F137" s="40"/>
      <c r="G137" s="40"/>
    </row>
    <row r="138" spans="2:7">
      <c r="B138" s="43"/>
      <c r="C138" s="40"/>
      <c r="D138" s="40"/>
      <c r="E138" s="184"/>
      <c r="F138" s="40"/>
      <c r="G138" s="40"/>
    </row>
    <row r="139" spans="2:7">
      <c r="B139" s="43"/>
      <c r="C139" s="40"/>
      <c r="D139" s="40"/>
      <c r="E139" s="184"/>
      <c r="F139" s="40"/>
      <c r="G139" s="40"/>
    </row>
    <row r="140" spans="2:7">
      <c r="B140" s="43"/>
      <c r="C140" s="40"/>
      <c r="D140" s="40"/>
      <c r="E140" s="184"/>
      <c r="F140" s="40"/>
      <c r="G140" s="40"/>
    </row>
    <row r="141" spans="2:7">
      <c r="B141" s="43"/>
      <c r="C141" s="40"/>
      <c r="D141" s="40"/>
      <c r="E141" s="184"/>
      <c r="F141" s="40"/>
      <c r="G141" s="40"/>
    </row>
    <row r="142" spans="2:7">
      <c r="B142" s="43"/>
      <c r="C142" s="40"/>
      <c r="D142" s="40"/>
      <c r="E142" s="184"/>
      <c r="F142" s="40"/>
      <c r="G142" s="40"/>
    </row>
    <row r="143" spans="2:7">
      <c r="B143" s="43"/>
      <c r="C143" s="40"/>
      <c r="D143" s="40"/>
      <c r="E143" s="184"/>
      <c r="F143" s="40"/>
      <c r="G143" s="40"/>
    </row>
    <row r="144" spans="2:7">
      <c r="B144" s="43"/>
      <c r="C144" s="40"/>
      <c r="D144" s="40"/>
      <c r="E144" s="184"/>
      <c r="F144" s="40"/>
      <c r="G144" s="40"/>
    </row>
    <row r="145" spans="2:7">
      <c r="B145" s="43"/>
      <c r="C145" s="40"/>
      <c r="D145" s="40"/>
      <c r="E145" s="184"/>
      <c r="F145" s="40"/>
      <c r="G145" s="40"/>
    </row>
    <row r="146" spans="2:7">
      <c r="B146" s="43"/>
      <c r="C146" s="40"/>
      <c r="D146" s="40"/>
      <c r="E146" s="184"/>
      <c r="F146" s="40"/>
      <c r="G146" s="40"/>
    </row>
    <row r="147" spans="2:7">
      <c r="B147" s="43"/>
      <c r="C147" s="40"/>
      <c r="D147" s="40"/>
      <c r="E147" s="184"/>
      <c r="F147" s="40"/>
      <c r="G147" s="40"/>
    </row>
    <row r="148" spans="2:7">
      <c r="B148" s="43"/>
      <c r="C148" s="40"/>
      <c r="D148" s="40"/>
      <c r="E148" s="184"/>
      <c r="F148" s="40"/>
      <c r="G148" s="40"/>
    </row>
    <row r="149" spans="2:7">
      <c r="B149" s="43"/>
      <c r="C149" s="40"/>
      <c r="D149" s="40"/>
      <c r="E149" s="184"/>
      <c r="F149" s="40"/>
      <c r="G149" s="40"/>
    </row>
    <row r="150" spans="2:7">
      <c r="B150" s="43"/>
      <c r="C150" s="40"/>
      <c r="D150" s="40"/>
      <c r="E150" s="184"/>
      <c r="F150" s="40"/>
      <c r="G150" s="40"/>
    </row>
    <row r="151" spans="2:7">
      <c r="B151" s="43"/>
      <c r="C151" s="40"/>
      <c r="D151" s="40"/>
      <c r="E151" s="184"/>
      <c r="F151" s="40"/>
      <c r="G151" s="40"/>
    </row>
    <row r="152" spans="2:7">
      <c r="B152" s="43"/>
      <c r="C152" s="40"/>
      <c r="D152" s="40"/>
      <c r="E152" s="184"/>
      <c r="F152" s="40"/>
      <c r="G152" s="40"/>
    </row>
    <row r="153" spans="2:7">
      <c r="B153" s="43"/>
      <c r="C153" s="40"/>
      <c r="D153" s="40"/>
      <c r="E153" s="184"/>
      <c r="F153" s="40"/>
      <c r="G153" s="40"/>
    </row>
    <row r="154" spans="2:7">
      <c r="B154" s="43"/>
      <c r="C154" s="40"/>
      <c r="D154" s="40"/>
      <c r="E154" s="184"/>
      <c r="F154" s="40"/>
      <c r="G154" s="40"/>
    </row>
    <row r="155" spans="2:7">
      <c r="B155" s="43"/>
      <c r="C155" s="40"/>
      <c r="D155" s="40"/>
      <c r="E155" s="184"/>
      <c r="F155" s="40"/>
      <c r="G155" s="40"/>
    </row>
    <row r="156" spans="2:7">
      <c r="B156" s="43"/>
      <c r="C156" s="40"/>
      <c r="D156" s="40"/>
      <c r="E156" s="184"/>
      <c r="F156" s="40"/>
      <c r="G156" s="40"/>
    </row>
    <row r="157" spans="2:7">
      <c r="B157" s="43"/>
      <c r="C157" s="40"/>
      <c r="D157" s="40"/>
      <c r="E157" s="184"/>
      <c r="F157" s="40"/>
      <c r="G157" s="40"/>
    </row>
    <row r="158" spans="2:7">
      <c r="B158" s="43"/>
      <c r="C158" s="40"/>
      <c r="D158" s="40"/>
      <c r="E158" s="184"/>
      <c r="F158" s="40"/>
      <c r="G158" s="40"/>
    </row>
    <row r="159" spans="2:7">
      <c r="B159" s="43"/>
      <c r="C159" s="40"/>
      <c r="D159" s="40"/>
      <c r="E159" s="184"/>
      <c r="F159" s="40"/>
      <c r="G159" s="40"/>
    </row>
    <row r="160" spans="2:7">
      <c r="B160" s="43"/>
      <c r="C160" s="40"/>
      <c r="D160" s="40"/>
      <c r="E160" s="184"/>
      <c r="F160" s="40"/>
      <c r="G160" s="40"/>
    </row>
    <row r="161" spans="2:7">
      <c r="B161" s="43"/>
      <c r="C161" s="40"/>
      <c r="D161" s="40"/>
      <c r="E161" s="184"/>
      <c r="F161" s="40"/>
      <c r="G161" s="40"/>
    </row>
    <row r="162" spans="2:7">
      <c r="B162" s="43"/>
      <c r="C162" s="40"/>
      <c r="D162" s="40"/>
      <c r="E162" s="184"/>
      <c r="F162" s="40"/>
      <c r="G162" s="40"/>
    </row>
    <row r="163" spans="2:7">
      <c r="B163" s="43"/>
      <c r="C163" s="40"/>
      <c r="D163" s="40"/>
      <c r="E163" s="184"/>
      <c r="F163" s="40"/>
      <c r="G163" s="40"/>
    </row>
    <row r="164" spans="2:7">
      <c r="B164" s="43"/>
      <c r="C164" s="40"/>
      <c r="D164" s="40"/>
      <c r="E164" s="184"/>
      <c r="F164" s="40"/>
      <c r="G164" s="40"/>
    </row>
    <row r="165" spans="2:7">
      <c r="B165" s="43"/>
      <c r="C165" s="40"/>
      <c r="D165" s="40"/>
      <c r="E165" s="184"/>
      <c r="F165" s="40"/>
      <c r="G165" s="40"/>
    </row>
    <row r="166" spans="2:7">
      <c r="B166" s="43"/>
      <c r="C166" s="40"/>
      <c r="D166" s="40"/>
      <c r="E166" s="184"/>
      <c r="F166" s="40"/>
      <c r="G166" s="40"/>
    </row>
    <row r="167" spans="2:7">
      <c r="B167" s="43"/>
      <c r="C167" s="40"/>
      <c r="D167" s="40"/>
      <c r="E167" s="184"/>
      <c r="F167" s="40"/>
      <c r="G167" s="40"/>
    </row>
    <row r="168" spans="2:7">
      <c r="B168" s="43"/>
      <c r="C168" s="40"/>
      <c r="D168" s="40"/>
      <c r="E168" s="184"/>
      <c r="F168" s="40"/>
      <c r="G168" s="40"/>
    </row>
    <row r="169" spans="2:7">
      <c r="B169" s="43"/>
      <c r="C169" s="40"/>
      <c r="D169" s="40"/>
      <c r="E169" s="184"/>
      <c r="F169" s="40"/>
      <c r="G169" s="40"/>
    </row>
    <row r="170" spans="2:7">
      <c r="B170" s="43"/>
      <c r="C170" s="40"/>
      <c r="D170" s="40"/>
      <c r="E170" s="184"/>
      <c r="F170" s="40"/>
      <c r="G170" s="40"/>
    </row>
    <row r="171" spans="2:7">
      <c r="B171" s="43"/>
      <c r="C171" s="40"/>
      <c r="D171" s="40"/>
      <c r="E171" s="184"/>
      <c r="F171" s="40"/>
      <c r="G171" s="40"/>
    </row>
    <row r="172" spans="2:7">
      <c r="B172" s="43"/>
      <c r="C172" s="40"/>
      <c r="D172" s="40"/>
      <c r="E172" s="184"/>
      <c r="F172" s="40"/>
      <c r="G172" s="40"/>
    </row>
    <row r="173" spans="2:7">
      <c r="B173" s="43"/>
      <c r="C173" s="40"/>
      <c r="D173" s="40"/>
      <c r="E173" s="184"/>
      <c r="F173" s="40"/>
      <c r="G173" s="40"/>
    </row>
    <row r="174" spans="2:7">
      <c r="B174" s="43"/>
      <c r="C174" s="40"/>
      <c r="D174" s="40"/>
      <c r="E174" s="184"/>
      <c r="F174" s="40"/>
      <c r="G174" s="40"/>
    </row>
    <row r="175" spans="2:7">
      <c r="B175" s="43"/>
      <c r="C175" s="40"/>
      <c r="D175" s="40"/>
      <c r="E175" s="184"/>
      <c r="F175" s="40"/>
      <c r="G175" s="40"/>
    </row>
    <row r="176" spans="2:7">
      <c r="B176" s="43"/>
      <c r="C176" s="40"/>
      <c r="D176" s="40"/>
      <c r="E176" s="184"/>
      <c r="F176" s="40"/>
      <c r="G176" s="40"/>
    </row>
    <row r="177" spans="2:7">
      <c r="B177" s="43"/>
      <c r="C177" s="40"/>
      <c r="D177" s="40"/>
      <c r="E177" s="184"/>
      <c r="F177" s="40"/>
      <c r="G177" s="40"/>
    </row>
    <row r="178" spans="2:7">
      <c r="B178" s="43"/>
      <c r="C178" s="40"/>
      <c r="D178" s="40"/>
      <c r="E178" s="184"/>
      <c r="F178" s="40"/>
      <c r="G178" s="40"/>
    </row>
    <row r="179" spans="2:7">
      <c r="B179" s="43"/>
      <c r="C179" s="40"/>
      <c r="D179" s="40"/>
      <c r="E179" s="184"/>
      <c r="F179" s="40"/>
      <c r="G179" s="40"/>
    </row>
    <row r="180" spans="2:7">
      <c r="B180" s="43"/>
      <c r="C180" s="40"/>
      <c r="D180" s="40"/>
      <c r="E180" s="184"/>
      <c r="F180" s="40"/>
      <c r="G180" s="40"/>
    </row>
    <row r="181" spans="2:7">
      <c r="B181" s="43"/>
      <c r="C181" s="40"/>
      <c r="D181" s="40"/>
      <c r="E181" s="184"/>
      <c r="F181" s="40"/>
      <c r="G181" s="40"/>
    </row>
    <row r="182" spans="2:7">
      <c r="B182" s="43"/>
      <c r="C182" s="40"/>
      <c r="D182" s="40"/>
      <c r="E182" s="184"/>
      <c r="F182" s="40"/>
      <c r="G182" s="40"/>
    </row>
    <row r="183" spans="2:7">
      <c r="B183" s="43"/>
      <c r="C183" s="40"/>
      <c r="D183" s="40"/>
      <c r="E183" s="184"/>
      <c r="F183" s="40"/>
      <c r="G183" s="40"/>
    </row>
    <row r="184" spans="2:7">
      <c r="B184" s="43"/>
      <c r="C184" s="40"/>
      <c r="D184" s="40"/>
      <c r="E184" s="184"/>
      <c r="F184" s="40"/>
      <c r="G184" s="40"/>
    </row>
    <row r="185" spans="2:7">
      <c r="B185" s="43"/>
      <c r="C185" s="40"/>
      <c r="D185" s="40"/>
      <c r="E185" s="184"/>
      <c r="F185" s="40"/>
      <c r="G185" s="40"/>
    </row>
    <row r="186" spans="2:7">
      <c r="B186" s="43"/>
      <c r="C186" s="40"/>
      <c r="D186" s="40"/>
      <c r="E186" s="184"/>
      <c r="F186" s="40"/>
      <c r="G186" s="40"/>
    </row>
    <row r="187" spans="2:7">
      <c r="B187" s="43"/>
      <c r="C187" s="40"/>
      <c r="D187" s="40"/>
      <c r="E187" s="184"/>
      <c r="F187" s="40"/>
      <c r="G187" s="40"/>
    </row>
    <row r="188" spans="2:7">
      <c r="B188" s="43"/>
      <c r="C188" s="40"/>
      <c r="D188" s="40"/>
      <c r="E188" s="184"/>
      <c r="F188" s="40"/>
      <c r="G188" s="40"/>
    </row>
    <row r="189" spans="2:7">
      <c r="B189" s="43"/>
      <c r="C189" s="40"/>
      <c r="D189" s="40"/>
      <c r="E189" s="184"/>
      <c r="F189" s="40"/>
      <c r="G189" s="40"/>
    </row>
    <row r="190" spans="2:7">
      <c r="B190" s="43"/>
      <c r="C190" s="40"/>
      <c r="D190" s="40"/>
      <c r="E190" s="184"/>
      <c r="F190" s="40"/>
      <c r="G190" s="40"/>
    </row>
    <row r="191" spans="2:7">
      <c r="B191" s="43"/>
      <c r="C191" s="40"/>
      <c r="D191" s="40"/>
      <c r="E191" s="184"/>
      <c r="F191" s="40"/>
      <c r="G191" s="40"/>
    </row>
    <row r="192" spans="2:7">
      <c r="B192" s="43"/>
      <c r="C192" s="40"/>
      <c r="D192" s="40"/>
      <c r="E192" s="184"/>
      <c r="F192" s="40"/>
      <c r="G192" s="40"/>
    </row>
    <row r="193" spans="2:7">
      <c r="B193" s="43"/>
      <c r="C193" s="40"/>
      <c r="D193" s="40"/>
      <c r="E193" s="184"/>
      <c r="F193" s="40"/>
      <c r="G193" s="40"/>
    </row>
    <row r="194" spans="2:7">
      <c r="B194" s="43"/>
      <c r="C194" s="40"/>
      <c r="D194" s="40"/>
      <c r="E194" s="184"/>
      <c r="F194" s="40"/>
      <c r="G194" s="40"/>
    </row>
    <row r="195" spans="2:7">
      <c r="B195" s="43"/>
      <c r="C195" s="40"/>
      <c r="D195" s="40"/>
      <c r="E195" s="184"/>
      <c r="F195" s="40"/>
      <c r="G195" s="40"/>
    </row>
    <row r="196" spans="2:7">
      <c r="B196" s="43"/>
      <c r="C196" s="40"/>
      <c r="D196" s="40"/>
      <c r="E196" s="184"/>
      <c r="F196" s="40"/>
      <c r="G196" s="40"/>
    </row>
    <row r="197" spans="2:7">
      <c r="B197" s="43"/>
      <c r="C197" s="40"/>
      <c r="D197" s="40"/>
      <c r="E197" s="184"/>
      <c r="F197" s="40"/>
      <c r="G197" s="40"/>
    </row>
    <row r="198" spans="2:7">
      <c r="B198" s="43"/>
      <c r="C198" s="40"/>
      <c r="D198" s="40"/>
      <c r="E198" s="184"/>
      <c r="F198" s="40"/>
      <c r="G198" s="40"/>
    </row>
    <row r="199" spans="2:7">
      <c r="B199" s="43"/>
      <c r="C199" s="40"/>
      <c r="D199" s="40"/>
      <c r="E199" s="184"/>
      <c r="F199" s="40"/>
      <c r="G199" s="40"/>
    </row>
    <row r="200" spans="2:7">
      <c r="B200" s="43"/>
      <c r="C200" s="40"/>
      <c r="D200" s="40"/>
      <c r="E200" s="184"/>
      <c r="F200" s="40"/>
      <c r="G200" s="40"/>
    </row>
    <row r="201" spans="2:7">
      <c r="B201" s="43"/>
      <c r="C201" s="40"/>
      <c r="D201" s="40"/>
      <c r="E201" s="184"/>
      <c r="F201" s="40"/>
      <c r="G201" s="40"/>
    </row>
    <row r="202" spans="2:7">
      <c r="B202" s="43"/>
      <c r="C202" s="40"/>
      <c r="D202" s="40"/>
      <c r="E202" s="184"/>
      <c r="F202" s="40"/>
      <c r="G202" s="40"/>
    </row>
    <row r="203" spans="2:7">
      <c r="B203" s="43"/>
      <c r="C203" s="40"/>
      <c r="D203" s="40"/>
      <c r="E203" s="184"/>
      <c r="F203" s="40"/>
      <c r="G203" s="40"/>
    </row>
    <row r="204" spans="2:7">
      <c r="B204" s="43"/>
      <c r="C204" s="40"/>
      <c r="D204" s="40"/>
      <c r="E204" s="184"/>
      <c r="F204" s="40"/>
      <c r="G204" s="40"/>
    </row>
    <row r="205" spans="2:7">
      <c r="B205" s="43"/>
      <c r="C205" s="40"/>
      <c r="D205" s="40"/>
      <c r="E205" s="184"/>
      <c r="F205" s="40"/>
      <c r="G205" s="40"/>
    </row>
    <row r="206" spans="2:7">
      <c r="B206" s="43"/>
      <c r="C206" s="40"/>
      <c r="D206" s="40"/>
      <c r="E206" s="184"/>
      <c r="F206" s="40"/>
      <c r="G206" s="40"/>
    </row>
    <row r="207" spans="2:7">
      <c r="B207" s="43"/>
      <c r="C207" s="40"/>
      <c r="D207" s="40"/>
      <c r="E207" s="184"/>
      <c r="F207" s="40"/>
      <c r="G207" s="40"/>
    </row>
    <row r="208" spans="2:7">
      <c r="B208" s="43"/>
      <c r="C208" s="40"/>
      <c r="D208" s="40"/>
      <c r="E208" s="184"/>
      <c r="F208" s="40"/>
      <c r="G208" s="40"/>
    </row>
    <row r="209" spans="2:7">
      <c r="B209" s="43"/>
      <c r="C209" s="40"/>
      <c r="D209" s="40"/>
      <c r="E209" s="184"/>
      <c r="F209" s="40"/>
      <c r="G209" s="40"/>
    </row>
    <row r="210" spans="2:7">
      <c r="B210" s="43"/>
      <c r="C210" s="40"/>
      <c r="D210" s="40"/>
      <c r="E210" s="184"/>
      <c r="F210" s="40"/>
      <c r="G210" s="40"/>
    </row>
    <row r="211" spans="2:7">
      <c r="B211" s="43"/>
      <c r="C211" s="40"/>
      <c r="D211" s="40"/>
      <c r="E211" s="184"/>
      <c r="F211" s="40"/>
      <c r="G211" s="40"/>
    </row>
    <row r="212" spans="2:7">
      <c r="B212" s="43"/>
      <c r="C212" s="40"/>
      <c r="D212" s="40"/>
      <c r="E212" s="184"/>
      <c r="F212" s="40"/>
      <c r="G212" s="40"/>
    </row>
    <row r="213" spans="2:7">
      <c r="B213" s="43"/>
      <c r="C213" s="40"/>
      <c r="D213" s="40"/>
      <c r="E213" s="184"/>
      <c r="F213" s="40"/>
      <c r="G213" s="40"/>
    </row>
    <row r="214" spans="2:7">
      <c r="B214" s="43"/>
      <c r="C214" s="40"/>
      <c r="D214" s="40"/>
      <c r="E214" s="184"/>
      <c r="F214" s="40"/>
      <c r="G214" s="40"/>
    </row>
    <row r="215" spans="2:7">
      <c r="B215" s="43"/>
      <c r="C215" s="40"/>
      <c r="D215" s="40"/>
      <c r="E215" s="184"/>
      <c r="F215" s="40"/>
      <c r="G215" s="40"/>
    </row>
    <row r="216" spans="2:7">
      <c r="B216" s="43"/>
      <c r="C216" s="40"/>
      <c r="D216" s="40"/>
      <c r="E216" s="184"/>
      <c r="F216" s="40"/>
      <c r="G216" s="40"/>
    </row>
    <row r="217" spans="2:7">
      <c r="B217" s="43"/>
      <c r="C217" s="40"/>
      <c r="D217" s="40"/>
      <c r="E217" s="184"/>
      <c r="F217" s="40"/>
      <c r="G217" s="40"/>
    </row>
    <row r="218" spans="2:7">
      <c r="B218" s="43"/>
      <c r="C218" s="40"/>
      <c r="D218" s="40"/>
      <c r="E218" s="184"/>
      <c r="F218" s="40"/>
      <c r="G218" s="40"/>
    </row>
    <row r="219" spans="2:7">
      <c r="B219" s="43"/>
      <c r="C219" s="40"/>
      <c r="D219" s="40"/>
      <c r="E219" s="184"/>
      <c r="F219" s="40"/>
      <c r="G219" s="40"/>
    </row>
    <row r="220" spans="2:7">
      <c r="B220" s="43"/>
      <c r="C220" s="40"/>
      <c r="D220" s="40"/>
      <c r="E220" s="184"/>
      <c r="F220" s="40"/>
      <c r="G220" s="40"/>
    </row>
    <row r="221" spans="2:7">
      <c r="B221" s="43"/>
      <c r="C221" s="40"/>
      <c r="D221" s="40"/>
      <c r="E221" s="184"/>
      <c r="F221" s="40"/>
      <c r="G221" s="40"/>
    </row>
    <row r="222" spans="2:7">
      <c r="B222" s="43"/>
      <c r="C222" s="40"/>
      <c r="D222" s="40"/>
      <c r="E222" s="184"/>
      <c r="F222" s="40"/>
      <c r="G222" s="40"/>
    </row>
    <row r="223" spans="2:7">
      <c r="B223" s="43"/>
      <c r="C223" s="40"/>
      <c r="D223" s="40"/>
      <c r="E223" s="184"/>
      <c r="F223" s="40"/>
      <c r="G223" s="40"/>
    </row>
    <row r="224" spans="2:7">
      <c r="B224" s="43"/>
      <c r="C224" s="40"/>
      <c r="D224" s="40"/>
      <c r="E224" s="184"/>
      <c r="F224" s="40"/>
      <c r="G224" s="40"/>
    </row>
    <row r="225" spans="2:7">
      <c r="B225" s="43"/>
      <c r="C225" s="40"/>
      <c r="D225" s="40"/>
      <c r="E225" s="184"/>
      <c r="F225" s="40"/>
      <c r="G225" s="40"/>
    </row>
    <row r="226" spans="2:7">
      <c r="B226" s="43"/>
      <c r="C226" s="40"/>
      <c r="D226" s="40"/>
      <c r="E226" s="184"/>
      <c r="F226" s="40"/>
      <c r="G226" s="40"/>
    </row>
    <row r="227" spans="2:7">
      <c r="B227" s="43"/>
      <c r="C227" s="40"/>
      <c r="D227" s="40"/>
      <c r="E227" s="184"/>
      <c r="F227" s="40"/>
      <c r="G227" s="40"/>
    </row>
    <row r="228" spans="2:7">
      <c r="B228" s="43"/>
      <c r="C228" s="40"/>
      <c r="D228" s="40"/>
      <c r="E228" s="184"/>
      <c r="F228" s="40"/>
      <c r="G228" s="40"/>
    </row>
    <row r="229" spans="2:7">
      <c r="B229" s="43"/>
      <c r="C229" s="40"/>
      <c r="D229" s="40"/>
      <c r="E229" s="184"/>
      <c r="F229" s="40"/>
      <c r="G229" s="40"/>
    </row>
    <row r="230" spans="2:7">
      <c r="B230" s="43"/>
      <c r="C230" s="40"/>
      <c r="D230" s="40"/>
      <c r="E230" s="184"/>
      <c r="F230" s="40"/>
      <c r="G230" s="40"/>
    </row>
    <row r="231" spans="2:7">
      <c r="B231" s="43"/>
      <c r="C231" s="40"/>
      <c r="D231" s="40"/>
      <c r="E231" s="184"/>
      <c r="F231" s="40"/>
      <c r="G231" s="40"/>
    </row>
    <row r="232" spans="2:7">
      <c r="B232" s="43"/>
      <c r="C232" s="40"/>
      <c r="D232" s="40"/>
      <c r="E232" s="184"/>
      <c r="F232" s="40"/>
      <c r="G232" s="40"/>
    </row>
    <row r="233" spans="2:7">
      <c r="B233" s="43"/>
      <c r="C233" s="40"/>
      <c r="D233" s="40"/>
      <c r="E233" s="184"/>
      <c r="F233" s="40"/>
      <c r="G233" s="40"/>
    </row>
    <row r="234" spans="2:7">
      <c r="B234" s="43"/>
      <c r="C234" s="40"/>
      <c r="D234" s="40"/>
      <c r="E234" s="184"/>
      <c r="F234" s="40"/>
      <c r="G234" s="40"/>
    </row>
    <row r="235" spans="2:7">
      <c r="B235" s="43"/>
      <c r="C235" s="40"/>
      <c r="D235" s="40"/>
      <c r="E235" s="184"/>
      <c r="F235" s="40"/>
      <c r="G235" s="40"/>
    </row>
    <row r="236" spans="2:7">
      <c r="B236" s="43"/>
      <c r="C236" s="40"/>
      <c r="D236" s="40"/>
      <c r="E236" s="184"/>
      <c r="F236" s="40"/>
      <c r="G236" s="40"/>
    </row>
    <row r="237" spans="2:7">
      <c r="B237" s="43"/>
      <c r="C237" s="40"/>
      <c r="D237" s="40"/>
      <c r="E237" s="184"/>
      <c r="F237" s="40"/>
      <c r="G237" s="40"/>
    </row>
    <row r="238" spans="2:7">
      <c r="B238" s="43"/>
      <c r="C238" s="40"/>
      <c r="D238" s="40"/>
      <c r="E238" s="184"/>
      <c r="F238" s="40"/>
      <c r="G238" s="40"/>
    </row>
    <row r="239" spans="2:7">
      <c r="B239" s="43"/>
      <c r="C239" s="40"/>
      <c r="D239" s="40"/>
      <c r="E239" s="184"/>
      <c r="F239" s="40"/>
      <c r="G239" s="40"/>
    </row>
    <row r="240" spans="2:7">
      <c r="B240" s="43"/>
      <c r="C240" s="40"/>
      <c r="D240" s="40"/>
      <c r="E240" s="184"/>
      <c r="F240" s="40"/>
      <c r="G240" s="40"/>
    </row>
    <row r="241" spans="2:7">
      <c r="B241" s="43"/>
      <c r="C241" s="40"/>
      <c r="D241" s="40"/>
      <c r="E241" s="184"/>
      <c r="F241" s="40"/>
      <c r="G241" s="40"/>
    </row>
    <row r="242" spans="2:7">
      <c r="B242" s="43"/>
      <c r="C242" s="40"/>
      <c r="D242" s="40"/>
      <c r="E242" s="184"/>
      <c r="F242" s="40"/>
      <c r="G242" s="40"/>
    </row>
    <row r="243" spans="2:7">
      <c r="B243" s="43"/>
      <c r="C243" s="40"/>
      <c r="D243" s="40"/>
      <c r="E243" s="184"/>
      <c r="F243" s="40"/>
      <c r="G243" s="40"/>
    </row>
    <row r="244" spans="2:7">
      <c r="B244" s="40"/>
      <c r="C244" s="40"/>
      <c r="D244" s="151"/>
      <c r="E244" s="40"/>
      <c r="F244" s="40"/>
      <c r="G244" s="40"/>
    </row>
    <row r="245" spans="2:7">
      <c r="B245" s="40"/>
      <c r="C245" s="40"/>
      <c r="D245" s="151"/>
      <c r="E245" s="40"/>
      <c r="F245" s="40"/>
      <c r="G245" s="40"/>
    </row>
    <row r="246" spans="2:7">
      <c r="B246" s="43"/>
      <c r="C246" s="40"/>
      <c r="D246" s="40"/>
      <c r="E246" s="40"/>
      <c r="F246" s="40"/>
      <c r="G246" s="40"/>
    </row>
    <row r="247" spans="2:7">
      <c r="B247" s="43"/>
      <c r="C247" s="40"/>
      <c r="D247" s="40"/>
      <c r="E247" s="40"/>
      <c r="F247" s="40"/>
      <c r="G247" s="40"/>
    </row>
    <row r="248" spans="2:7">
      <c r="B248" s="43"/>
      <c r="C248" s="40"/>
      <c r="D248" s="40"/>
      <c r="E248" s="40"/>
      <c r="F248" s="40"/>
      <c r="G248" s="40"/>
    </row>
    <row r="249" spans="2:7">
      <c r="B249" s="40"/>
      <c r="C249" s="40"/>
      <c r="D249" s="151"/>
      <c r="E249" s="40"/>
      <c r="F249" s="40"/>
      <c r="G249" s="40"/>
    </row>
    <row r="250" spans="2:7">
      <c r="B250" s="40"/>
      <c r="C250" s="40"/>
      <c r="D250" s="151"/>
      <c r="E250" s="40"/>
      <c r="F250" s="40"/>
      <c r="G250" s="40"/>
    </row>
    <row r="251" spans="2:7">
      <c r="B251" s="40"/>
      <c r="C251" s="40"/>
      <c r="D251" s="151"/>
      <c r="E251" s="40"/>
      <c r="F251" s="40"/>
      <c r="G251" s="40"/>
    </row>
    <row r="252" spans="2:7">
      <c r="B252" s="40"/>
      <c r="C252" s="40"/>
      <c r="D252" s="151"/>
      <c r="E252" s="40"/>
      <c r="F252" s="40"/>
      <c r="G252" s="40"/>
    </row>
    <row r="253" spans="2:7">
      <c r="B253" s="40"/>
      <c r="C253" s="40"/>
      <c r="D253" s="151"/>
      <c r="E253" s="40"/>
      <c r="F253" s="40"/>
      <c r="G253" s="40"/>
    </row>
    <row r="254" spans="2:7">
      <c r="B254" s="40"/>
      <c r="C254" s="40"/>
      <c r="D254" s="151"/>
      <c r="E254" s="40"/>
      <c r="F254" s="40"/>
      <c r="G254" s="40"/>
    </row>
    <row r="255" spans="2:7">
      <c r="B255" s="40"/>
      <c r="C255" s="40"/>
      <c r="D255" s="151"/>
      <c r="E255" s="40"/>
      <c r="F255" s="40"/>
      <c r="G255" s="40"/>
    </row>
    <row r="256" spans="2:7">
      <c r="B256" s="40"/>
      <c r="C256" s="40"/>
      <c r="D256" s="151"/>
      <c r="E256" s="40"/>
      <c r="F256" s="40"/>
      <c r="G256" s="40"/>
    </row>
    <row r="257" spans="2:7">
      <c r="B257" s="40"/>
      <c r="C257" s="40"/>
      <c r="D257" s="151"/>
      <c r="E257" s="40"/>
      <c r="F257" s="40"/>
      <c r="G257" s="40"/>
    </row>
    <row r="258" spans="2:7">
      <c r="B258" s="40"/>
      <c r="C258" s="40"/>
      <c r="D258" s="151"/>
      <c r="E258" s="40"/>
      <c r="F258" s="40"/>
      <c r="G258" s="40"/>
    </row>
    <row r="259" spans="2:7">
      <c r="B259" s="40"/>
      <c r="C259" s="40"/>
      <c r="D259" s="151"/>
      <c r="E259" s="40"/>
      <c r="F259" s="40"/>
      <c r="G259" s="40"/>
    </row>
    <row r="260" spans="2:7">
      <c r="B260" s="40"/>
      <c r="C260" s="40"/>
      <c r="D260" s="151"/>
      <c r="E260" s="40"/>
      <c r="F260" s="40"/>
      <c r="G260" s="40"/>
    </row>
    <row r="261" spans="2:7">
      <c r="B261" s="40"/>
      <c r="C261" s="40"/>
      <c r="D261" s="151"/>
      <c r="E261" s="40"/>
      <c r="F261" s="40"/>
      <c r="G261" s="40"/>
    </row>
    <row r="262" spans="2:7">
      <c r="B262" s="40"/>
      <c r="C262" s="40"/>
      <c r="D262" s="151"/>
      <c r="E262" s="40"/>
      <c r="F262" s="40"/>
      <c r="G262" s="40"/>
    </row>
    <row r="263" spans="2:7">
      <c r="B263" s="40"/>
      <c r="C263" s="40"/>
      <c r="D263" s="151"/>
      <c r="E263" s="40"/>
      <c r="F263" s="40"/>
      <c r="G263" s="40"/>
    </row>
    <row r="264" spans="2:7">
      <c r="B264" s="40"/>
      <c r="C264" s="40"/>
      <c r="D264" s="151"/>
      <c r="E264" s="40"/>
      <c r="F264" s="40"/>
      <c r="G264" s="40"/>
    </row>
    <row r="265" spans="2:7">
      <c r="B265" s="40"/>
      <c r="C265" s="40"/>
      <c r="D265" s="151"/>
      <c r="E265" s="40"/>
      <c r="F265" s="40"/>
      <c r="G265" s="40"/>
    </row>
    <row r="266" spans="2:7">
      <c r="B266" s="40"/>
      <c r="C266" s="40"/>
      <c r="D266" s="151"/>
      <c r="E266" s="40"/>
      <c r="F266" s="40"/>
      <c r="G266" s="40"/>
    </row>
    <row r="267" spans="2:7">
      <c r="B267" s="40"/>
      <c r="C267" s="40"/>
      <c r="D267" s="151"/>
      <c r="E267" s="40"/>
      <c r="F267" s="40"/>
      <c r="G267" s="40"/>
    </row>
    <row r="268" spans="2:7">
      <c r="B268" s="40"/>
      <c r="C268" s="40"/>
      <c r="D268" s="151"/>
      <c r="E268" s="40"/>
      <c r="F268" s="40"/>
      <c r="G268" s="40"/>
    </row>
    <row r="269" spans="2:7">
      <c r="B269" s="40"/>
      <c r="C269" s="40"/>
      <c r="D269" s="151"/>
      <c r="E269" s="40"/>
      <c r="F269" s="40"/>
      <c r="G269" s="40"/>
    </row>
    <row r="270" spans="2:7">
      <c r="B270" s="40"/>
      <c r="C270" s="40"/>
      <c r="D270" s="151"/>
      <c r="E270" s="40"/>
      <c r="F270" s="40"/>
      <c r="G270" s="40"/>
    </row>
    <row r="271" spans="2:7">
      <c r="B271" s="40"/>
      <c r="C271" s="40"/>
      <c r="D271" s="151"/>
      <c r="E271" s="40"/>
      <c r="F271" s="40"/>
      <c r="G271" s="40"/>
    </row>
    <row r="272" spans="2:7">
      <c r="B272" s="40"/>
      <c r="C272" s="40"/>
      <c r="D272" s="151"/>
      <c r="E272" s="40"/>
      <c r="F272" s="40"/>
      <c r="G272" s="40"/>
    </row>
    <row r="273" spans="2:7">
      <c r="B273" s="40"/>
      <c r="C273" s="40"/>
      <c r="D273" s="151"/>
      <c r="E273" s="40"/>
      <c r="F273" s="40"/>
      <c r="G273" s="40"/>
    </row>
    <row r="274" spans="2:7">
      <c r="B274" s="40"/>
      <c r="C274" s="40"/>
      <c r="D274" s="151"/>
      <c r="E274" s="40"/>
      <c r="F274" s="40"/>
      <c r="G274" s="40"/>
    </row>
    <row r="275" spans="2:7">
      <c r="B275" s="40"/>
      <c r="C275" s="40"/>
      <c r="D275" s="151"/>
      <c r="E275" s="40"/>
      <c r="F275" s="40"/>
      <c r="G275" s="40"/>
    </row>
    <row r="276" spans="2:7">
      <c r="B276" s="40"/>
      <c r="C276" s="40"/>
      <c r="D276" s="151"/>
      <c r="E276" s="40"/>
      <c r="F276" s="40"/>
      <c r="G276" s="40"/>
    </row>
    <row r="277" spans="2:7">
      <c r="B277" s="40"/>
      <c r="C277" s="40"/>
      <c r="D277" s="151"/>
      <c r="E277" s="40"/>
      <c r="F277" s="40"/>
      <c r="G277" s="40"/>
    </row>
    <row r="278" spans="2:7">
      <c r="B278" s="40"/>
      <c r="C278" s="40"/>
      <c r="D278" s="151"/>
      <c r="E278" s="40"/>
      <c r="F278" s="40"/>
      <c r="G278" s="40"/>
    </row>
    <row r="279" spans="2:7">
      <c r="B279" s="40"/>
      <c r="C279" s="40"/>
      <c r="D279" s="151"/>
      <c r="E279" s="40"/>
      <c r="F279" s="40"/>
      <c r="G279" s="40"/>
    </row>
    <row r="280" spans="2:7">
      <c r="B280" s="43"/>
      <c r="C280" s="40"/>
      <c r="D280" s="151"/>
      <c r="E280" s="40"/>
      <c r="F280" s="40"/>
      <c r="G280" s="40"/>
    </row>
    <row r="281" spans="2:7">
      <c r="B281" s="40"/>
      <c r="C281" s="40"/>
      <c r="D281" s="151"/>
      <c r="E281" s="40"/>
      <c r="F281" s="40"/>
      <c r="G281" s="40"/>
    </row>
    <row r="282" spans="2:7">
      <c r="B282" s="40"/>
      <c r="C282" s="40"/>
      <c r="D282" s="151"/>
      <c r="E282" s="40"/>
      <c r="F282" s="40"/>
      <c r="G282" s="40"/>
    </row>
    <row r="283" spans="2:7">
      <c r="B283" s="40"/>
      <c r="C283" s="40"/>
      <c r="D283" s="151"/>
      <c r="E283" s="40"/>
      <c r="F283" s="40"/>
      <c r="G283" s="40"/>
    </row>
    <row r="284" spans="2:7">
      <c r="B284" s="40"/>
      <c r="C284" s="40"/>
      <c r="D284" s="151"/>
      <c r="E284" s="40"/>
      <c r="F284" s="40"/>
      <c r="G284" s="40"/>
    </row>
    <row r="285" spans="2:7">
      <c r="B285" s="40"/>
      <c r="C285" s="40"/>
      <c r="D285" s="151"/>
      <c r="E285" s="40"/>
      <c r="F285" s="40"/>
      <c r="G285" s="40"/>
    </row>
    <row r="286" spans="2:7">
      <c r="B286" s="40"/>
      <c r="C286" s="40"/>
      <c r="D286" s="151"/>
      <c r="E286" s="40"/>
      <c r="F286" s="40"/>
      <c r="G286" s="40"/>
    </row>
    <row r="287" spans="2:7">
      <c r="B287" s="40"/>
      <c r="C287" s="40"/>
      <c r="D287" s="151"/>
      <c r="E287" s="40"/>
      <c r="F287" s="40"/>
      <c r="G287" s="40"/>
    </row>
    <row r="288" spans="2:7">
      <c r="B288" s="40"/>
      <c r="C288" s="40"/>
      <c r="D288" s="151"/>
      <c r="E288" s="40"/>
      <c r="F288" s="40"/>
      <c r="G288" s="40"/>
    </row>
    <row r="289" spans="2:7">
      <c r="B289" s="40"/>
      <c r="C289" s="40"/>
      <c r="D289" s="151"/>
      <c r="E289" s="40"/>
      <c r="F289" s="40"/>
      <c r="G289" s="40"/>
    </row>
    <row r="290" spans="2:7">
      <c r="B290" s="40"/>
      <c r="C290" s="40"/>
      <c r="D290" s="151"/>
      <c r="E290" s="40"/>
      <c r="F290" s="40"/>
      <c r="G290" s="40"/>
    </row>
    <row r="291" spans="2:7">
      <c r="B291" s="40"/>
      <c r="C291" s="40"/>
      <c r="D291" s="151"/>
      <c r="E291" s="40"/>
      <c r="F291" s="40"/>
      <c r="G291" s="40"/>
    </row>
    <row r="292" spans="2:7">
      <c r="B292" s="40"/>
      <c r="C292" s="40"/>
      <c r="D292" s="151"/>
      <c r="E292" s="40"/>
      <c r="F292" s="40"/>
      <c r="G292" s="40"/>
    </row>
    <row r="293" spans="2:7">
      <c r="B293" s="40"/>
      <c r="C293" s="40"/>
      <c r="D293" s="151"/>
      <c r="E293" s="40"/>
      <c r="F293" s="40"/>
      <c r="G293" s="40"/>
    </row>
    <row r="294" spans="2:7">
      <c r="B294" s="40"/>
      <c r="C294" s="40"/>
      <c r="D294" s="151"/>
      <c r="E294" s="40"/>
      <c r="F294" s="40"/>
      <c r="G294" s="40"/>
    </row>
    <row r="295" spans="2:7">
      <c r="B295" s="40"/>
      <c r="C295" s="40"/>
      <c r="D295" s="151"/>
      <c r="E295" s="40"/>
      <c r="F295" s="40"/>
      <c r="G295" s="40"/>
    </row>
    <row r="296" spans="2:7">
      <c r="B296" s="40"/>
      <c r="C296" s="40"/>
      <c r="D296" s="151"/>
      <c r="E296" s="40"/>
      <c r="F296" s="40"/>
      <c r="G296" s="40"/>
    </row>
    <row r="297" spans="2:7">
      <c r="B297" s="40"/>
      <c r="C297" s="40"/>
      <c r="D297" s="151"/>
      <c r="E297" s="40"/>
      <c r="F297" s="40"/>
      <c r="G297" s="40"/>
    </row>
    <row r="298" spans="2:7">
      <c r="B298" s="40"/>
      <c r="C298" s="40"/>
      <c r="D298" s="151"/>
      <c r="E298" s="40"/>
      <c r="F298" s="40"/>
      <c r="G298" s="40"/>
    </row>
    <row r="299" spans="2:7">
      <c r="B299" s="40"/>
      <c r="C299" s="40"/>
      <c r="D299" s="151"/>
      <c r="E299" s="40"/>
      <c r="F299" s="40"/>
      <c r="G299" s="40"/>
    </row>
    <row r="300" spans="2:7">
      <c r="B300" s="40"/>
      <c r="C300" s="40"/>
      <c r="D300" s="151"/>
      <c r="E300" s="40"/>
      <c r="F300" s="40"/>
      <c r="G300" s="40"/>
    </row>
    <row r="301" spans="2:7">
      <c r="B301" s="40"/>
      <c r="C301" s="40"/>
      <c r="D301" s="151"/>
      <c r="E301" s="40"/>
      <c r="F301" s="40"/>
      <c r="G301" s="40"/>
    </row>
    <row r="302" spans="2:7">
      <c r="B302" s="40"/>
      <c r="C302" s="40"/>
      <c r="D302" s="151"/>
      <c r="E302" s="40"/>
      <c r="F302" s="40"/>
      <c r="G302" s="40"/>
    </row>
    <row r="303" spans="2:7">
      <c r="B303" s="40"/>
      <c r="C303" s="40"/>
      <c r="D303" s="151"/>
      <c r="E303" s="40"/>
      <c r="F303" s="40"/>
      <c r="G303" s="40"/>
    </row>
    <row r="304" spans="2:7">
      <c r="B304" s="40"/>
      <c r="C304" s="40"/>
      <c r="D304" s="151"/>
      <c r="E304" s="40"/>
      <c r="F304" s="40"/>
      <c r="G304" s="40"/>
    </row>
    <row r="305" spans="2:7">
      <c r="B305" s="40"/>
      <c r="C305" s="40"/>
      <c r="D305" s="151"/>
      <c r="E305" s="40"/>
      <c r="F305" s="40"/>
      <c r="G305" s="40"/>
    </row>
    <row r="306" spans="2:7">
      <c r="B306" s="40"/>
      <c r="C306" s="40"/>
      <c r="D306" s="151"/>
      <c r="E306" s="40"/>
      <c r="F306" s="40"/>
      <c r="G306" s="40"/>
    </row>
    <row r="307" spans="2:7">
      <c r="B307" s="40"/>
      <c r="C307" s="40"/>
      <c r="D307" s="151"/>
      <c r="E307" s="40"/>
      <c r="F307" s="40"/>
      <c r="G307" s="40"/>
    </row>
    <row r="308" spans="2:7">
      <c r="B308" s="40"/>
      <c r="C308" s="40"/>
      <c r="D308" s="151"/>
      <c r="E308" s="40"/>
      <c r="F308" s="40"/>
      <c r="G308" s="40"/>
    </row>
    <row r="309" spans="2:7">
      <c r="B309" s="40"/>
      <c r="C309" s="40"/>
      <c r="D309" s="151"/>
      <c r="E309" s="40"/>
      <c r="F309" s="40"/>
      <c r="G309" s="40"/>
    </row>
    <row r="310" spans="2:7">
      <c r="B310" s="40"/>
      <c r="C310" s="40"/>
      <c r="D310" s="151"/>
      <c r="E310" s="40"/>
      <c r="F310" s="40"/>
      <c r="G310" s="40"/>
    </row>
    <row r="311" spans="2:7">
      <c r="B311" s="151"/>
      <c r="C311" s="40"/>
      <c r="D311" s="151"/>
      <c r="E311" s="40"/>
      <c r="F311" s="40"/>
      <c r="G311" s="40"/>
    </row>
    <row r="312" spans="2:7">
      <c r="B312" s="151"/>
      <c r="C312" s="40"/>
      <c r="D312" s="151"/>
      <c r="E312" s="40"/>
      <c r="F312" s="40"/>
      <c r="G312" s="40"/>
    </row>
    <row r="313" spans="2:7">
      <c r="B313" s="40"/>
      <c r="C313" s="40"/>
      <c r="D313" s="151"/>
      <c r="E313" s="40"/>
      <c r="F313" s="40"/>
      <c r="G313" s="40"/>
    </row>
    <row r="314" spans="2:7">
      <c r="B314" s="40"/>
      <c r="C314" s="40"/>
      <c r="D314" s="151"/>
      <c r="E314" s="40"/>
      <c r="F314" s="40"/>
      <c r="G314" s="40"/>
    </row>
    <row r="315" spans="2:7">
      <c r="B315" s="40"/>
      <c r="C315" s="40"/>
      <c r="D315" s="151"/>
      <c r="E315" s="40"/>
      <c r="F315" s="40"/>
      <c r="G315" s="40"/>
    </row>
    <row r="316" spans="2:7">
      <c r="B316" s="40"/>
      <c r="C316" s="40"/>
      <c r="D316" s="151"/>
      <c r="E316" s="40"/>
      <c r="F316" s="40"/>
      <c r="G316" s="40"/>
    </row>
    <row r="317" spans="2:7">
      <c r="B317" s="40"/>
      <c r="C317" s="40"/>
      <c r="D317" s="151"/>
      <c r="E317" s="40"/>
      <c r="F317" s="40"/>
      <c r="G317" s="40"/>
    </row>
    <row r="318" spans="2:7">
      <c r="B318" s="40"/>
      <c r="C318" s="40"/>
      <c r="D318" s="151"/>
      <c r="E318" s="40"/>
      <c r="F318" s="40"/>
      <c r="G318" s="40"/>
    </row>
    <row r="319" spans="2:7">
      <c r="B319" s="151"/>
      <c r="C319" s="40"/>
      <c r="D319" s="151"/>
      <c r="E319" s="40"/>
      <c r="F319" s="40"/>
      <c r="G319" s="40"/>
    </row>
    <row r="320" spans="2:7">
      <c r="B320" s="151"/>
      <c r="C320" s="40"/>
      <c r="D320" s="151"/>
      <c r="E320" s="40"/>
      <c r="F320" s="40"/>
      <c r="G320" s="40"/>
    </row>
    <row r="321" spans="2:7">
      <c r="B321" s="40"/>
      <c r="C321" s="40"/>
      <c r="D321" s="151"/>
      <c r="E321" s="40"/>
      <c r="F321" s="40"/>
      <c r="G321" s="40"/>
    </row>
    <row r="322" spans="2:7">
      <c r="B322" s="151"/>
      <c r="C322" s="40"/>
      <c r="D322" s="151"/>
      <c r="E322" s="40"/>
      <c r="F322" s="40"/>
      <c r="G322" s="40"/>
    </row>
    <row r="323" spans="2:7">
      <c r="B323" s="40"/>
      <c r="C323" s="40"/>
      <c r="D323" s="151"/>
      <c r="E323" s="40"/>
      <c r="F323" s="40"/>
      <c r="G323" s="40"/>
    </row>
    <row r="324" spans="2:7">
      <c r="B324" s="40"/>
      <c r="C324" s="40"/>
      <c r="D324" s="151"/>
      <c r="E324" s="40"/>
      <c r="F324" s="40"/>
      <c r="G324" s="40"/>
    </row>
    <row r="325" spans="2:7">
      <c r="B325" s="40"/>
      <c r="C325" s="40"/>
      <c r="D325" s="151"/>
      <c r="E325" s="40"/>
      <c r="F325" s="40"/>
      <c r="G325" s="40"/>
    </row>
    <row r="326" spans="2:7">
      <c r="B326" s="40"/>
      <c r="C326" s="40"/>
      <c r="D326" s="151"/>
      <c r="E326" s="40"/>
      <c r="F326" s="40"/>
      <c r="G326" s="40"/>
    </row>
    <row r="327" spans="2:7">
      <c r="B327" s="40"/>
      <c r="C327" s="40"/>
      <c r="D327" s="151"/>
      <c r="E327" s="40"/>
      <c r="F327" s="40"/>
      <c r="G327" s="40"/>
    </row>
    <row r="328" spans="2:7">
      <c r="B328" s="40"/>
      <c r="C328" s="40"/>
      <c r="D328" s="151"/>
      <c r="E328" s="40"/>
      <c r="F328" s="40"/>
      <c r="G328" s="40"/>
    </row>
    <row r="329" spans="2:7">
      <c r="B329" s="40"/>
      <c r="C329" s="40"/>
      <c r="D329" s="151"/>
      <c r="E329" s="40"/>
      <c r="F329" s="40"/>
      <c r="G329" s="40"/>
    </row>
    <row r="330" spans="2:7">
      <c r="B330" s="40"/>
      <c r="C330" s="40"/>
      <c r="D330" s="151"/>
      <c r="E330" s="40"/>
      <c r="F330" s="40"/>
      <c r="G330" s="40"/>
    </row>
    <row r="331" spans="2:7">
      <c r="B331" s="40"/>
      <c r="C331" s="40"/>
      <c r="D331" s="151"/>
      <c r="E331" s="40"/>
      <c r="F331" s="40"/>
      <c r="G331" s="40"/>
    </row>
    <row r="332" spans="2:7">
      <c r="B332" s="40"/>
      <c r="C332" s="40"/>
      <c r="D332" s="151"/>
      <c r="E332" s="40"/>
      <c r="F332" s="40"/>
      <c r="G332" s="40"/>
    </row>
    <row r="333" spans="2:7">
      <c r="B333" s="40"/>
      <c r="C333" s="40"/>
      <c r="D333" s="151"/>
      <c r="E333" s="40"/>
      <c r="F333" s="40"/>
      <c r="G333" s="40"/>
    </row>
    <row r="334" spans="2:7">
      <c r="B334" s="40"/>
      <c r="C334" s="40"/>
      <c r="D334" s="151"/>
      <c r="E334" s="40"/>
      <c r="F334" s="40"/>
      <c r="G334" s="40"/>
    </row>
    <row r="335" spans="2:7">
      <c r="B335" s="40"/>
      <c r="C335" s="40"/>
      <c r="D335" s="151"/>
      <c r="E335" s="40"/>
      <c r="F335" s="40"/>
      <c r="G335" s="40"/>
    </row>
    <row r="336" spans="2:7">
      <c r="B336" s="40"/>
      <c r="C336" s="40"/>
      <c r="D336" s="151"/>
      <c r="E336" s="40"/>
      <c r="F336" s="40"/>
      <c r="G336" s="40"/>
    </row>
    <row r="337" spans="2:7">
      <c r="B337" s="40"/>
      <c r="C337" s="40"/>
      <c r="D337" s="151"/>
      <c r="E337" s="40"/>
      <c r="F337" s="40"/>
      <c r="G337" s="40"/>
    </row>
    <row r="338" spans="2:7">
      <c r="B338" s="151"/>
      <c r="C338" s="40"/>
      <c r="D338" s="151"/>
      <c r="E338" s="40"/>
      <c r="F338" s="40"/>
      <c r="G338" s="40"/>
    </row>
    <row r="339" spans="2:7">
      <c r="B339" s="151"/>
      <c r="C339" s="40"/>
      <c r="D339" s="151"/>
      <c r="E339" s="40"/>
      <c r="F339" s="40"/>
      <c r="G339" s="40"/>
    </row>
    <row r="340" spans="2:7">
      <c r="B340" s="151"/>
      <c r="C340" s="40"/>
      <c r="D340" s="151"/>
      <c r="E340" s="40"/>
      <c r="F340" s="40"/>
      <c r="G340" s="40"/>
    </row>
    <row r="341" spans="2:7">
      <c r="B341" s="151"/>
      <c r="C341" s="40"/>
      <c r="D341" s="151"/>
      <c r="E341" s="40"/>
      <c r="F341" s="40"/>
      <c r="G341" s="40"/>
    </row>
    <row r="342" spans="2:7">
      <c r="B342" s="151"/>
      <c r="C342" s="40"/>
      <c r="D342" s="151"/>
      <c r="E342" s="40"/>
      <c r="F342" s="40"/>
      <c r="G342" s="40"/>
    </row>
    <row r="343" spans="2:7">
      <c r="B343" s="40"/>
      <c r="C343" s="40"/>
      <c r="D343" s="151"/>
      <c r="E343" s="40"/>
      <c r="F343" s="40"/>
      <c r="G343" s="40"/>
    </row>
    <row r="344" spans="2:7">
      <c r="B344" s="40"/>
      <c r="C344" s="40"/>
      <c r="D344" s="151"/>
      <c r="E344" s="40"/>
      <c r="F344" s="40"/>
      <c r="G344" s="40"/>
    </row>
    <row r="345" spans="2:7">
      <c r="B345" s="40"/>
      <c r="C345" s="40"/>
      <c r="D345" s="151"/>
      <c r="E345" s="40"/>
      <c r="F345" s="40"/>
      <c r="G345" s="40"/>
    </row>
    <row r="346" spans="2:7">
      <c r="B346" s="40"/>
      <c r="C346" s="40"/>
      <c r="D346" s="151"/>
      <c r="E346" s="40"/>
      <c r="F346" s="40"/>
      <c r="G346" s="40"/>
    </row>
    <row r="347" spans="2:7">
      <c r="B347" s="40"/>
      <c r="C347" s="40"/>
      <c r="D347" s="151"/>
      <c r="E347" s="40"/>
      <c r="F347" s="40"/>
      <c r="G347" s="40"/>
    </row>
    <row r="348" spans="2:7">
      <c r="B348" s="40"/>
      <c r="C348" s="40"/>
      <c r="D348" s="151"/>
      <c r="E348" s="40"/>
      <c r="F348" s="40"/>
      <c r="G348" s="40"/>
    </row>
    <row r="349" spans="2:7">
      <c r="B349" s="40"/>
      <c r="C349" s="40"/>
      <c r="D349" s="151"/>
      <c r="E349" s="40"/>
      <c r="F349" s="40"/>
      <c r="G349" s="40"/>
    </row>
    <row r="350" spans="2:7">
      <c r="B350" s="40"/>
      <c r="C350" s="40"/>
      <c r="D350" s="151"/>
      <c r="E350" s="40"/>
      <c r="F350" s="40"/>
      <c r="G350" s="40"/>
    </row>
    <row r="351" spans="2:7">
      <c r="B351" s="40"/>
      <c r="C351" s="40"/>
      <c r="D351" s="151"/>
      <c r="E351" s="40"/>
      <c r="F351" s="40"/>
      <c r="G351" s="40"/>
    </row>
    <row r="352" spans="2:7">
      <c r="B352" s="40"/>
      <c r="C352" s="40"/>
      <c r="D352" s="151"/>
      <c r="E352" s="40"/>
      <c r="F352" s="40"/>
      <c r="G352" s="40"/>
    </row>
    <row r="353" spans="2:7">
      <c r="B353" s="40"/>
      <c r="C353" s="40"/>
      <c r="D353" s="151"/>
      <c r="E353" s="40"/>
      <c r="F353" s="40"/>
      <c r="G353" s="40"/>
    </row>
    <row r="354" spans="2:7">
      <c r="B354" s="40"/>
      <c r="C354" s="40"/>
      <c r="D354" s="151"/>
      <c r="E354" s="40"/>
      <c r="F354" s="40"/>
      <c r="G354" s="40"/>
    </row>
    <row r="355" spans="2:7">
      <c r="B355" s="43"/>
      <c r="C355" s="40"/>
      <c r="D355" s="151"/>
      <c r="E355" s="40"/>
      <c r="F355" s="40"/>
      <c r="G355" s="40"/>
    </row>
    <row r="356" spans="2:7">
      <c r="B356" s="43"/>
      <c r="C356" s="40"/>
      <c r="D356" s="151"/>
      <c r="E356" s="40"/>
      <c r="F356" s="40"/>
      <c r="G356" s="40"/>
    </row>
    <row r="357" spans="2:7">
      <c r="B357" s="43"/>
      <c r="C357" s="40"/>
      <c r="D357" s="151"/>
      <c r="E357" s="40"/>
      <c r="F357" s="40"/>
      <c r="G357" s="40"/>
    </row>
    <row r="358" spans="2:7">
      <c r="B358" s="43"/>
      <c r="C358" s="40"/>
      <c r="D358" s="151"/>
      <c r="E358" s="40"/>
      <c r="F358" s="40"/>
      <c r="G358" s="40"/>
    </row>
    <row r="359" spans="2:7">
      <c r="B359" s="43"/>
      <c r="C359" s="40"/>
      <c r="D359" s="151"/>
      <c r="E359" s="40"/>
      <c r="F359" s="40"/>
      <c r="G359" s="40"/>
    </row>
    <row r="360" spans="2:7">
      <c r="B360" s="43"/>
      <c r="C360" s="40"/>
      <c r="D360" s="151"/>
      <c r="E360" s="40"/>
      <c r="F360" s="40"/>
      <c r="G360" s="40"/>
    </row>
    <row r="361" spans="2:7">
      <c r="B361" s="40"/>
      <c r="C361" s="40"/>
      <c r="D361" s="40"/>
      <c r="E361" s="40"/>
      <c r="F361" s="40"/>
      <c r="G361" s="40"/>
    </row>
    <row r="362" spans="2:7">
      <c r="B362" s="40"/>
      <c r="C362" s="40"/>
      <c r="D362" s="40"/>
      <c r="E362" s="40"/>
      <c r="F362" s="40"/>
      <c r="G362" s="40"/>
    </row>
    <row r="363" spans="2:7">
      <c r="B363" s="40"/>
      <c r="C363" s="40"/>
      <c r="D363" s="40"/>
      <c r="E363" s="40"/>
      <c r="F363" s="40"/>
      <c r="G363" s="40"/>
    </row>
    <row r="364" spans="2:7">
      <c r="B364" s="40"/>
      <c r="C364" s="40"/>
      <c r="D364" s="40"/>
      <c r="E364" s="40"/>
      <c r="F364" s="40"/>
      <c r="G364" s="40"/>
    </row>
    <row r="365" spans="2:7">
      <c r="B365" s="40"/>
      <c r="C365" s="40"/>
      <c r="D365" s="40"/>
      <c r="E365" s="40"/>
      <c r="F365" s="40"/>
      <c r="G365" s="40"/>
    </row>
    <row r="366" spans="2:7">
      <c r="B366" s="151"/>
      <c r="C366" s="40"/>
      <c r="D366" s="151"/>
      <c r="E366" s="40"/>
      <c r="F366" s="40"/>
      <c r="G366" s="40"/>
    </row>
    <row r="367" spans="2:7">
      <c r="B367" s="151"/>
      <c r="C367" s="40"/>
      <c r="D367" s="151"/>
      <c r="E367" s="40"/>
      <c r="F367" s="40"/>
      <c r="G367" s="40"/>
    </row>
    <row r="368" spans="2:7">
      <c r="B368" s="151"/>
      <c r="C368" s="40"/>
      <c r="D368" s="151"/>
      <c r="E368" s="40"/>
      <c r="F368" s="40"/>
      <c r="G368" s="40"/>
    </row>
    <row r="369" spans="2:7">
      <c r="B369" s="151"/>
      <c r="C369" s="40"/>
      <c r="D369" s="151"/>
      <c r="E369" s="40"/>
      <c r="F369" s="40"/>
      <c r="G369" s="40"/>
    </row>
    <row r="370" spans="2:7">
      <c r="B370" s="40"/>
      <c r="C370" s="40"/>
      <c r="D370" s="151"/>
      <c r="E370" s="40"/>
      <c r="F370" s="40"/>
      <c r="G370" s="40"/>
    </row>
    <row r="371" spans="2:7">
      <c r="B371" s="40"/>
      <c r="C371" s="40"/>
      <c r="D371" s="151"/>
      <c r="E371" s="40"/>
      <c r="F371" s="40"/>
      <c r="G371" s="40"/>
    </row>
    <row r="372" spans="2:7">
      <c r="B372" s="40"/>
      <c r="C372" s="40"/>
      <c r="D372" s="151"/>
      <c r="E372" s="40"/>
      <c r="F372" s="40"/>
      <c r="G372" s="40"/>
    </row>
    <row r="373" spans="2:7">
      <c r="B373" s="40"/>
      <c r="C373" s="40"/>
      <c r="D373" s="151"/>
      <c r="E373" s="40"/>
      <c r="F373" s="40"/>
      <c r="G373" s="40"/>
    </row>
    <row r="374" spans="2:7">
      <c r="B374" s="40"/>
      <c r="C374" s="40"/>
      <c r="D374" s="151"/>
      <c r="E374" s="40"/>
      <c r="F374" s="40"/>
      <c r="G374" s="40"/>
    </row>
    <row r="375" spans="2:7">
      <c r="B375" s="40"/>
      <c r="C375" s="40"/>
      <c r="D375" s="151"/>
      <c r="E375" s="40"/>
      <c r="F375" s="40"/>
      <c r="G375" s="40"/>
    </row>
    <row r="376" spans="2:7">
      <c r="B376" s="40"/>
      <c r="C376" s="40"/>
      <c r="D376" s="151"/>
      <c r="E376" s="40"/>
      <c r="F376" s="40"/>
      <c r="G376" s="40"/>
    </row>
    <row r="377" spans="2:7">
      <c r="B377" s="40"/>
      <c r="C377" s="40"/>
      <c r="D377" s="151"/>
      <c r="E377" s="40"/>
      <c r="F377" s="40"/>
      <c r="G377" s="40"/>
    </row>
    <row r="378" spans="2:7">
      <c r="B378" s="40"/>
      <c r="C378" s="40"/>
      <c r="D378" s="151"/>
      <c r="E378" s="40"/>
      <c r="F378" s="40"/>
      <c r="G378" s="40"/>
    </row>
    <row r="379" spans="2:7">
      <c r="B379" s="40"/>
      <c r="C379" s="40"/>
      <c r="D379" s="151"/>
      <c r="E379" s="40"/>
      <c r="F379" s="40"/>
      <c r="G379" s="40"/>
    </row>
    <row r="380" spans="2:7">
      <c r="B380" s="43"/>
      <c r="C380" s="40"/>
      <c r="D380" s="151"/>
      <c r="E380" s="40"/>
      <c r="F380" s="40"/>
      <c r="G380" s="40"/>
    </row>
    <row r="381" spans="2:7">
      <c r="B381" s="40"/>
      <c r="C381" s="40"/>
      <c r="D381" s="151"/>
      <c r="E381" s="40"/>
      <c r="F381" s="40"/>
      <c r="G381" s="40"/>
    </row>
    <row r="382" spans="2:7">
      <c r="B382" s="40"/>
      <c r="C382" s="40"/>
      <c r="D382" s="151"/>
      <c r="E382" s="40"/>
      <c r="F382" s="40"/>
      <c r="G382" s="40"/>
    </row>
    <row r="383" spans="2:7">
      <c r="B383" s="40"/>
      <c r="C383" s="40"/>
      <c r="D383" s="151"/>
      <c r="E383" s="40"/>
      <c r="F383" s="40"/>
      <c r="G383" s="40"/>
    </row>
    <row r="384" spans="2:7">
      <c r="B384" s="40"/>
      <c r="C384" s="40"/>
      <c r="D384" s="151"/>
      <c r="E384" s="40"/>
      <c r="F384" s="40"/>
      <c r="G384" s="40"/>
    </row>
    <row r="385" spans="2:7">
      <c r="B385" s="40"/>
      <c r="C385" s="40"/>
      <c r="D385" s="151"/>
      <c r="E385" s="40"/>
      <c r="F385" s="40"/>
      <c r="G385" s="40"/>
    </row>
    <row r="386" spans="2:7">
      <c r="B386" s="40"/>
      <c r="C386" s="40"/>
      <c r="D386" s="151"/>
      <c r="E386" s="40"/>
      <c r="F386" s="40"/>
      <c r="G386" s="40"/>
    </row>
    <row r="387" spans="2:7">
      <c r="B387" s="40"/>
      <c r="C387" s="40"/>
      <c r="D387" s="151"/>
      <c r="E387" s="40"/>
      <c r="F387" s="40"/>
      <c r="G387" s="40"/>
    </row>
    <row r="388" spans="2:7">
      <c r="B388" s="40"/>
      <c r="C388" s="40"/>
      <c r="D388" s="151"/>
      <c r="E388" s="40"/>
      <c r="F388" s="40"/>
      <c r="G388" s="40"/>
    </row>
    <row r="389" spans="2:7">
      <c r="B389" s="40"/>
      <c r="C389" s="40"/>
      <c r="D389" s="151"/>
      <c r="E389" s="40"/>
      <c r="F389" s="40"/>
      <c r="G389" s="40"/>
    </row>
    <row r="390" spans="2:7">
      <c r="B390" s="40"/>
      <c r="C390" s="40"/>
      <c r="D390" s="151"/>
      <c r="E390" s="40"/>
      <c r="F390" s="40"/>
      <c r="G390" s="40"/>
    </row>
    <row r="391" spans="2:7">
      <c r="B391" s="40"/>
      <c r="C391" s="40"/>
      <c r="D391" s="151"/>
      <c r="E391" s="40"/>
      <c r="F391" s="40"/>
      <c r="G391" s="40"/>
    </row>
    <row r="392" spans="2:7">
      <c r="B392" s="40"/>
      <c r="C392" s="40"/>
      <c r="D392" s="151"/>
      <c r="E392" s="40"/>
      <c r="F392" s="40"/>
      <c r="G392" s="40"/>
    </row>
    <row r="393" spans="2:7">
      <c r="B393" s="40"/>
      <c r="C393" s="40"/>
      <c r="D393" s="151"/>
      <c r="E393" s="40"/>
      <c r="F393" s="40"/>
      <c r="G393" s="40"/>
    </row>
    <row r="394" spans="2:7">
      <c r="B394" s="40"/>
      <c r="C394" s="40"/>
      <c r="D394" s="151"/>
      <c r="E394" s="40"/>
      <c r="F394" s="40"/>
      <c r="G394" s="40"/>
    </row>
    <row r="395" spans="2:7">
      <c r="B395" s="40"/>
      <c r="C395" s="40"/>
      <c r="D395" s="151"/>
      <c r="E395" s="40"/>
      <c r="F395" s="40"/>
      <c r="G395" s="40"/>
    </row>
    <row r="396" spans="2:7">
      <c r="B396" s="40"/>
      <c r="C396" s="40"/>
      <c r="D396" s="151"/>
      <c r="E396" s="40"/>
      <c r="F396" s="40"/>
      <c r="G396" s="40"/>
    </row>
    <row r="397" spans="2:7">
      <c r="B397" s="40"/>
      <c r="C397" s="40"/>
      <c r="D397" s="151"/>
      <c r="E397" s="40"/>
      <c r="F397" s="40"/>
      <c r="G397" s="40"/>
    </row>
    <row r="398" spans="2:7">
      <c r="B398" s="40"/>
      <c r="C398" s="40"/>
      <c r="D398" s="151"/>
      <c r="E398" s="40"/>
      <c r="F398" s="40"/>
      <c r="G398" s="40"/>
    </row>
    <row r="399" spans="2:7">
      <c r="B399" s="40"/>
      <c r="C399" s="40"/>
      <c r="D399" s="151"/>
      <c r="E399" s="40"/>
      <c r="F399" s="40"/>
      <c r="G399" s="40"/>
    </row>
    <row r="400" spans="2:7">
      <c r="B400" s="40"/>
      <c r="C400" s="40"/>
      <c r="D400" s="151"/>
      <c r="E400" s="40"/>
      <c r="F400" s="40"/>
      <c r="G400" s="40"/>
    </row>
    <row r="401" spans="2:7">
      <c r="B401" s="43"/>
      <c r="C401" s="40"/>
      <c r="D401" s="151"/>
      <c r="E401" s="40"/>
      <c r="F401" s="40"/>
      <c r="G401" s="40"/>
    </row>
    <row r="402" spans="2:7">
      <c r="B402" s="151"/>
      <c r="C402" s="40"/>
      <c r="D402" s="151"/>
      <c r="E402" s="40"/>
      <c r="F402" s="40"/>
      <c r="G402" s="40"/>
    </row>
    <row r="403" spans="2:7">
      <c r="B403" s="151"/>
      <c r="C403" s="40"/>
      <c r="D403" s="151"/>
      <c r="E403" s="40"/>
      <c r="F403" s="40"/>
      <c r="G403" s="40"/>
    </row>
    <row r="404" spans="2:7">
      <c r="B404" s="151"/>
      <c r="C404" s="40"/>
      <c r="D404" s="151"/>
      <c r="E404" s="40"/>
      <c r="F404" s="40"/>
      <c r="G404" s="40"/>
    </row>
    <row r="405" spans="2:7">
      <c r="B405" s="151"/>
      <c r="C405" s="40"/>
      <c r="D405" s="151"/>
      <c r="E405" s="40"/>
      <c r="F405" s="40"/>
      <c r="G405" s="40"/>
    </row>
    <row r="406" spans="2:7">
      <c r="B406" s="151"/>
      <c r="C406" s="40"/>
      <c r="D406" s="151"/>
      <c r="E406" s="40"/>
      <c r="F406" s="40"/>
      <c r="G406" s="40"/>
    </row>
    <row r="407" spans="2:7">
      <c r="B407" s="40"/>
      <c r="C407" s="40"/>
      <c r="D407" s="151"/>
      <c r="E407" s="40"/>
      <c r="F407" s="40"/>
      <c r="G407" s="40"/>
    </row>
    <row r="408" spans="2:7">
      <c r="B408" s="40"/>
      <c r="C408" s="40"/>
      <c r="D408" s="151"/>
      <c r="E408" s="40"/>
      <c r="F408" s="40"/>
      <c r="G408" s="40"/>
    </row>
    <row r="409" spans="2:7">
      <c r="B409" s="40"/>
      <c r="C409" s="40"/>
      <c r="D409" s="151"/>
      <c r="E409" s="40"/>
      <c r="F409" s="40"/>
      <c r="G409" s="40"/>
    </row>
    <row r="410" spans="2:7">
      <c r="B410" s="40"/>
      <c r="C410" s="40"/>
      <c r="D410" s="151"/>
      <c r="E410" s="40"/>
      <c r="F410" s="40"/>
      <c r="G410" s="40"/>
    </row>
    <row r="411" spans="2:7">
      <c r="B411" s="40"/>
      <c r="C411" s="40"/>
      <c r="D411" s="151"/>
      <c r="E411" s="40"/>
      <c r="F411" s="40"/>
      <c r="G411" s="40"/>
    </row>
    <row r="412" spans="2:7">
      <c r="B412" s="40"/>
      <c r="C412" s="40"/>
      <c r="D412" s="151"/>
      <c r="E412" s="40"/>
      <c r="F412" s="40"/>
      <c r="G412" s="40"/>
    </row>
    <row r="413" spans="2:7">
      <c r="B413" s="40"/>
      <c r="C413" s="40"/>
      <c r="D413" s="151"/>
      <c r="E413" s="40"/>
      <c r="F413" s="40"/>
      <c r="G413" s="40"/>
    </row>
    <row r="414" spans="2:7">
      <c r="B414" s="40"/>
      <c r="C414" s="40"/>
      <c r="D414" s="151"/>
      <c r="E414" s="40"/>
      <c r="F414" s="40"/>
      <c r="G414" s="40"/>
    </row>
    <row r="415" spans="2:7">
      <c r="B415" s="40"/>
      <c r="C415" s="40"/>
      <c r="D415" s="151"/>
      <c r="E415" s="40"/>
      <c r="F415" s="40"/>
      <c r="G415" s="40"/>
    </row>
    <row r="416" spans="2:7">
      <c r="B416" s="40"/>
      <c r="C416" s="40"/>
      <c r="D416" s="151"/>
      <c r="E416" s="40"/>
      <c r="F416" s="40"/>
      <c r="G416" s="40"/>
    </row>
    <row r="417" spans="2:7">
      <c r="B417" s="40"/>
      <c r="C417" s="40"/>
      <c r="D417" s="151"/>
      <c r="E417" s="40"/>
      <c r="F417" s="40"/>
      <c r="G417" s="40"/>
    </row>
    <row r="418" spans="2:7">
      <c r="B418" s="40"/>
      <c r="C418" s="40"/>
      <c r="D418" s="151"/>
      <c r="E418" s="40"/>
      <c r="F418" s="40"/>
      <c r="G418" s="40"/>
    </row>
    <row r="419" spans="2:7">
      <c r="B419" s="40"/>
      <c r="C419" s="40"/>
      <c r="D419" s="151"/>
      <c r="E419" s="40"/>
      <c r="F419" s="40"/>
      <c r="G419" s="40"/>
    </row>
    <row r="420" spans="2:7">
      <c r="B420" s="40"/>
      <c r="C420" s="40"/>
      <c r="D420" s="151"/>
      <c r="E420" s="40"/>
      <c r="F420" s="40"/>
      <c r="G420" s="40"/>
    </row>
    <row r="421" spans="2:7">
      <c r="B421" s="40"/>
      <c r="C421" s="40"/>
      <c r="D421" s="151"/>
      <c r="E421" s="40"/>
      <c r="F421" s="40"/>
      <c r="G421" s="40"/>
    </row>
    <row r="422" spans="2:7">
      <c r="B422" s="40"/>
      <c r="C422" s="40"/>
      <c r="D422" s="151"/>
      <c r="E422" s="40"/>
      <c r="F422" s="40"/>
      <c r="G422" s="40"/>
    </row>
    <row r="423" spans="2:7">
      <c r="B423" s="40"/>
      <c r="C423" s="40"/>
      <c r="D423" s="151"/>
      <c r="E423" s="40"/>
      <c r="F423" s="40"/>
      <c r="G423" s="40"/>
    </row>
    <row r="424" spans="2:7">
      <c r="B424" s="43"/>
      <c r="C424" s="40"/>
      <c r="D424" s="151"/>
      <c r="E424" s="40"/>
      <c r="F424" s="40"/>
      <c r="G424" s="40"/>
    </row>
    <row r="425" spans="2:7">
      <c r="B425" s="40"/>
      <c r="C425" s="40"/>
      <c r="D425" s="151"/>
      <c r="E425" s="40"/>
      <c r="F425" s="40"/>
      <c r="G425" s="40"/>
    </row>
    <row r="426" spans="2:7">
      <c r="B426" s="40"/>
      <c r="C426" s="40"/>
      <c r="D426" s="151"/>
      <c r="E426" s="40"/>
      <c r="F426" s="40"/>
      <c r="G426" s="40"/>
    </row>
    <row r="427" spans="2:7">
      <c r="B427" s="40"/>
      <c r="C427" s="40"/>
      <c r="D427" s="151"/>
      <c r="E427" s="40"/>
      <c r="F427" s="40"/>
      <c r="G427" s="40"/>
    </row>
    <row r="428" spans="2:7">
      <c r="B428" s="40"/>
      <c r="C428" s="40"/>
      <c r="D428" s="151"/>
      <c r="E428" s="40"/>
      <c r="F428" s="40"/>
      <c r="G428" s="40"/>
    </row>
    <row r="429" spans="2:7">
      <c r="B429" s="40"/>
      <c r="C429" s="40"/>
      <c r="D429" s="151"/>
      <c r="E429" s="40"/>
      <c r="F429" s="40"/>
      <c r="G429" s="40"/>
    </row>
    <row r="430" spans="2:7">
      <c r="B430" s="40"/>
      <c r="C430" s="40"/>
      <c r="D430" s="151"/>
      <c r="E430" s="40"/>
      <c r="F430" s="40"/>
      <c r="G430" s="40"/>
    </row>
    <row r="431" spans="2:7">
      <c r="B431" s="40"/>
      <c r="C431" s="40"/>
      <c r="D431" s="151"/>
      <c r="E431" s="40"/>
      <c r="F431" s="40"/>
      <c r="G431" s="40"/>
    </row>
    <row r="432" spans="2:7">
      <c r="B432" s="40"/>
      <c r="C432" s="40"/>
      <c r="D432" s="151"/>
      <c r="E432" s="40"/>
      <c r="F432" s="40"/>
      <c r="G432" s="40"/>
    </row>
    <row r="433" spans="2:7">
      <c r="B433" s="40"/>
      <c r="C433" s="40"/>
      <c r="D433" s="151"/>
      <c r="E433" s="40"/>
      <c r="F433" s="40"/>
      <c r="G433" s="40"/>
    </row>
    <row r="434" spans="2:7">
      <c r="B434" s="40"/>
      <c r="C434" s="40"/>
      <c r="D434" s="151"/>
      <c r="E434" s="40"/>
      <c r="F434" s="40"/>
      <c r="G434" s="40"/>
    </row>
    <row r="435" spans="2:7">
      <c r="B435" s="151"/>
      <c r="C435" s="40"/>
      <c r="D435" s="151"/>
      <c r="E435" s="40"/>
      <c r="F435" s="40"/>
      <c r="G435" s="40"/>
    </row>
    <row r="436" spans="2:7">
      <c r="B436" s="151"/>
      <c r="C436" s="40"/>
      <c r="D436" s="151"/>
      <c r="E436" s="40"/>
      <c r="F436" s="40"/>
      <c r="G436" s="40"/>
    </row>
    <row r="437" spans="2:7">
      <c r="B437" s="151"/>
      <c r="C437" s="40"/>
      <c r="D437" s="151"/>
      <c r="E437" s="40"/>
      <c r="F437" s="40"/>
      <c r="G437" s="40"/>
    </row>
    <row r="438" spans="2:7">
      <c r="B438" s="151"/>
      <c r="C438" s="40"/>
      <c r="D438" s="151"/>
      <c r="E438" s="40"/>
      <c r="F438" s="40"/>
      <c r="G438" s="40"/>
    </row>
    <row r="439" spans="2:7">
      <c r="B439" s="151"/>
      <c r="C439" s="40"/>
      <c r="D439" s="151"/>
      <c r="E439" s="40"/>
      <c r="F439" s="40"/>
      <c r="G439" s="40"/>
    </row>
    <row r="440" spans="2:7">
      <c r="B440" s="43"/>
      <c r="C440" s="40"/>
      <c r="D440" s="151"/>
      <c r="E440" s="40"/>
      <c r="F440" s="40"/>
      <c r="G440" s="40"/>
    </row>
    <row r="441" spans="2:7">
      <c r="B441" s="40"/>
      <c r="C441" s="40"/>
      <c r="D441" s="151"/>
      <c r="E441" s="40"/>
      <c r="F441" s="40"/>
      <c r="G441" s="40"/>
    </row>
    <row r="442" spans="2:7">
      <c r="B442" s="40"/>
      <c r="C442" s="40"/>
      <c r="D442" s="151"/>
      <c r="E442" s="40"/>
      <c r="F442" s="40"/>
      <c r="G442" s="40"/>
    </row>
    <row r="443" spans="2:7">
      <c r="B443" s="40"/>
      <c r="C443" s="40"/>
      <c r="D443" s="151"/>
      <c r="E443" s="40"/>
      <c r="F443" s="40"/>
      <c r="G443" s="40"/>
    </row>
    <row r="444" spans="2:7">
      <c r="B444" s="40"/>
      <c r="C444" s="40"/>
      <c r="D444" s="151"/>
      <c r="E444" s="40"/>
      <c r="F444" s="40"/>
      <c r="G444" s="40"/>
    </row>
    <row r="445" spans="2:7">
      <c r="B445" s="40"/>
      <c r="C445" s="40"/>
      <c r="D445" s="151"/>
      <c r="E445" s="40"/>
      <c r="F445" s="40"/>
      <c r="G445" s="40"/>
    </row>
    <row r="446" spans="2:7">
      <c r="B446" s="40"/>
      <c r="C446" s="40"/>
      <c r="D446" s="151"/>
      <c r="E446" s="40"/>
      <c r="F446" s="40"/>
      <c r="G446" s="40"/>
    </row>
    <row r="447" spans="2:7">
      <c r="B447" s="40"/>
      <c r="C447" s="40"/>
      <c r="D447" s="151"/>
      <c r="E447" s="40"/>
      <c r="F447" s="40"/>
      <c r="G447" s="40"/>
    </row>
    <row r="448" spans="2:7">
      <c r="B448" s="40"/>
      <c r="C448" s="40"/>
      <c r="D448" s="151"/>
      <c r="E448" s="40"/>
      <c r="F448" s="40"/>
      <c r="G448" s="40"/>
    </row>
    <row r="449" spans="2:7">
      <c r="B449" s="40"/>
      <c r="C449" s="40"/>
      <c r="D449" s="151"/>
      <c r="E449" s="40"/>
      <c r="F449" s="40"/>
      <c r="G449" s="40"/>
    </row>
    <row r="450" spans="2:7">
      <c r="B450" s="40"/>
      <c r="C450" s="40"/>
      <c r="D450" s="151"/>
      <c r="E450" s="40"/>
      <c r="F450" s="40"/>
      <c r="G450" s="40"/>
    </row>
    <row r="451" spans="2:7">
      <c r="B451" s="43"/>
      <c r="C451" s="40"/>
      <c r="D451" s="151"/>
      <c r="E451" s="40"/>
      <c r="F451" s="40"/>
      <c r="G451" s="40"/>
    </row>
    <row r="452" spans="2:7">
      <c r="B452" s="40"/>
      <c r="C452" s="40"/>
      <c r="D452" s="151"/>
      <c r="E452" s="40"/>
      <c r="F452" s="40"/>
      <c r="G452" s="40"/>
    </row>
    <row r="453" spans="2:7">
      <c r="B453" s="151"/>
      <c r="C453" s="40"/>
      <c r="D453" s="151"/>
      <c r="E453" s="40"/>
      <c r="F453" s="40"/>
      <c r="G453" s="40"/>
    </row>
    <row r="454" spans="2:7">
      <c r="B454" s="40"/>
      <c r="C454" s="40"/>
      <c r="D454" s="151"/>
      <c r="E454" s="40"/>
      <c r="F454" s="40"/>
      <c r="G454" s="40"/>
    </row>
    <row r="455" spans="2:7">
      <c r="B455" s="151"/>
      <c r="C455" s="40"/>
      <c r="D455" s="151"/>
      <c r="E455" s="40"/>
      <c r="F455" s="40"/>
      <c r="G455" s="40"/>
    </row>
    <row r="456" spans="2:7">
      <c r="B456" s="151"/>
      <c r="C456" s="40"/>
      <c r="D456" s="151"/>
      <c r="E456" s="40"/>
      <c r="F456" s="40"/>
      <c r="G456" s="40"/>
    </row>
    <row r="457" spans="2:7">
      <c r="B457" s="151"/>
      <c r="C457" s="40"/>
      <c r="D457" s="151"/>
      <c r="E457" s="40"/>
      <c r="F457" s="40"/>
      <c r="G457" s="40"/>
    </row>
    <row r="458" spans="2:7">
      <c r="B458" s="40"/>
      <c r="C458" s="40"/>
      <c r="D458" s="151"/>
      <c r="E458" s="40"/>
      <c r="F458" s="40"/>
      <c r="G458" s="40"/>
    </row>
    <row r="459" spans="2:7">
      <c r="B459" s="151"/>
      <c r="C459" s="40"/>
      <c r="D459" s="151"/>
      <c r="E459" s="40"/>
      <c r="F459" s="40"/>
      <c r="G459" s="40"/>
    </row>
    <row r="460" spans="2:7">
      <c r="B460" s="40"/>
      <c r="C460" s="40"/>
      <c r="D460" s="151"/>
      <c r="E460" s="40"/>
      <c r="F460" s="40"/>
      <c r="G460" s="40"/>
    </row>
    <row r="461" spans="2:7">
      <c r="B461" s="40"/>
      <c r="C461" s="40"/>
      <c r="D461" s="151"/>
      <c r="E461" s="40"/>
      <c r="F461" s="40"/>
      <c r="G461" s="40"/>
    </row>
    <row r="462" spans="2:7">
      <c r="B462" s="40"/>
      <c r="C462" s="40"/>
      <c r="D462" s="151"/>
      <c r="E462" s="40"/>
      <c r="F462" s="40"/>
      <c r="G462" s="40"/>
    </row>
    <row r="463" spans="2:7">
      <c r="B463" s="40"/>
      <c r="C463" s="40"/>
      <c r="D463" s="151"/>
      <c r="E463" s="40"/>
      <c r="F463" s="40"/>
      <c r="G463" s="40"/>
    </row>
    <row r="464" spans="2:7">
      <c r="B464" s="40"/>
      <c r="C464" s="40"/>
      <c r="D464" s="151"/>
      <c r="E464" s="40"/>
      <c r="F464" s="40"/>
      <c r="G464" s="40"/>
    </row>
    <row r="465" spans="2:7">
      <c r="B465" s="40"/>
      <c r="C465" s="40"/>
      <c r="D465" s="151"/>
      <c r="E465" s="40"/>
      <c r="F465" s="40"/>
      <c r="G465" s="40"/>
    </row>
    <row r="466" spans="2:7">
      <c r="B466" s="40"/>
      <c r="C466" s="40"/>
      <c r="D466" s="151"/>
      <c r="E466" s="40"/>
      <c r="F466" s="40"/>
      <c r="G466" s="40"/>
    </row>
    <row r="467" spans="2:7">
      <c r="B467" s="40"/>
      <c r="C467" s="40"/>
      <c r="D467" s="151"/>
      <c r="E467" s="40"/>
      <c r="F467" s="40"/>
      <c r="G467" s="40"/>
    </row>
    <row r="468" spans="2:7">
      <c r="B468" s="40"/>
      <c r="C468" s="40"/>
      <c r="D468" s="151"/>
      <c r="E468" s="40"/>
      <c r="F468" s="40"/>
      <c r="G468" s="40"/>
    </row>
    <row r="469" spans="2:7">
      <c r="B469" s="40"/>
      <c r="C469" s="40"/>
      <c r="D469" s="151"/>
      <c r="E469" s="40"/>
      <c r="F469" s="40"/>
      <c r="G469" s="40"/>
    </row>
    <row r="470" spans="2:7">
      <c r="B470" s="43"/>
      <c r="C470" s="40"/>
      <c r="D470" s="151"/>
      <c r="E470" s="40"/>
      <c r="F470" s="40"/>
      <c r="G470" s="40"/>
    </row>
    <row r="471" spans="2:7">
      <c r="B471" s="40"/>
      <c r="C471" s="40"/>
      <c r="D471" s="151"/>
      <c r="E471" s="40"/>
      <c r="F471" s="40"/>
      <c r="G471" s="40"/>
    </row>
    <row r="472" spans="2:7">
      <c r="B472" s="40"/>
      <c r="C472" s="40"/>
      <c r="D472" s="151"/>
      <c r="E472" s="40"/>
      <c r="F472" s="40"/>
      <c r="G472" s="40"/>
    </row>
    <row r="473" spans="2:7">
      <c r="B473" s="40"/>
      <c r="C473" s="40"/>
      <c r="D473" s="151"/>
      <c r="E473" s="40"/>
      <c r="F473" s="40"/>
      <c r="G473" s="40"/>
    </row>
    <row r="474" spans="2:7">
      <c r="B474" s="40"/>
      <c r="C474" s="40"/>
      <c r="D474" s="151"/>
      <c r="E474" s="40"/>
      <c r="F474" s="40"/>
      <c r="G474" s="40"/>
    </row>
    <row r="475" spans="2:7">
      <c r="B475" s="40"/>
      <c r="C475" s="40"/>
      <c r="D475" s="151"/>
      <c r="E475" s="40"/>
      <c r="F475" s="40"/>
      <c r="G475" s="40"/>
    </row>
    <row r="476" spans="2:7">
      <c r="B476" s="151"/>
      <c r="C476" s="40"/>
      <c r="D476" s="151"/>
      <c r="E476" s="40"/>
      <c r="F476" s="40"/>
      <c r="G476" s="40"/>
    </row>
    <row r="477" spans="2:7">
      <c r="B477" s="151"/>
      <c r="C477" s="40"/>
      <c r="D477" s="151"/>
      <c r="E477" s="40"/>
      <c r="F477" s="40"/>
      <c r="G477" s="40"/>
    </row>
    <row r="478" spans="2:7">
      <c r="B478" s="151"/>
      <c r="C478" s="40"/>
      <c r="D478" s="151"/>
      <c r="E478" s="40"/>
      <c r="F478" s="40"/>
      <c r="G478" s="40"/>
    </row>
    <row r="479" spans="2:7">
      <c r="B479" s="151"/>
      <c r="C479" s="40"/>
      <c r="D479" s="151"/>
      <c r="E479" s="40"/>
      <c r="F479" s="40"/>
      <c r="G479" s="40"/>
    </row>
    <row r="480" spans="2:7">
      <c r="B480" s="151"/>
      <c r="C480" s="40"/>
      <c r="D480" s="151"/>
      <c r="E480" s="40"/>
      <c r="F480" s="40"/>
      <c r="G480" s="40"/>
    </row>
    <row r="481" spans="2:7">
      <c r="B481" s="40"/>
      <c r="C481" s="40"/>
      <c r="D481" s="151"/>
      <c r="E481" s="40"/>
      <c r="F481" s="40"/>
      <c r="G481" s="40"/>
    </row>
    <row r="482" spans="2:7">
      <c r="B482" s="40"/>
      <c r="C482" s="40"/>
      <c r="D482" s="151"/>
      <c r="E482" s="40"/>
      <c r="F482" s="40"/>
      <c r="G482" s="40"/>
    </row>
    <row r="483" spans="2:7">
      <c r="B483" s="40"/>
      <c r="C483" s="40"/>
      <c r="D483" s="151"/>
      <c r="E483" s="40"/>
      <c r="F483" s="40"/>
      <c r="G483" s="40"/>
    </row>
    <row r="484" spans="2:7">
      <c r="B484" s="40"/>
      <c r="C484" s="40"/>
      <c r="D484" s="151"/>
      <c r="E484" s="40"/>
      <c r="F484" s="40"/>
      <c r="G484" s="40"/>
    </row>
    <row r="485" spans="2:7">
      <c r="B485" s="40"/>
      <c r="C485" s="40"/>
      <c r="D485" s="151"/>
      <c r="E485" s="40"/>
      <c r="F485" s="40"/>
      <c r="G485" s="40"/>
    </row>
    <row r="486" spans="2:7">
      <c r="B486" s="40"/>
      <c r="C486" s="40"/>
      <c r="D486" s="151"/>
      <c r="E486" s="40"/>
      <c r="F486" s="40"/>
      <c r="G486" s="40"/>
    </row>
    <row r="487" spans="2:7">
      <c r="B487" s="40"/>
      <c r="C487" s="40"/>
      <c r="D487" s="151"/>
      <c r="E487" s="40"/>
      <c r="F487" s="40"/>
      <c r="G487" s="40"/>
    </row>
    <row r="488" spans="2:7">
      <c r="B488" s="40"/>
      <c r="C488" s="40"/>
      <c r="D488" s="151"/>
      <c r="E488" s="40"/>
      <c r="F488" s="40"/>
      <c r="G488" s="40"/>
    </row>
    <row r="489" spans="2:7">
      <c r="B489" s="40"/>
      <c r="C489" s="40"/>
      <c r="D489" s="151"/>
      <c r="E489" s="40"/>
      <c r="F489" s="40"/>
      <c r="G489" s="40"/>
    </row>
    <row r="490" spans="2:7">
      <c r="B490" s="40"/>
      <c r="C490" s="40"/>
      <c r="D490" s="151"/>
      <c r="E490" s="40"/>
      <c r="F490" s="40"/>
      <c r="G490" s="40"/>
    </row>
    <row r="491" spans="2:7">
      <c r="B491" s="40"/>
      <c r="C491" s="40"/>
      <c r="D491" s="151"/>
      <c r="E491" s="40"/>
      <c r="F491" s="40"/>
      <c r="G491" s="40"/>
    </row>
    <row r="492" spans="2:7">
      <c r="B492" s="40"/>
      <c r="C492" s="40"/>
      <c r="D492" s="151"/>
      <c r="E492" s="40"/>
      <c r="F492" s="40"/>
      <c r="G492" s="40"/>
    </row>
    <row r="493" spans="2:7">
      <c r="B493" s="40"/>
      <c r="C493" s="40"/>
      <c r="D493" s="151"/>
      <c r="E493" s="40"/>
      <c r="F493" s="40"/>
      <c r="G493" s="40"/>
    </row>
    <row r="494" spans="2:7">
      <c r="B494" s="40"/>
      <c r="C494" s="40"/>
      <c r="D494" s="151"/>
      <c r="E494" s="40"/>
      <c r="F494" s="40"/>
      <c r="G494" s="40"/>
    </row>
    <row r="495" spans="2:7">
      <c r="B495" s="40"/>
      <c r="C495" s="40"/>
      <c r="D495" s="151"/>
      <c r="E495" s="40"/>
      <c r="F495" s="40"/>
      <c r="G495" s="40"/>
    </row>
    <row r="496" spans="2:7">
      <c r="B496" s="40"/>
      <c r="C496" s="40"/>
      <c r="D496" s="151"/>
      <c r="E496" s="40"/>
      <c r="F496" s="40"/>
      <c r="G496" s="40"/>
    </row>
    <row r="497" spans="2:7">
      <c r="B497" s="43"/>
      <c r="C497" s="40"/>
      <c r="D497" s="151"/>
      <c r="E497" s="40"/>
      <c r="F497" s="40"/>
      <c r="G497" s="40"/>
    </row>
    <row r="498" spans="2:7">
      <c r="B498" s="40"/>
      <c r="C498" s="40"/>
      <c r="D498" s="151"/>
      <c r="E498" s="40"/>
      <c r="F498" s="40"/>
      <c r="G498" s="40"/>
    </row>
    <row r="499" spans="2:7">
      <c r="B499" s="40"/>
      <c r="C499" s="40"/>
      <c r="D499" s="151"/>
      <c r="E499" s="40"/>
      <c r="F499" s="40"/>
      <c r="G499" s="40"/>
    </row>
    <row r="500" spans="2:7">
      <c r="B500" s="40"/>
      <c r="C500" s="40"/>
      <c r="D500" s="151"/>
      <c r="E500" s="40"/>
      <c r="F500" s="40"/>
      <c r="G500" s="40"/>
    </row>
    <row r="501" spans="2:7">
      <c r="B501" s="40"/>
      <c r="C501" s="40"/>
      <c r="D501" s="151"/>
      <c r="E501" s="40"/>
      <c r="F501" s="40"/>
      <c r="G501" s="40"/>
    </row>
    <row r="502" spans="2:7">
      <c r="B502" s="40"/>
      <c r="C502" s="40"/>
      <c r="D502" s="151"/>
      <c r="E502" s="40"/>
      <c r="F502" s="40"/>
      <c r="G502" s="40"/>
    </row>
    <row r="503" spans="2:7">
      <c r="B503" s="40"/>
      <c r="C503" s="40"/>
      <c r="D503" s="151"/>
      <c r="E503" s="40"/>
      <c r="F503" s="40"/>
      <c r="G503" s="40"/>
    </row>
    <row r="504" spans="2:7">
      <c r="B504" s="40"/>
      <c r="C504" s="40"/>
      <c r="D504" s="151"/>
      <c r="E504" s="40"/>
      <c r="F504" s="40"/>
      <c r="G504" s="40"/>
    </row>
    <row r="505" spans="2:7">
      <c r="B505" s="40"/>
      <c r="C505" s="40"/>
      <c r="D505" s="151"/>
      <c r="E505" s="40"/>
      <c r="F505" s="40"/>
      <c r="G505" s="40"/>
    </row>
    <row r="506" spans="2:7">
      <c r="B506" s="40"/>
      <c r="C506" s="40"/>
      <c r="D506" s="151"/>
      <c r="E506" s="40"/>
      <c r="F506" s="40"/>
      <c r="G506" s="40"/>
    </row>
    <row r="507" spans="2:7">
      <c r="B507" s="151"/>
      <c r="C507" s="40"/>
      <c r="D507" s="151"/>
      <c r="E507" s="40"/>
      <c r="F507" s="40"/>
      <c r="G507" s="40"/>
    </row>
    <row r="508" spans="2:7">
      <c r="B508" s="151"/>
      <c r="C508" s="40"/>
      <c r="D508" s="151"/>
      <c r="E508" s="40"/>
      <c r="F508" s="40"/>
      <c r="G508" s="40"/>
    </row>
    <row r="509" spans="2:7">
      <c r="B509" s="40"/>
      <c r="C509" s="40"/>
      <c r="D509" s="151"/>
      <c r="E509" s="40"/>
      <c r="F509" s="40"/>
      <c r="G509" s="40"/>
    </row>
    <row r="510" spans="2:7">
      <c r="B510" s="151"/>
      <c r="C510" s="40"/>
      <c r="D510" s="151"/>
      <c r="E510" s="40"/>
      <c r="F510" s="40"/>
      <c r="G510" s="40"/>
    </row>
    <row r="511" spans="2:7">
      <c r="B511" s="40"/>
      <c r="C511" s="40"/>
      <c r="D511" s="151"/>
      <c r="E511" s="40"/>
      <c r="F511" s="40"/>
      <c r="G511" s="40"/>
    </row>
    <row r="512" spans="2:7">
      <c r="B512" s="40"/>
      <c r="C512" s="40"/>
      <c r="D512" s="151"/>
      <c r="E512" s="40"/>
      <c r="F512" s="40"/>
      <c r="G512" s="40"/>
    </row>
    <row r="513" spans="2:7">
      <c r="B513" s="40"/>
      <c r="C513" s="40"/>
      <c r="D513" s="151"/>
      <c r="E513" s="40"/>
      <c r="F513" s="40"/>
      <c r="G513" s="40"/>
    </row>
    <row r="514" spans="2:7">
      <c r="B514" s="40"/>
      <c r="C514" s="40"/>
      <c r="D514" s="151"/>
      <c r="E514" s="40"/>
      <c r="F514" s="40"/>
      <c r="G514" s="40"/>
    </row>
    <row r="515" spans="2:7">
      <c r="B515" s="40"/>
      <c r="C515" s="40"/>
      <c r="D515" s="151"/>
      <c r="E515" s="40"/>
      <c r="F515" s="40"/>
      <c r="G515" s="40"/>
    </row>
    <row r="516" spans="2:7">
      <c r="B516" s="151"/>
      <c r="C516" s="40"/>
      <c r="D516" s="151"/>
      <c r="E516" s="40"/>
      <c r="F516" s="40"/>
      <c r="G516" s="40"/>
    </row>
    <row r="517" spans="2:7">
      <c r="B517" s="151"/>
      <c r="C517" s="40"/>
      <c r="D517" s="151"/>
      <c r="E517" s="40"/>
      <c r="F517" s="40"/>
      <c r="G517" s="40"/>
    </row>
    <row r="518" spans="2:7">
      <c r="B518" s="40"/>
      <c r="C518" s="40"/>
      <c r="D518" s="151"/>
      <c r="E518" s="40"/>
      <c r="F518" s="40"/>
      <c r="G518" s="40"/>
    </row>
    <row r="519" spans="2:7">
      <c r="B519" s="40"/>
      <c r="C519" s="40"/>
      <c r="D519" s="151"/>
      <c r="E519" s="40"/>
      <c r="F519" s="40"/>
      <c r="G519" s="40"/>
    </row>
    <row r="520" spans="2:7">
      <c r="B520" s="151"/>
      <c r="C520" s="40"/>
      <c r="D520" s="151"/>
      <c r="E520" s="40"/>
      <c r="F520" s="40"/>
      <c r="G520" s="40"/>
    </row>
    <row r="521" spans="2:7">
      <c r="B521" s="40"/>
      <c r="C521" s="40"/>
      <c r="D521" s="151"/>
      <c r="E521" s="40"/>
      <c r="F521" s="40"/>
      <c r="G521" s="40"/>
    </row>
    <row r="522" spans="2:7">
      <c r="B522" s="40"/>
      <c r="C522" s="40"/>
      <c r="D522" s="151"/>
      <c r="E522" s="40"/>
      <c r="F522" s="40"/>
      <c r="G522" s="40"/>
    </row>
    <row r="523" spans="2:7">
      <c r="B523" s="151"/>
      <c r="C523" s="40"/>
      <c r="D523" s="151"/>
      <c r="E523" s="40"/>
      <c r="F523" s="40"/>
      <c r="G523" s="40"/>
    </row>
    <row r="524" spans="2:7">
      <c r="B524" s="43"/>
      <c r="C524" s="40"/>
      <c r="D524" s="151"/>
      <c r="E524" s="40"/>
      <c r="F524" s="40"/>
      <c r="G524" s="40"/>
    </row>
    <row r="525" spans="2:7">
      <c r="B525" s="151"/>
      <c r="C525" s="40"/>
      <c r="D525" s="151"/>
      <c r="E525" s="40"/>
      <c r="F525" s="40"/>
      <c r="G525" s="40"/>
    </row>
    <row r="526" spans="2:7">
      <c r="B526" s="151"/>
      <c r="C526" s="40"/>
      <c r="D526" s="151"/>
      <c r="E526" s="40"/>
      <c r="F526" s="40"/>
      <c r="G526" s="40"/>
    </row>
    <row r="527" spans="2:7">
      <c r="B527" s="151"/>
      <c r="C527" s="40"/>
      <c r="D527" s="151"/>
      <c r="E527" s="40"/>
      <c r="F527" s="40"/>
      <c r="G527" s="40"/>
    </row>
    <row r="528" spans="2:7">
      <c r="B528" s="151"/>
      <c r="C528" s="40"/>
      <c r="D528" s="151"/>
      <c r="E528" s="40"/>
      <c r="F528" s="40"/>
      <c r="G528" s="40"/>
    </row>
    <row r="529" spans="2:7">
      <c r="B529" s="151"/>
      <c r="C529" s="40"/>
      <c r="D529" s="151"/>
      <c r="E529" s="40"/>
      <c r="F529" s="40"/>
      <c r="G529" s="40"/>
    </row>
    <row r="530" spans="2:7">
      <c r="B530" s="40"/>
      <c r="C530" s="40"/>
      <c r="D530" s="151"/>
      <c r="E530" s="40"/>
      <c r="F530" s="40"/>
      <c r="G530" s="40"/>
    </row>
    <row r="531" spans="2:7">
      <c r="B531" s="40"/>
      <c r="C531" s="40"/>
      <c r="D531" s="151"/>
      <c r="E531" s="40"/>
      <c r="F531" s="40"/>
      <c r="G531" s="40"/>
    </row>
    <row r="532" spans="2:7">
      <c r="B532" s="40"/>
      <c r="C532" s="40"/>
      <c r="D532" s="151"/>
      <c r="E532" s="40"/>
      <c r="F532" s="40"/>
      <c r="G532" s="40"/>
    </row>
    <row r="533" spans="2:7">
      <c r="B533" s="40"/>
      <c r="C533" s="40"/>
      <c r="D533" s="151"/>
      <c r="E533" s="40"/>
      <c r="F533" s="40"/>
      <c r="G533" s="40"/>
    </row>
    <row r="534" spans="2:7">
      <c r="B534" s="40"/>
      <c r="C534" s="40"/>
      <c r="D534" s="151"/>
      <c r="E534" s="40"/>
      <c r="F534" s="40"/>
      <c r="G534" s="40"/>
    </row>
    <row r="535" spans="2:7">
      <c r="B535" s="40"/>
      <c r="C535" s="40"/>
      <c r="D535" s="151"/>
      <c r="E535" s="40"/>
      <c r="F535" s="40"/>
      <c r="G535" s="40"/>
    </row>
    <row r="536" spans="2:7">
      <c r="B536" s="40"/>
      <c r="C536" s="40"/>
      <c r="D536" s="151"/>
      <c r="E536" s="40"/>
      <c r="F536" s="40"/>
      <c r="G536" s="40"/>
    </row>
    <row r="537" spans="2:7">
      <c r="B537" s="40"/>
      <c r="C537" s="40"/>
      <c r="D537" s="151"/>
      <c r="E537" s="40"/>
      <c r="F537" s="40"/>
      <c r="G537" s="40"/>
    </row>
    <row r="538" spans="2:7">
      <c r="B538" s="40"/>
      <c r="C538" s="40"/>
      <c r="D538" s="151"/>
      <c r="E538" s="40"/>
      <c r="F538" s="40"/>
      <c r="G538" s="40"/>
    </row>
    <row r="539" spans="2:7">
      <c r="B539" s="40"/>
      <c r="C539" s="40"/>
      <c r="D539" s="151"/>
      <c r="E539" s="40"/>
      <c r="F539" s="40"/>
      <c r="G539" s="40"/>
    </row>
    <row r="540" spans="2:7">
      <c r="B540" s="43"/>
      <c r="C540" s="40"/>
      <c r="D540" s="151"/>
      <c r="E540" s="40"/>
      <c r="F540" s="40"/>
      <c r="G540" s="40"/>
    </row>
    <row r="541" spans="2:7">
      <c r="B541" s="40"/>
      <c r="C541" s="40"/>
      <c r="D541" s="151"/>
      <c r="E541" s="40"/>
      <c r="F541" s="40"/>
      <c r="G541" s="40"/>
    </row>
    <row r="542" spans="2:7">
      <c r="B542" s="40"/>
      <c r="C542" s="40"/>
      <c r="D542" s="151"/>
      <c r="E542" s="40"/>
      <c r="F542" s="40"/>
      <c r="G542" s="40"/>
    </row>
    <row r="543" spans="2:7">
      <c r="B543" s="40"/>
      <c r="C543" s="40"/>
      <c r="D543" s="151"/>
      <c r="E543" s="40"/>
      <c r="F543" s="40"/>
      <c r="G543" s="40"/>
    </row>
    <row r="544" spans="2:7">
      <c r="B544" s="40"/>
      <c r="C544" s="40"/>
      <c r="D544" s="151"/>
      <c r="E544" s="40"/>
      <c r="F544" s="40"/>
      <c r="G544" s="40"/>
    </row>
    <row r="545" spans="2:7">
      <c r="B545" s="40"/>
      <c r="C545" s="40"/>
      <c r="D545" s="151"/>
      <c r="E545" s="40"/>
      <c r="F545" s="40"/>
      <c r="G545" s="40"/>
    </row>
    <row r="546" spans="2:7">
      <c r="B546" s="40"/>
      <c r="C546" s="40"/>
      <c r="D546" s="151"/>
      <c r="E546" s="40"/>
      <c r="F546" s="40"/>
      <c r="G546" s="40"/>
    </row>
    <row r="547" spans="2:7">
      <c r="B547" s="40"/>
      <c r="C547" s="40"/>
      <c r="D547" s="151"/>
      <c r="E547" s="40"/>
      <c r="F547" s="40"/>
      <c r="G547" s="40"/>
    </row>
    <row r="548" spans="2:7">
      <c r="B548" s="40"/>
      <c r="C548" s="40"/>
      <c r="D548" s="151"/>
      <c r="E548" s="40"/>
      <c r="F548" s="40"/>
      <c r="G548" s="40"/>
    </row>
    <row r="549" spans="2:7">
      <c r="B549" s="40"/>
      <c r="C549" s="40"/>
      <c r="D549" s="151"/>
      <c r="E549" s="40"/>
      <c r="F549" s="40"/>
      <c r="G549" s="40"/>
    </row>
    <row r="550" spans="2:7">
      <c r="B550" s="40"/>
      <c r="C550" s="40"/>
      <c r="D550" s="151"/>
      <c r="E550" s="40"/>
      <c r="F550" s="40"/>
      <c r="G550" s="40"/>
    </row>
    <row r="551" spans="2:7">
      <c r="B551" s="151"/>
      <c r="C551" s="40"/>
      <c r="D551" s="151"/>
      <c r="E551" s="40"/>
      <c r="F551" s="40"/>
      <c r="G551" s="40"/>
    </row>
    <row r="552" spans="2:7">
      <c r="B552" s="151"/>
      <c r="C552" s="40"/>
      <c r="D552" s="151"/>
      <c r="E552" s="40"/>
      <c r="F552" s="40"/>
      <c r="G552" s="40"/>
    </row>
    <row r="553" spans="2:7">
      <c r="B553" s="151"/>
      <c r="C553" s="40"/>
      <c r="D553" s="151"/>
      <c r="E553" s="40"/>
      <c r="F553" s="40"/>
      <c r="G553" s="40"/>
    </row>
    <row r="554" spans="2:7">
      <c r="B554" s="151"/>
      <c r="C554" s="40"/>
      <c r="D554" s="151"/>
      <c r="E554" s="40"/>
      <c r="F554" s="40"/>
      <c r="G554" s="40"/>
    </row>
    <row r="555" spans="2:7">
      <c r="B555" s="151"/>
      <c r="C555" s="40"/>
      <c r="D555" s="151"/>
      <c r="E555" s="40"/>
      <c r="F555" s="40"/>
      <c r="G555" s="40"/>
    </row>
    <row r="556" spans="2:7">
      <c r="B556" s="151"/>
      <c r="C556" s="40"/>
      <c r="D556" s="151"/>
      <c r="E556" s="40"/>
      <c r="F556" s="40"/>
      <c r="G556" s="40"/>
    </row>
    <row r="557" spans="2:7">
      <c r="B557" s="151"/>
      <c r="C557" s="40"/>
      <c r="D557" s="151"/>
      <c r="E557" s="40"/>
      <c r="F557" s="40"/>
      <c r="G557" s="40"/>
    </row>
    <row r="558" spans="2:7">
      <c r="B558" s="151"/>
      <c r="C558" s="40"/>
      <c r="D558" s="151"/>
      <c r="E558" s="40"/>
      <c r="F558" s="40"/>
      <c r="G558" s="40"/>
    </row>
    <row r="559" spans="2:7">
      <c r="B559" s="151"/>
      <c r="C559" s="40"/>
      <c r="D559" s="151"/>
      <c r="E559" s="40"/>
      <c r="F559" s="40"/>
      <c r="G559" s="40"/>
    </row>
    <row r="560" spans="2:7">
      <c r="B560" s="43"/>
      <c r="C560" s="40"/>
      <c r="D560" s="151"/>
      <c r="E560" s="40"/>
      <c r="F560" s="40"/>
      <c r="G560" s="40"/>
    </row>
    <row r="561" spans="2:7">
      <c r="B561" s="40"/>
      <c r="C561" s="40"/>
      <c r="D561" s="151"/>
      <c r="E561" s="40"/>
      <c r="F561" s="40"/>
      <c r="G561" s="40"/>
    </row>
    <row r="562" spans="2:7">
      <c r="B562" s="40"/>
      <c r="C562" s="40"/>
      <c r="D562" s="151"/>
      <c r="E562" s="40"/>
      <c r="F562" s="40"/>
      <c r="G562" s="40"/>
    </row>
    <row r="563" spans="2:7">
      <c r="B563" s="40"/>
      <c r="C563" s="40"/>
      <c r="D563" s="151"/>
      <c r="E563" s="40"/>
      <c r="F563" s="40"/>
      <c r="G563" s="40"/>
    </row>
    <row r="564" spans="2:7">
      <c r="B564" s="40"/>
      <c r="C564" s="40"/>
      <c r="D564" s="151"/>
      <c r="E564" s="40"/>
      <c r="F564" s="40"/>
      <c r="G564" s="40"/>
    </row>
    <row r="565" spans="2:7">
      <c r="B565" s="40"/>
      <c r="C565" s="40"/>
      <c r="D565" s="151"/>
      <c r="E565" s="40"/>
      <c r="F565" s="40"/>
      <c r="G565" s="40"/>
    </row>
    <row r="566" spans="2:7">
      <c r="B566" s="151"/>
      <c r="C566" s="40"/>
      <c r="D566" s="151"/>
      <c r="E566" s="40"/>
      <c r="F566" s="40"/>
      <c r="G566" s="40"/>
    </row>
    <row r="567" spans="2:7">
      <c r="B567" s="151"/>
      <c r="C567" s="40"/>
      <c r="D567" s="151"/>
      <c r="E567" s="40"/>
      <c r="F567" s="40"/>
      <c r="G567" s="40"/>
    </row>
    <row r="568" spans="2:7">
      <c r="B568" s="151"/>
      <c r="C568" s="40"/>
      <c r="D568" s="151"/>
      <c r="E568" s="40"/>
      <c r="F568" s="40"/>
      <c r="G568" s="40"/>
    </row>
    <row r="569" spans="2:7">
      <c r="B569" s="151"/>
      <c r="C569" s="40"/>
      <c r="D569" s="151"/>
      <c r="E569" s="40"/>
      <c r="F569" s="40"/>
      <c r="G569" s="40"/>
    </row>
    <row r="570" spans="2:7">
      <c r="B570" s="151"/>
      <c r="C570" s="40"/>
      <c r="D570" s="151"/>
      <c r="E570" s="40"/>
      <c r="F570" s="40"/>
      <c r="G570" s="40"/>
    </row>
    <row r="571" spans="2:7">
      <c r="B571" s="151"/>
      <c r="C571" s="40"/>
      <c r="D571" s="151"/>
      <c r="E571" s="40"/>
      <c r="F571" s="40"/>
      <c r="G571" s="40"/>
    </row>
    <row r="572" spans="2:7">
      <c r="B572" s="151"/>
      <c r="C572" s="40"/>
      <c r="D572" s="151"/>
      <c r="E572" s="40"/>
      <c r="F572" s="40"/>
      <c r="G572" s="40"/>
    </row>
    <row r="573" spans="2:7">
      <c r="B573" s="40"/>
      <c r="C573" s="40"/>
      <c r="D573" s="151"/>
      <c r="E573" s="40"/>
      <c r="F573" s="40"/>
      <c r="G573" s="40"/>
    </row>
    <row r="574" spans="2:7">
      <c r="B574" s="40"/>
      <c r="C574" s="40"/>
      <c r="D574" s="151"/>
      <c r="E574" s="40"/>
      <c r="F574" s="40"/>
      <c r="G574" s="40"/>
    </row>
    <row r="575" spans="2:7">
      <c r="B575" s="40"/>
      <c r="C575" s="40"/>
      <c r="D575" s="151"/>
      <c r="E575" s="40"/>
      <c r="F575" s="40"/>
      <c r="G575" s="40"/>
    </row>
    <row r="576" spans="2:7">
      <c r="B576" s="40"/>
      <c r="C576" s="40"/>
      <c r="D576" s="151"/>
      <c r="E576" s="40"/>
      <c r="F576" s="40"/>
      <c r="G576" s="40"/>
    </row>
    <row r="577" spans="2:7">
      <c r="B577" s="151"/>
      <c r="C577" s="40"/>
      <c r="D577" s="151"/>
      <c r="E577" s="40"/>
      <c r="F577" s="40"/>
      <c r="G577" s="40"/>
    </row>
    <row r="578" spans="2:7">
      <c r="B578" s="40"/>
      <c r="C578" s="40"/>
      <c r="D578" s="151"/>
      <c r="E578" s="40"/>
      <c r="F578" s="40"/>
      <c r="G578" s="40"/>
    </row>
    <row r="579" spans="2:7">
      <c r="B579" s="151"/>
      <c r="C579" s="40"/>
      <c r="D579" s="151"/>
      <c r="E579" s="40"/>
      <c r="F579" s="40"/>
      <c r="G579" s="40"/>
    </row>
    <row r="580" spans="2:7">
      <c r="B580" s="40"/>
      <c r="C580" s="40"/>
      <c r="D580" s="151"/>
      <c r="E580" s="40"/>
      <c r="F580" s="40"/>
      <c r="G580" s="40"/>
    </row>
    <row r="581" spans="2:7">
      <c r="B581" s="40"/>
      <c r="C581" s="40"/>
      <c r="D581" s="151"/>
      <c r="E581" s="40"/>
      <c r="F581" s="40"/>
      <c r="G581" s="40"/>
    </row>
    <row r="582" spans="2:7">
      <c r="B582" s="40"/>
      <c r="C582" s="40"/>
      <c r="D582" s="151"/>
      <c r="E582" s="40"/>
      <c r="F582" s="40"/>
      <c r="G582" s="40"/>
    </row>
    <row r="583" spans="2:7">
      <c r="B583" s="40"/>
      <c r="C583" s="40"/>
      <c r="D583" s="151"/>
      <c r="E583" s="40"/>
      <c r="F583" s="40"/>
      <c r="G583" s="40"/>
    </row>
    <row r="584" spans="2:7">
      <c r="B584" s="40"/>
      <c r="C584" s="40"/>
      <c r="D584" s="151"/>
      <c r="E584" s="40"/>
      <c r="F584" s="40"/>
      <c r="G584" s="40"/>
    </row>
    <row r="585" spans="2:7">
      <c r="B585" s="43"/>
      <c r="C585" s="40"/>
      <c r="D585" s="151"/>
      <c r="E585" s="40"/>
      <c r="F585" s="40"/>
      <c r="G585" s="40"/>
    </row>
    <row r="586" spans="2:7">
      <c r="B586" s="40"/>
      <c r="C586" s="40"/>
      <c r="D586" s="151"/>
      <c r="E586" s="40"/>
      <c r="F586" s="40"/>
      <c r="G586" s="40"/>
    </row>
    <row r="587" spans="2:7">
      <c r="B587" s="40"/>
      <c r="C587" s="40"/>
      <c r="D587" s="151"/>
      <c r="E587" s="40"/>
      <c r="F587" s="40"/>
      <c r="G587" s="40"/>
    </row>
    <row r="588" spans="2:7">
      <c r="B588" s="40"/>
      <c r="C588" s="40"/>
      <c r="D588" s="151"/>
      <c r="E588" s="40"/>
      <c r="F588" s="40"/>
      <c r="G588" s="40"/>
    </row>
    <row r="589" spans="2:7">
      <c r="B589" s="40"/>
      <c r="C589" s="40"/>
      <c r="D589" s="151"/>
      <c r="E589" s="40"/>
      <c r="F589" s="40"/>
      <c r="G589" s="40"/>
    </row>
    <row r="590" spans="2:7">
      <c r="B590" s="40"/>
      <c r="C590" s="40"/>
      <c r="D590" s="151"/>
      <c r="E590" s="40"/>
      <c r="F590" s="40"/>
      <c r="G590" s="40"/>
    </row>
    <row r="591" spans="2:7">
      <c r="B591" s="151"/>
      <c r="C591" s="40"/>
      <c r="D591" s="151"/>
      <c r="E591" s="40"/>
      <c r="F591" s="40"/>
      <c r="G591" s="40"/>
    </row>
    <row r="592" spans="2:7">
      <c r="B592" s="151"/>
      <c r="C592" s="40"/>
      <c r="D592" s="151"/>
      <c r="E592" s="40"/>
      <c r="F592" s="40"/>
      <c r="G592" s="40"/>
    </row>
    <row r="593" spans="2:7">
      <c r="B593" s="151"/>
      <c r="C593" s="40"/>
      <c r="D593" s="151"/>
      <c r="E593" s="40"/>
      <c r="F593" s="40"/>
      <c r="G593" s="40"/>
    </row>
    <row r="594" spans="2:7">
      <c r="B594" s="151"/>
      <c r="C594" s="40"/>
      <c r="D594" s="151"/>
      <c r="E594" s="40"/>
      <c r="F594" s="40"/>
      <c r="G594" s="40"/>
    </row>
    <row r="595" spans="2:7">
      <c r="B595" s="151"/>
      <c r="C595" s="40"/>
      <c r="D595" s="151"/>
      <c r="E595" s="40"/>
      <c r="F595" s="40"/>
      <c r="G595" s="40"/>
    </row>
    <row r="596" spans="2:7">
      <c r="B596" s="151"/>
      <c r="C596" s="40"/>
      <c r="D596" s="151"/>
      <c r="E596" s="40"/>
      <c r="F596" s="40"/>
      <c r="G596" s="40"/>
    </row>
    <row r="597" spans="2:7">
      <c r="B597" s="40"/>
      <c r="C597" s="40"/>
      <c r="D597" s="151"/>
      <c r="E597" s="40"/>
      <c r="F597" s="40"/>
      <c r="G597" s="40"/>
    </row>
    <row r="598" spans="2:7">
      <c r="B598" s="40"/>
      <c r="C598" s="40"/>
      <c r="D598" s="151"/>
      <c r="E598" s="40"/>
      <c r="F598" s="40"/>
      <c r="G598" s="40"/>
    </row>
    <row r="599" spans="2:7">
      <c r="B599" s="40"/>
      <c r="C599" s="40"/>
      <c r="D599" s="151"/>
      <c r="E599" s="40"/>
      <c r="F599" s="40"/>
      <c r="G599" s="40"/>
    </row>
    <row r="600" spans="2:7">
      <c r="B600" s="40"/>
      <c r="C600" s="40"/>
      <c r="D600" s="151"/>
      <c r="E600" s="40"/>
      <c r="F600" s="40"/>
      <c r="G600" s="40"/>
    </row>
    <row r="601" spans="2:7">
      <c r="B601" s="40"/>
      <c r="C601" s="40"/>
      <c r="D601" s="151"/>
      <c r="E601" s="40"/>
      <c r="F601" s="40"/>
      <c r="G601" s="40"/>
    </row>
    <row r="602" spans="2:7">
      <c r="B602" s="151"/>
      <c r="C602" s="40"/>
      <c r="D602" s="151"/>
      <c r="E602" s="40"/>
      <c r="F602" s="40"/>
      <c r="G602" s="40"/>
    </row>
    <row r="603" spans="2:7">
      <c r="B603" s="151"/>
      <c r="C603" s="40"/>
      <c r="D603" s="151"/>
      <c r="E603" s="40"/>
      <c r="F603" s="40"/>
      <c r="G603" s="40"/>
    </row>
    <row r="604" spans="2:7">
      <c r="B604" s="151"/>
      <c r="C604" s="40"/>
      <c r="D604" s="151"/>
      <c r="E604" s="40"/>
      <c r="F604" s="40"/>
      <c r="G604" s="40"/>
    </row>
    <row r="605" spans="2:7">
      <c r="B605" s="151"/>
      <c r="C605" s="40"/>
      <c r="D605" s="151"/>
      <c r="E605" s="40"/>
      <c r="F605" s="40"/>
      <c r="G605" s="40"/>
    </row>
    <row r="606" spans="2:7">
      <c r="B606" s="151"/>
      <c r="C606" s="40"/>
      <c r="D606" s="151"/>
      <c r="E606" s="40"/>
      <c r="F606" s="40"/>
      <c r="G606" s="40"/>
    </row>
    <row r="607" spans="2:7">
      <c r="B607" s="40"/>
      <c r="C607" s="40"/>
      <c r="D607" s="151"/>
      <c r="E607" s="40"/>
      <c r="F607" s="40"/>
      <c r="G607" s="40"/>
    </row>
    <row r="608" spans="2:7">
      <c r="B608" s="40"/>
      <c r="C608" s="40"/>
      <c r="D608" s="151"/>
      <c r="E608" s="40"/>
      <c r="F608" s="40"/>
      <c r="G608" s="40"/>
    </row>
    <row r="609" spans="2:7">
      <c r="B609" s="40"/>
      <c r="C609" s="40"/>
      <c r="D609" s="151"/>
      <c r="E609" s="40"/>
      <c r="F609" s="40"/>
      <c r="G609" s="40"/>
    </row>
    <row r="610" spans="2:7">
      <c r="B610" s="40"/>
      <c r="C610" s="40"/>
      <c r="D610" s="151"/>
      <c r="E610" s="40"/>
      <c r="F610" s="40"/>
      <c r="G610" s="40"/>
    </row>
    <row r="611" spans="2:7">
      <c r="B611" s="40"/>
      <c r="C611" s="40"/>
      <c r="D611" s="151"/>
      <c r="E611" s="40"/>
      <c r="F611" s="40"/>
      <c r="G611" s="40"/>
    </row>
    <row r="612" spans="2:7">
      <c r="B612" s="43"/>
      <c r="C612" s="40"/>
      <c r="D612" s="151"/>
      <c r="E612" s="40"/>
      <c r="F612" s="40"/>
      <c r="G612" s="40"/>
    </row>
    <row r="613" spans="2:7">
      <c r="B613" s="151"/>
      <c r="C613" s="40"/>
      <c r="D613" s="151"/>
      <c r="E613" s="40"/>
      <c r="F613" s="40"/>
      <c r="G613" s="40"/>
    </row>
    <row r="614" spans="2:7">
      <c r="B614" s="151"/>
      <c r="C614" s="40"/>
      <c r="D614" s="151"/>
      <c r="E614" s="40"/>
      <c r="F614" s="40"/>
      <c r="G614" s="40"/>
    </row>
    <row r="615" spans="2:7">
      <c r="B615" s="151"/>
      <c r="C615" s="40"/>
      <c r="D615" s="151"/>
      <c r="E615" s="40"/>
      <c r="F615" s="40"/>
      <c r="G615" s="40"/>
    </row>
    <row r="616" spans="2:7">
      <c r="B616" s="151"/>
      <c r="C616" s="40"/>
      <c r="D616" s="151"/>
      <c r="E616" s="40"/>
      <c r="F616" s="40"/>
      <c r="G616" s="40"/>
    </row>
    <row r="617" spans="2:7">
      <c r="B617" s="151"/>
      <c r="C617" s="40"/>
      <c r="D617" s="151"/>
      <c r="E617" s="40"/>
      <c r="F617" s="40"/>
      <c r="G617" s="40"/>
    </row>
    <row r="618" spans="2:7">
      <c r="B618" s="151"/>
      <c r="C618" s="40"/>
      <c r="D618" s="151"/>
      <c r="E618" s="40"/>
      <c r="F618" s="40"/>
      <c r="G618" s="40"/>
    </row>
    <row r="619" spans="2:7">
      <c r="B619" s="151"/>
      <c r="C619" s="40"/>
      <c r="D619" s="151"/>
      <c r="E619" s="40"/>
      <c r="F619" s="40"/>
      <c r="G619" s="40"/>
    </row>
    <row r="620" spans="2:7">
      <c r="B620" s="151"/>
      <c r="C620" s="40"/>
      <c r="D620" s="151"/>
      <c r="E620" s="40"/>
      <c r="F620" s="40"/>
      <c r="G620" s="40"/>
    </row>
    <row r="621" spans="2:7">
      <c r="B621" s="151"/>
      <c r="C621" s="40"/>
      <c r="D621" s="151"/>
      <c r="E621" s="40"/>
      <c r="F621" s="40"/>
      <c r="G621" s="40"/>
    </row>
    <row r="622" spans="2:7">
      <c r="B622" s="151"/>
      <c r="C622" s="40"/>
      <c r="D622" s="151"/>
      <c r="E622" s="40"/>
      <c r="F622" s="40"/>
      <c r="G622" s="40"/>
    </row>
    <row r="623" spans="2:7">
      <c r="B623" s="40"/>
      <c r="C623" s="40"/>
      <c r="D623" s="151"/>
      <c r="E623" s="40"/>
      <c r="F623" s="40"/>
      <c r="G623" s="40"/>
    </row>
    <row r="624" spans="2:7">
      <c r="B624" s="151"/>
      <c r="C624" s="40"/>
      <c r="D624" s="151"/>
      <c r="E624" s="40"/>
      <c r="F624" s="40"/>
      <c r="G624" s="40"/>
    </row>
    <row r="625" spans="2:7">
      <c r="B625" s="151"/>
      <c r="C625" s="40"/>
      <c r="D625" s="151"/>
      <c r="E625" s="40"/>
      <c r="F625" s="40"/>
      <c r="G625" s="40"/>
    </row>
    <row r="626" spans="2:7">
      <c r="B626" s="151"/>
      <c r="C626" s="40"/>
      <c r="D626" s="151"/>
      <c r="E626" s="40"/>
      <c r="F626" s="40"/>
      <c r="G626" s="40"/>
    </row>
    <row r="627" spans="2:7">
      <c r="B627" s="151"/>
      <c r="C627" s="40"/>
      <c r="D627" s="151"/>
      <c r="E627" s="40"/>
      <c r="F627" s="40"/>
      <c r="G627" s="40"/>
    </row>
    <row r="628" spans="2:7">
      <c r="B628" s="151"/>
      <c r="C628" s="40"/>
      <c r="D628" s="151"/>
      <c r="E628" s="40"/>
      <c r="F628" s="40"/>
      <c r="G628" s="40"/>
    </row>
    <row r="629" spans="2:7">
      <c r="B629" s="40"/>
      <c r="C629" s="40"/>
      <c r="D629" s="151"/>
      <c r="E629" s="40"/>
      <c r="F629" s="40"/>
      <c r="G629" s="40"/>
    </row>
    <row r="630" spans="2:7">
      <c r="B630" s="40"/>
      <c r="C630" s="40"/>
      <c r="D630" s="151"/>
      <c r="E630" s="40"/>
      <c r="F630" s="40"/>
      <c r="G630" s="40"/>
    </row>
    <row r="631" spans="2:7">
      <c r="B631" s="40"/>
      <c r="C631" s="40"/>
      <c r="D631" s="151"/>
      <c r="E631" s="40"/>
      <c r="F631" s="40"/>
      <c r="G631" s="40"/>
    </row>
    <row r="632" spans="2:7">
      <c r="B632" s="40"/>
      <c r="C632" s="40"/>
      <c r="D632" s="151"/>
      <c r="E632" s="40"/>
      <c r="F632" s="40"/>
      <c r="G632" s="40"/>
    </row>
    <row r="633" spans="2:7">
      <c r="B633" s="40"/>
      <c r="C633" s="40"/>
      <c r="D633" s="151"/>
      <c r="E633" s="40"/>
      <c r="F633" s="40"/>
      <c r="G633" s="40"/>
    </row>
    <row r="634" spans="2:7">
      <c r="B634" s="151"/>
      <c r="C634" s="40"/>
      <c r="D634" s="151"/>
      <c r="E634" s="151"/>
      <c r="F634" s="40"/>
      <c r="G634" s="40"/>
    </row>
    <row r="635" spans="2:7">
      <c r="B635" s="151"/>
      <c r="C635" s="40"/>
      <c r="D635" s="151"/>
      <c r="E635" s="151"/>
      <c r="F635" s="40"/>
      <c r="G635" s="40"/>
    </row>
    <row r="636" spans="2:7">
      <c r="B636" s="151"/>
      <c r="C636" s="40"/>
      <c r="D636" s="151"/>
      <c r="E636" s="151"/>
      <c r="F636" s="40"/>
      <c r="G636" s="40"/>
    </row>
    <row r="637" spans="2:7">
      <c r="B637" s="151"/>
      <c r="C637" s="40"/>
      <c r="D637" s="151"/>
      <c r="E637" s="151"/>
      <c r="F637" s="40"/>
      <c r="G637" s="40"/>
    </row>
    <row r="638" spans="2:7">
      <c r="B638" s="151"/>
      <c r="C638" s="40"/>
      <c r="D638" s="151"/>
      <c r="E638" s="151"/>
      <c r="F638" s="40"/>
      <c r="G638" s="40"/>
    </row>
    <row r="639" spans="2:7">
      <c r="B639" s="151"/>
      <c r="C639" s="40"/>
      <c r="D639" s="151"/>
      <c r="E639" s="151"/>
      <c r="F639" s="40"/>
      <c r="G639" s="40"/>
    </row>
    <row r="640" spans="2:7">
      <c r="B640" s="151"/>
      <c r="C640" s="40"/>
      <c r="D640" s="151"/>
      <c r="E640" s="151"/>
      <c r="F640" s="40"/>
      <c r="G640" s="40"/>
    </row>
    <row r="641" spans="2:7">
      <c r="B641" s="151"/>
      <c r="C641" s="40"/>
      <c r="D641" s="151"/>
      <c r="E641" s="151"/>
      <c r="F641" s="40"/>
      <c r="G641" s="40"/>
    </row>
    <row r="642" spans="2:7">
      <c r="B642" s="151"/>
      <c r="C642" s="40"/>
      <c r="D642" s="151"/>
      <c r="E642" s="151"/>
      <c r="F642" s="40"/>
      <c r="G642" s="40"/>
    </row>
    <row r="643" spans="2:7">
      <c r="B643" s="151"/>
      <c r="C643" s="40"/>
      <c r="D643" s="151"/>
      <c r="E643" s="151"/>
      <c r="F643" s="40"/>
      <c r="G643" s="40"/>
    </row>
    <row r="644" spans="2:7">
      <c r="B644" s="40"/>
      <c r="C644" s="40"/>
      <c r="D644" s="151"/>
      <c r="E644" s="151"/>
      <c r="F644" s="40"/>
      <c r="G644" s="40"/>
    </row>
    <row r="645" spans="2:7">
      <c r="B645" s="40"/>
      <c r="C645" s="40"/>
      <c r="D645" s="151"/>
      <c r="E645" s="151"/>
      <c r="F645" s="40"/>
      <c r="G645" s="40"/>
    </row>
    <row r="646" spans="2:7">
      <c r="B646" s="40"/>
      <c r="C646" s="40"/>
      <c r="D646" s="151"/>
      <c r="E646" s="151"/>
      <c r="F646" s="40"/>
      <c r="G646" s="40"/>
    </row>
    <row r="647" spans="2:7">
      <c r="B647" s="40"/>
      <c r="C647" s="40"/>
      <c r="D647" s="151"/>
      <c r="E647" s="151"/>
      <c r="F647" s="40"/>
      <c r="G647" s="40"/>
    </row>
    <row r="648" spans="2:7">
      <c r="B648" s="40"/>
      <c r="C648" s="40"/>
      <c r="D648" s="151"/>
      <c r="E648" s="151"/>
      <c r="F648" s="40"/>
      <c r="G648" s="40"/>
    </row>
    <row r="649" spans="2:7">
      <c r="B649" s="40"/>
      <c r="C649" s="40"/>
      <c r="D649" s="151"/>
      <c r="E649" s="40"/>
      <c r="F649" s="40"/>
      <c r="G649" s="40"/>
    </row>
    <row r="650" spans="2:7">
      <c r="B650" s="40"/>
      <c r="C650" s="40"/>
      <c r="D650" s="151"/>
      <c r="E650" s="40"/>
      <c r="F650" s="40"/>
      <c r="G650" s="40"/>
    </row>
    <row r="651" spans="2:7">
      <c r="B651" s="40"/>
      <c r="C651" s="40"/>
      <c r="D651" s="151"/>
      <c r="E651" s="40"/>
      <c r="F651" s="40"/>
      <c r="G651" s="40"/>
    </row>
    <row r="652" spans="2:7">
      <c r="B652" s="40"/>
      <c r="C652" s="40"/>
      <c r="D652" s="151"/>
      <c r="E652" s="40"/>
      <c r="F652" s="40"/>
      <c r="G652" s="40"/>
    </row>
    <row r="653" spans="2:7">
      <c r="B653" s="40"/>
      <c r="C653" s="40"/>
      <c r="D653" s="151"/>
      <c r="E653" s="40"/>
      <c r="F653" s="40"/>
      <c r="G653" s="40"/>
    </row>
    <row r="654" spans="2:7">
      <c r="B654" s="40"/>
      <c r="C654" s="40"/>
      <c r="D654" s="151"/>
      <c r="E654" s="40"/>
      <c r="F654" s="40"/>
      <c r="G654" s="40"/>
    </row>
    <row r="655" spans="2:7">
      <c r="B655" s="151"/>
      <c r="C655" s="40"/>
      <c r="D655" s="151"/>
      <c r="E655" s="151"/>
      <c r="F655" s="40"/>
      <c r="G655" s="40"/>
    </row>
    <row r="656" spans="2:7">
      <c r="B656" s="40"/>
      <c r="C656" s="40"/>
      <c r="D656" s="151"/>
      <c r="E656" s="40"/>
      <c r="F656" s="40"/>
      <c r="G656" s="40"/>
    </row>
    <row r="657" spans="2:7">
      <c r="B657" s="40"/>
      <c r="C657" s="40"/>
      <c r="D657" s="151"/>
      <c r="E657" s="40"/>
      <c r="F657" s="40"/>
      <c r="G657" s="40"/>
    </row>
    <row r="658" spans="2:7">
      <c r="B658" s="40"/>
      <c r="C658" s="40"/>
      <c r="D658" s="151"/>
      <c r="E658" s="40"/>
      <c r="F658" s="40"/>
      <c r="G658" s="40"/>
    </row>
    <row r="659" spans="2:7">
      <c r="B659" s="40"/>
      <c r="C659" s="40"/>
      <c r="D659" s="151"/>
      <c r="E659" s="40"/>
      <c r="F659" s="40"/>
      <c r="G659" s="40"/>
    </row>
    <row r="660" spans="2:7">
      <c r="B660" s="40"/>
      <c r="C660" s="40"/>
      <c r="D660" s="151"/>
      <c r="E660" s="40"/>
      <c r="F660" s="40"/>
      <c r="G660" s="40"/>
    </row>
    <row r="661" spans="2:7">
      <c r="B661" s="40"/>
      <c r="C661" s="40"/>
      <c r="D661" s="151"/>
      <c r="E661" s="40"/>
      <c r="F661" s="40"/>
      <c r="G661" s="40"/>
    </row>
    <row r="662" spans="2:7">
      <c r="B662" s="40"/>
      <c r="C662" s="40"/>
      <c r="D662" s="151"/>
      <c r="E662" s="151"/>
      <c r="F662" s="40"/>
      <c r="G662" s="40"/>
    </row>
    <row r="663" spans="2:7">
      <c r="B663" s="40"/>
      <c r="C663" s="40"/>
      <c r="D663" s="151"/>
      <c r="E663" s="151"/>
      <c r="F663" s="40"/>
      <c r="G663" s="40"/>
    </row>
    <row r="664" spans="2:7">
      <c r="B664" s="40"/>
      <c r="C664" s="40"/>
      <c r="D664" s="151"/>
      <c r="E664" s="151"/>
      <c r="F664" s="40"/>
      <c r="G664" s="40"/>
    </row>
    <row r="665" spans="2:7">
      <c r="B665" s="40"/>
      <c r="C665" s="40"/>
      <c r="D665" s="151"/>
      <c r="E665" s="151"/>
      <c r="F665" s="40"/>
      <c r="G665" s="40"/>
    </row>
    <row r="666" spans="2:7">
      <c r="B666" s="151"/>
      <c r="C666" s="40"/>
      <c r="D666" s="151"/>
      <c r="E666" s="151"/>
      <c r="F666" s="40"/>
      <c r="G666" s="40"/>
    </row>
    <row r="667" spans="2:7">
      <c r="B667" s="151"/>
      <c r="C667" s="40"/>
      <c r="D667" s="151"/>
      <c r="E667" s="151"/>
      <c r="F667" s="40"/>
      <c r="G667" s="40"/>
    </row>
    <row r="668" spans="2:7">
      <c r="B668" s="151"/>
      <c r="C668" s="40"/>
      <c r="D668" s="151"/>
      <c r="E668" s="40"/>
      <c r="F668" s="40"/>
      <c r="G668" s="40"/>
    </row>
    <row r="669" spans="2:7">
      <c r="B669" s="151"/>
      <c r="C669" s="40"/>
      <c r="D669" s="151"/>
      <c r="E669" s="40"/>
      <c r="F669" s="40"/>
      <c r="G669" s="40"/>
    </row>
    <row r="670" spans="2:7">
      <c r="B670" s="151"/>
      <c r="C670" s="40"/>
      <c r="D670" s="151"/>
      <c r="E670" s="40"/>
      <c r="F670" s="40"/>
      <c r="G670" s="40"/>
    </row>
    <row r="671" spans="2:7">
      <c r="B671" s="40"/>
      <c r="C671" s="40"/>
      <c r="D671" s="151"/>
      <c r="E671" s="40"/>
      <c r="F671" s="40"/>
      <c r="G671" s="40"/>
    </row>
    <row r="672" spans="2:7">
      <c r="B672" s="40"/>
      <c r="C672" s="40"/>
      <c r="D672" s="151"/>
      <c r="E672" s="40"/>
      <c r="F672" s="40"/>
      <c r="G672" s="40"/>
    </row>
    <row r="673" spans="2:7">
      <c r="B673" s="40"/>
      <c r="C673" s="40"/>
      <c r="D673" s="151"/>
      <c r="E673" s="40"/>
      <c r="F673" s="40"/>
      <c r="G673" s="40"/>
    </row>
    <row r="674" spans="2:7">
      <c r="B674" s="40"/>
      <c r="C674" s="40"/>
      <c r="D674" s="151"/>
      <c r="E674" s="40"/>
      <c r="F674" s="40"/>
      <c r="G674" s="40"/>
    </row>
    <row r="675" spans="2:7">
      <c r="B675" s="40"/>
      <c r="C675" s="40"/>
      <c r="D675" s="151"/>
      <c r="E675" s="40"/>
      <c r="F675" s="40"/>
      <c r="G675" s="40"/>
    </row>
    <row r="676" spans="2:7">
      <c r="B676" s="40"/>
      <c r="C676" s="40"/>
      <c r="D676" s="151"/>
      <c r="E676" s="40"/>
      <c r="F676" s="40"/>
      <c r="G676" s="40"/>
    </row>
    <row r="677" spans="2:7">
      <c r="B677" s="40"/>
      <c r="C677" s="40"/>
      <c r="D677" s="151"/>
      <c r="E677" s="40"/>
      <c r="F677" s="40"/>
      <c r="G677" s="40"/>
    </row>
    <row r="678" spans="2:7">
      <c r="B678" s="40"/>
      <c r="C678" s="40"/>
      <c r="D678" s="151"/>
      <c r="E678" s="40"/>
      <c r="F678" s="40"/>
      <c r="G678" s="40"/>
    </row>
    <row r="679" spans="2:7">
      <c r="B679" s="40"/>
      <c r="C679" s="40"/>
      <c r="D679" s="151"/>
      <c r="E679" s="40"/>
      <c r="F679" s="40"/>
      <c r="G679" s="40"/>
    </row>
    <row r="680" spans="2:7">
      <c r="B680" s="40"/>
      <c r="C680" s="40"/>
      <c r="D680" s="151"/>
      <c r="E680" s="40"/>
      <c r="F680" s="40"/>
      <c r="G680" s="40"/>
    </row>
    <row r="681" spans="2:7">
      <c r="B681" s="40"/>
      <c r="C681" s="40"/>
      <c r="D681" s="151"/>
      <c r="E681" s="40"/>
      <c r="F681" s="40"/>
      <c r="G681" s="40"/>
    </row>
    <row r="682" spans="2:7">
      <c r="B682" s="40"/>
      <c r="C682" s="40"/>
      <c r="D682" s="151"/>
      <c r="E682" s="40"/>
      <c r="F682" s="40"/>
      <c r="G682" s="40"/>
    </row>
    <row r="683" spans="2:7">
      <c r="B683" s="40"/>
      <c r="C683" s="40"/>
      <c r="D683" s="151"/>
      <c r="E683" s="40"/>
      <c r="F683" s="40"/>
      <c r="G683" s="40"/>
    </row>
    <row r="684" spans="2:7">
      <c r="B684" s="40"/>
      <c r="C684" s="40"/>
      <c r="D684" s="151"/>
      <c r="E684" s="40"/>
      <c r="F684" s="40"/>
      <c r="G684" s="40"/>
    </row>
    <row r="685" spans="2:7">
      <c r="B685" s="40"/>
      <c r="C685" s="40"/>
      <c r="D685" s="151"/>
      <c r="E685" s="40"/>
      <c r="F685" s="40"/>
      <c r="G685" s="40"/>
    </row>
    <row r="686" spans="2:7">
      <c r="B686" s="151"/>
      <c r="C686" s="40"/>
      <c r="D686" s="151"/>
      <c r="E686" s="151"/>
      <c r="F686" s="40"/>
      <c r="G686" s="40"/>
    </row>
    <row r="687" spans="2:7">
      <c r="B687" s="40"/>
      <c r="C687" s="40"/>
      <c r="D687" s="151"/>
      <c r="E687" s="40"/>
      <c r="F687" s="40"/>
      <c r="G687" s="40"/>
    </row>
    <row r="688" spans="2:7">
      <c r="B688" s="151"/>
      <c r="C688" s="40"/>
      <c r="D688" s="151"/>
      <c r="E688" s="151"/>
      <c r="F688" s="40"/>
      <c r="G688" s="40"/>
    </row>
    <row r="689" spans="2:7">
      <c r="B689" s="151"/>
      <c r="C689" s="40"/>
      <c r="D689" s="151"/>
      <c r="E689" s="151"/>
      <c r="F689" s="40"/>
      <c r="G689" s="40"/>
    </row>
    <row r="690" spans="2:7">
      <c r="B690" s="40"/>
      <c r="C690" s="40"/>
      <c r="D690" s="151"/>
      <c r="E690" s="40"/>
      <c r="F690" s="40"/>
      <c r="G690" s="40"/>
    </row>
    <row r="691" spans="2:7">
      <c r="B691" s="40"/>
      <c r="C691" s="40"/>
      <c r="D691" s="151"/>
      <c r="E691" s="40"/>
      <c r="F691" s="40"/>
      <c r="G691" s="40"/>
    </row>
    <row r="692" spans="2:7">
      <c r="B692" s="151"/>
      <c r="C692" s="40"/>
      <c r="D692" s="151"/>
      <c r="E692" s="151"/>
      <c r="F692" s="40"/>
      <c r="G692" s="40"/>
    </row>
    <row r="693" spans="2:7">
      <c r="B693" s="40"/>
      <c r="C693" s="40"/>
      <c r="D693" s="151"/>
      <c r="E693" s="40"/>
      <c r="F693" s="40"/>
      <c r="G693" s="40"/>
    </row>
    <row r="694" spans="2:7">
      <c r="B694" s="40"/>
      <c r="C694" s="40"/>
      <c r="D694" s="151"/>
      <c r="E694" s="40"/>
      <c r="F694" s="40"/>
      <c r="G694" s="40"/>
    </row>
    <row r="695" spans="2:7">
      <c r="B695" s="40"/>
      <c r="C695" s="40"/>
      <c r="D695" s="151"/>
      <c r="E695" s="40"/>
      <c r="F695" s="40"/>
      <c r="G695" s="40"/>
    </row>
    <row r="696" spans="2:7">
      <c r="B696" s="40"/>
      <c r="C696" s="40"/>
      <c r="D696" s="151"/>
      <c r="E696" s="40"/>
      <c r="F696" s="40"/>
      <c r="G696" s="40"/>
    </row>
    <row r="697" spans="2:7">
      <c r="B697" s="40"/>
      <c r="C697" s="40"/>
      <c r="D697" s="151"/>
      <c r="E697" s="40"/>
      <c r="F697" s="40"/>
      <c r="G697" s="40"/>
    </row>
    <row r="698" spans="2:7">
      <c r="B698" s="40"/>
      <c r="C698" s="40"/>
      <c r="D698" s="151"/>
      <c r="E698" s="40"/>
      <c r="F698" s="40"/>
      <c r="G698" s="40"/>
    </row>
    <row r="699" spans="2:7">
      <c r="B699" s="40"/>
      <c r="C699" s="40"/>
      <c r="D699" s="151"/>
      <c r="E699" s="40"/>
      <c r="F699" s="40"/>
      <c r="G699" s="40"/>
    </row>
    <row r="700" spans="2:7">
      <c r="B700" s="40"/>
      <c r="C700" s="40"/>
      <c r="D700" s="151"/>
      <c r="E700" s="40"/>
      <c r="F700" s="40"/>
      <c r="G700" s="40"/>
    </row>
    <row r="701" spans="2:7">
      <c r="B701" s="40"/>
      <c r="C701" s="40"/>
      <c r="D701" s="151"/>
      <c r="E701" s="40"/>
      <c r="F701" s="40"/>
      <c r="G701" s="40"/>
    </row>
    <row r="702" spans="2:7">
      <c r="B702" s="40"/>
      <c r="C702" s="40"/>
      <c r="D702" s="151"/>
      <c r="E702" s="40"/>
      <c r="F702" s="40"/>
      <c r="G702" s="40"/>
    </row>
    <row r="703" spans="2:7">
      <c r="B703" s="151"/>
      <c r="C703" s="40"/>
      <c r="D703" s="151"/>
      <c r="E703" s="151"/>
      <c r="F703" s="40"/>
      <c r="G703" s="40"/>
    </row>
    <row r="704" spans="2:7">
      <c r="B704" s="151"/>
      <c r="C704" s="40"/>
      <c r="D704" s="151"/>
      <c r="E704" s="151"/>
      <c r="F704" s="40"/>
      <c r="G704" s="40"/>
    </row>
    <row r="705" spans="2:7">
      <c r="B705" s="151"/>
      <c r="C705" s="40"/>
      <c r="D705" s="151"/>
      <c r="E705" s="151"/>
      <c r="F705" s="40"/>
      <c r="G705" s="40"/>
    </row>
    <row r="706" spans="2:7">
      <c r="B706" s="151"/>
      <c r="C706" s="40"/>
      <c r="D706" s="151"/>
      <c r="E706" s="151"/>
      <c r="F706" s="40"/>
      <c r="G706" s="40"/>
    </row>
    <row r="707" spans="2:7">
      <c r="B707" s="40"/>
      <c r="C707" s="40"/>
      <c r="D707" s="151"/>
      <c r="E707" s="40"/>
      <c r="F707" s="40"/>
      <c r="G707" s="40"/>
    </row>
    <row r="708" spans="2:7">
      <c r="B708" s="40"/>
      <c r="C708" s="40"/>
      <c r="D708" s="151"/>
      <c r="E708" s="40"/>
      <c r="F708" s="40"/>
      <c r="G708" s="40"/>
    </row>
    <row r="709" spans="2:7">
      <c r="B709" s="40"/>
      <c r="C709" s="40"/>
      <c r="D709" s="151"/>
      <c r="E709" s="40"/>
      <c r="F709" s="40"/>
      <c r="G709" s="40"/>
    </row>
    <row r="710" spans="2:7">
      <c r="B710" s="40"/>
      <c r="C710" s="40"/>
      <c r="D710" s="151"/>
      <c r="E710" s="40"/>
      <c r="F710" s="40"/>
      <c r="G710" s="40"/>
    </row>
    <row r="711" spans="2:7">
      <c r="B711" s="40"/>
      <c r="C711" s="40"/>
      <c r="D711" s="151"/>
      <c r="E711" s="40"/>
      <c r="F711" s="40"/>
      <c r="G711" s="40"/>
    </row>
    <row r="712" spans="2:7">
      <c r="B712" s="40"/>
      <c r="C712" s="40"/>
      <c r="D712" s="151"/>
      <c r="E712" s="40"/>
      <c r="F712" s="40"/>
      <c r="G712" s="40"/>
    </row>
    <row r="713" spans="2:7">
      <c r="B713" s="40"/>
      <c r="C713" s="40"/>
      <c r="D713" s="151"/>
      <c r="E713" s="40"/>
      <c r="F713" s="40"/>
      <c r="G713" s="40"/>
    </row>
    <row r="714" spans="2:7">
      <c r="B714" s="40"/>
      <c r="C714" s="40"/>
      <c r="D714" s="151"/>
      <c r="E714" s="40"/>
      <c r="F714" s="40"/>
      <c r="G714" s="40"/>
    </row>
    <row r="715" spans="2:7">
      <c r="B715" s="40"/>
      <c r="C715" s="40"/>
      <c r="D715" s="151"/>
      <c r="E715" s="40"/>
      <c r="F715" s="40"/>
      <c r="G715" s="40"/>
    </row>
    <row r="716" spans="2:7">
      <c r="B716" s="151"/>
      <c r="C716" s="40"/>
      <c r="D716" s="151"/>
      <c r="E716" s="151"/>
      <c r="F716" s="40"/>
      <c r="G716" s="40"/>
    </row>
    <row r="717" spans="2:7">
      <c r="B717" s="151"/>
      <c r="C717" s="40"/>
      <c r="D717" s="151"/>
      <c r="E717" s="151"/>
      <c r="F717" s="40"/>
      <c r="G717" s="40"/>
    </row>
    <row r="718" spans="2:7">
      <c r="B718" s="151"/>
      <c r="C718" s="40"/>
      <c r="D718" s="151"/>
      <c r="E718" s="151"/>
      <c r="F718" s="40"/>
      <c r="G718" s="40"/>
    </row>
    <row r="719" spans="2:7">
      <c r="B719" s="151"/>
      <c r="C719" s="40"/>
      <c r="D719" s="151"/>
      <c r="E719" s="151"/>
      <c r="F719" s="40"/>
      <c r="G719" s="40"/>
    </row>
    <row r="720" spans="2:7">
      <c r="B720" s="151"/>
      <c r="C720" s="40"/>
      <c r="D720" s="151"/>
      <c r="E720" s="151"/>
      <c r="F720" s="40"/>
      <c r="G720" s="40"/>
    </row>
    <row r="721" spans="2:7">
      <c r="B721" s="40"/>
      <c r="C721" s="40"/>
      <c r="D721" s="151"/>
      <c r="E721" s="40"/>
      <c r="F721" s="40"/>
      <c r="G721" s="40"/>
    </row>
    <row r="722" spans="2:7">
      <c r="B722" s="40"/>
      <c r="C722" s="40"/>
      <c r="D722" s="151"/>
      <c r="E722" s="40"/>
      <c r="F722" s="40"/>
      <c r="G722" s="40"/>
    </row>
    <row r="723" spans="2:7">
      <c r="B723" s="40"/>
      <c r="C723" s="40"/>
      <c r="D723" s="151"/>
      <c r="E723" s="40"/>
      <c r="F723" s="40"/>
      <c r="G723" s="40"/>
    </row>
    <row r="724" spans="2:7">
      <c r="B724" s="40"/>
      <c r="C724" s="40"/>
      <c r="D724" s="151"/>
      <c r="E724" s="40"/>
      <c r="F724" s="40"/>
      <c r="G724" s="40"/>
    </row>
    <row r="725" spans="2:7">
      <c r="B725" s="40"/>
      <c r="C725" s="40"/>
      <c r="D725" s="151"/>
      <c r="E725" s="40"/>
      <c r="F725" s="40"/>
      <c r="G725" s="40"/>
    </row>
    <row r="726" spans="2:7">
      <c r="B726" s="40"/>
      <c r="C726" s="40"/>
      <c r="D726" s="151"/>
      <c r="E726" s="40"/>
      <c r="F726" s="40"/>
      <c r="G726" s="40"/>
    </row>
    <row r="727" spans="2:7">
      <c r="B727" s="40"/>
      <c r="C727" s="40"/>
      <c r="D727" s="151"/>
      <c r="E727" s="40"/>
      <c r="F727" s="40"/>
      <c r="G727" s="40"/>
    </row>
    <row r="728" spans="2:7">
      <c r="B728" s="40"/>
      <c r="C728" s="40"/>
      <c r="D728" s="151"/>
      <c r="E728" s="40"/>
      <c r="F728" s="40"/>
      <c r="G728" s="40"/>
    </row>
    <row r="729" spans="2:7">
      <c r="B729" s="40"/>
      <c r="C729" s="40"/>
      <c r="D729" s="151"/>
      <c r="E729" s="40"/>
      <c r="F729" s="40"/>
      <c r="G729" s="40"/>
    </row>
    <row r="730" spans="2:7">
      <c r="B730" s="40"/>
      <c r="C730" s="40"/>
      <c r="D730" s="151"/>
      <c r="E730" s="40"/>
      <c r="F730" s="40"/>
      <c r="G730" s="40"/>
    </row>
    <row r="731" spans="2:7">
      <c r="B731" s="40"/>
      <c r="C731" s="40"/>
      <c r="D731" s="151"/>
      <c r="E731" s="40"/>
      <c r="F731" s="40"/>
      <c r="G731" s="40"/>
    </row>
    <row r="732" spans="2:7">
      <c r="B732" s="40"/>
      <c r="C732" s="40"/>
      <c r="D732" s="151"/>
      <c r="E732" s="40"/>
      <c r="F732" s="40"/>
      <c r="G732" s="40"/>
    </row>
    <row r="733" spans="2:7">
      <c r="B733" s="40"/>
      <c r="C733" s="40"/>
      <c r="D733" s="151"/>
      <c r="E733" s="40"/>
      <c r="F733" s="40"/>
      <c r="G733" s="40"/>
    </row>
    <row r="734" spans="2:7">
      <c r="B734" s="40"/>
      <c r="C734" s="40"/>
      <c r="D734" s="151"/>
      <c r="E734" s="40"/>
      <c r="F734" s="40"/>
      <c r="G734" s="40"/>
    </row>
    <row r="735" spans="2:7">
      <c r="B735" s="40"/>
      <c r="C735" s="40"/>
      <c r="D735" s="151"/>
      <c r="E735" s="40"/>
      <c r="F735" s="40"/>
      <c r="G735" s="40"/>
    </row>
    <row r="736" spans="2:7">
      <c r="B736" s="40"/>
      <c r="C736" s="40"/>
      <c r="D736" s="151"/>
      <c r="E736" s="40"/>
      <c r="F736" s="40"/>
      <c r="G736" s="40"/>
    </row>
    <row r="737" spans="2:7">
      <c r="B737" s="40"/>
      <c r="C737" s="40"/>
      <c r="D737" s="151"/>
      <c r="E737" s="40"/>
      <c r="F737" s="40"/>
      <c r="G737" s="40"/>
    </row>
    <row r="738" spans="2:7">
      <c r="B738" s="40"/>
      <c r="C738" s="40"/>
      <c r="D738" s="151"/>
      <c r="E738" s="40"/>
      <c r="F738" s="40"/>
      <c r="G738" s="40"/>
    </row>
    <row r="739" spans="2:7">
      <c r="B739" s="40"/>
      <c r="C739" s="40"/>
      <c r="D739" s="151"/>
      <c r="E739" s="40"/>
      <c r="F739" s="40"/>
      <c r="G739" s="40"/>
    </row>
    <row r="740" spans="2:7">
      <c r="B740" s="40"/>
      <c r="C740" s="40"/>
      <c r="D740" s="151"/>
      <c r="E740" s="40"/>
      <c r="F740" s="40"/>
      <c r="G740" s="40"/>
    </row>
    <row r="741" spans="2:7">
      <c r="B741" s="40"/>
      <c r="C741" s="40"/>
      <c r="D741" s="151"/>
      <c r="E741" s="40"/>
      <c r="F741" s="40"/>
      <c r="G741" s="40"/>
    </row>
    <row r="742" spans="2:7">
      <c r="D742" s="146"/>
    </row>
    <row r="743" spans="2:7">
      <c r="D743" s="146"/>
    </row>
    <row r="744" spans="2:7">
      <c r="D744" s="146"/>
    </row>
    <row r="745" spans="2:7">
      <c r="D745" s="146"/>
    </row>
    <row r="746" spans="2:7">
      <c r="D746" s="146"/>
    </row>
    <row r="747" spans="2:7">
      <c r="B747" s="146"/>
      <c r="D747" s="146"/>
      <c r="E747" s="146"/>
    </row>
    <row r="748" spans="2:7">
      <c r="B748" s="146"/>
      <c r="D748" s="146"/>
      <c r="E748" s="146"/>
    </row>
    <row r="749" spans="2:7">
      <c r="B749" s="146"/>
      <c r="D749" s="146"/>
      <c r="E749" s="146"/>
    </row>
    <row r="750" spans="2:7">
      <c r="B750" s="146"/>
      <c r="D750" s="146"/>
      <c r="E750" s="146"/>
    </row>
    <row r="751" spans="2:7">
      <c r="B751" s="146"/>
      <c r="D751" s="146"/>
      <c r="E751" s="146"/>
    </row>
    <row r="752" spans="2:7">
      <c r="D752" s="146"/>
    </row>
    <row r="753" spans="2:5">
      <c r="D753" s="146"/>
    </row>
    <row r="754" spans="2:5">
      <c r="D754" s="146"/>
    </row>
    <row r="755" spans="2:5">
      <c r="D755" s="146"/>
    </row>
    <row r="756" spans="2:5">
      <c r="D756" s="146"/>
    </row>
    <row r="757" spans="2:5">
      <c r="D757" s="146"/>
    </row>
    <row r="758" spans="2:5">
      <c r="D758" s="146"/>
    </row>
    <row r="759" spans="2:5">
      <c r="D759" s="146"/>
    </row>
    <row r="760" spans="2:5">
      <c r="D760" s="146"/>
    </row>
    <row r="761" spans="2:5">
      <c r="D761" s="146"/>
    </row>
    <row r="762" spans="2:5">
      <c r="B762" s="146"/>
      <c r="D762" s="146"/>
      <c r="E762" s="146"/>
    </row>
    <row r="763" spans="2:5">
      <c r="B763" s="146"/>
      <c r="D763" s="146"/>
      <c r="E763" s="146"/>
    </row>
    <row r="764" spans="2:5">
      <c r="B764" s="146"/>
      <c r="D764" s="146"/>
      <c r="E764" s="146"/>
    </row>
    <row r="765" spans="2:5">
      <c r="B765" s="146"/>
      <c r="D765" s="146"/>
      <c r="E765" s="146"/>
    </row>
    <row r="766" spans="2:5">
      <c r="B766" s="146"/>
      <c r="D766" s="146"/>
      <c r="E766" s="146"/>
    </row>
    <row r="775" spans="2:5">
      <c r="D775" s="146"/>
    </row>
    <row r="776" spans="2:5">
      <c r="D776" s="146"/>
    </row>
    <row r="777" spans="2:5">
      <c r="B777" s="146"/>
      <c r="D777" s="146"/>
      <c r="E777" s="146"/>
    </row>
    <row r="778" spans="2:5">
      <c r="B778" s="146"/>
      <c r="D778" s="146"/>
      <c r="E778" s="146"/>
    </row>
    <row r="779" spans="2:5">
      <c r="B779" s="146"/>
      <c r="D779" s="146"/>
      <c r="E779" s="146"/>
    </row>
    <row r="780" spans="2:5">
      <c r="B780" s="146"/>
      <c r="D780" s="146"/>
      <c r="E780" s="146"/>
    </row>
    <row r="781" spans="2:5">
      <c r="B781" s="146"/>
      <c r="D781" s="146"/>
      <c r="E781" s="146"/>
    </row>
    <row r="791" spans="2:5">
      <c r="B791" s="146"/>
      <c r="C791" s="146"/>
      <c r="D791" s="146"/>
      <c r="E791" s="146"/>
    </row>
    <row r="794" spans="2:5">
      <c r="B794" s="146"/>
      <c r="C794" s="146"/>
      <c r="D794" s="146"/>
      <c r="E794" s="146"/>
    </row>
    <row r="800" spans="2:5">
      <c r="B800" s="146"/>
      <c r="C800" s="146"/>
      <c r="D800" s="146"/>
      <c r="E800" s="146"/>
    </row>
    <row r="809" spans="2:7">
      <c r="B809" s="146"/>
      <c r="C809" s="146"/>
      <c r="D809" s="146"/>
      <c r="E809" s="146"/>
      <c r="F809" s="146"/>
      <c r="G809" s="146"/>
    </row>
    <row r="810" spans="2:7">
      <c r="F810" s="146"/>
      <c r="G810" s="146"/>
    </row>
    <row r="811" spans="2:7">
      <c r="F811" s="146"/>
      <c r="G811" s="146"/>
    </row>
    <row r="812" spans="2:7">
      <c r="F812" s="146"/>
      <c r="G812" s="146"/>
    </row>
    <row r="813" spans="2:7">
      <c r="F813" s="146"/>
      <c r="G813" s="146"/>
    </row>
    <row r="814" spans="2:7">
      <c r="B814" s="146"/>
      <c r="C814" s="146"/>
      <c r="D814" s="146"/>
      <c r="E814" s="146"/>
      <c r="F814" s="146"/>
      <c r="G814" s="146"/>
    </row>
    <row r="824" spans="2:5">
      <c r="B824" s="146"/>
      <c r="C824" s="146"/>
      <c r="D824" s="146"/>
      <c r="E824" s="146"/>
    </row>
    <row r="825" spans="2:5">
      <c r="B825" s="146"/>
      <c r="C825" s="146"/>
      <c r="D825" s="146"/>
      <c r="E825" s="146"/>
    </row>
    <row r="849" spans="2:6">
      <c r="B849" s="146"/>
      <c r="C849" s="146"/>
      <c r="D849" s="146"/>
      <c r="E849" s="146"/>
      <c r="F849" s="146"/>
    </row>
    <row r="850" spans="2:6">
      <c r="F850" s="146"/>
    </row>
    <row r="851" spans="2:6">
      <c r="F851" s="146"/>
    </row>
    <row r="852" spans="2:6">
      <c r="F852" s="146"/>
    </row>
    <row r="853" spans="2:6">
      <c r="F853" s="146"/>
    </row>
    <row r="855" spans="2:6">
      <c r="B855" s="146"/>
      <c r="C855" s="146"/>
      <c r="D855" s="146"/>
      <c r="E855" s="146"/>
    </row>
    <row r="859" spans="2:6">
      <c r="B859" s="146"/>
      <c r="C859" s="146"/>
      <c r="D859" s="146"/>
      <c r="E859" s="146"/>
    </row>
    <row r="877" spans="2:5">
      <c r="B877" s="146"/>
      <c r="C877" s="146"/>
      <c r="D877" s="146"/>
      <c r="E877" s="146"/>
    </row>
    <row r="891" spans="2:5">
      <c r="B891" s="146"/>
      <c r="C891" s="146"/>
      <c r="D891" s="146"/>
      <c r="E891" s="146"/>
    </row>
    <row r="899" spans="2:5">
      <c r="B899" s="146"/>
      <c r="C899" s="146"/>
      <c r="D899" s="146"/>
      <c r="E899" s="146"/>
    </row>
    <row r="913" spans="2:5">
      <c r="B913" s="146"/>
      <c r="C913" s="146"/>
      <c r="D913" s="146"/>
      <c r="E913" s="146"/>
    </row>
    <row r="922" spans="2:5">
      <c r="B922" s="146"/>
      <c r="C922" s="146"/>
      <c r="D922" s="146"/>
      <c r="E922" s="146"/>
    </row>
    <row r="923" spans="2:5">
      <c r="B923" s="146"/>
      <c r="C923" s="146"/>
      <c r="D923" s="146"/>
      <c r="E923" s="146"/>
    </row>
    <row r="935" spans="2:6">
      <c r="B935" s="146"/>
      <c r="C935" s="146"/>
      <c r="D935" s="146"/>
      <c r="E935" s="146"/>
      <c r="F935" s="146"/>
    </row>
    <row r="958" spans="2:5">
      <c r="B958" s="146"/>
      <c r="C958" s="146"/>
      <c r="D958" s="146"/>
      <c r="E958" s="146"/>
    </row>
    <row r="968" spans="2:5">
      <c r="B968" s="146"/>
      <c r="C968" s="146"/>
      <c r="D968" s="146"/>
      <c r="E968" s="146"/>
    </row>
    <row r="974" spans="2:5">
      <c r="B974" s="146"/>
      <c r="C974" s="146"/>
      <c r="D974" s="146"/>
      <c r="E974" s="146"/>
    </row>
    <row r="977" spans="2:5">
      <c r="B977" s="146"/>
      <c r="C977" s="146"/>
      <c r="D977" s="146"/>
      <c r="E977" s="146"/>
    </row>
    <row r="990" spans="2:5">
      <c r="B990" s="146"/>
      <c r="C990" s="146"/>
      <c r="D990" s="146"/>
      <c r="E990" s="146"/>
    </row>
    <row r="996" spans="2:5">
      <c r="B996" s="146"/>
      <c r="C996" s="146"/>
      <c r="D996" s="146"/>
      <c r="E996" s="146"/>
    </row>
    <row r="1008" spans="2:5">
      <c r="B1008" s="146"/>
      <c r="C1008" s="146"/>
      <c r="D1008" s="146"/>
      <c r="E1008" s="146"/>
    </row>
    <row r="1016" spans="2:5">
      <c r="B1016" s="146"/>
      <c r="C1016" s="146"/>
      <c r="D1016" s="146"/>
      <c r="E1016" s="146"/>
    </row>
    <row r="1017" spans="2:5">
      <c r="B1017" s="146"/>
      <c r="C1017" s="146"/>
      <c r="D1017" s="146"/>
      <c r="E1017" s="146"/>
    </row>
    <row r="1021" spans="2:5">
      <c r="B1021" s="146"/>
      <c r="C1021" s="146"/>
      <c r="D1021" s="146"/>
      <c r="E1021" s="146"/>
    </row>
    <row r="1022" spans="2:5">
      <c r="B1022" s="146"/>
      <c r="C1022" s="146"/>
      <c r="D1022" s="146"/>
      <c r="E1022" s="146"/>
    </row>
    <row r="1029" spans="2:5">
      <c r="B1029" s="146"/>
      <c r="C1029" s="146"/>
      <c r="D1029" s="146"/>
      <c r="E1029" s="146"/>
    </row>
    <row r="1032" spans="2:5">
      <c r="B1032" s="146"/>
      <c r="C1032" s="146"/>
      <c r="D1032" s="146"/>
      <c r="E1032" s="146"/>
    </row>
    <row r="1036" spans="2:5">
      <c r="B1036" s="146"/>
      <c r="C1036" s="146"/>
      <c r="D1036" s="146"/>
      <c r="E1036" s="146"/>
    </row>
    <row r="1037" spans="2:5">
      <c r="B1037" s="146"/>
      <c r="C1037" s="146"/>
      <c r="D1037" s="146"/>
      <c r="E1037" s="146"/>
    </row>
    <row r="1038" spans="2:5">
      <c r="B1038" s="146"/>
      <c r="C1038" s="146"/>
      <c r="D1038" s="146"/>
      <c r="E1038" s="146"/>
    </row>
    <row r="1039" spans="2:5">
      <c r="C1039" s="146"/>
    </row>
    <row r="1043" spans="2:5">
      <c r="B1043" s="146"/>
      <c r="C1043" s="146"/>
      <c r="D1043" s="146"/>
      <c r="E1043" s="146"/>
    </row>
    <row r="1045" spans="2:5">
      <c r="B1045" s="146"/>
      <c r="C1045" s="146"/>
      <c r="D1045" s="146"/>
      <c r="E1045" s="146"/>
    </row>
    <row r="1050" spans="2:5">
      <c r="B1050" s="146"/>
      <c r="C1050" s="146"/>
      <c r="D1050" s="146"/>
      <c r="E1050" s="146"/>
    </row>
    <row r="1081" spans="2:5">
      <c r="B1081" s="146"/>
      <c r="C1081" s="146"/>
      <c r="D1081" s="146"/>
      <c r="E1081" s="146"/>
    </row>
    <row r="1085" spans="2:5">
      <c r="B1085" s="146"/>
      <c r="C1085" s="146"/>
      <c r="D1085" s="146"/>
      <c r="E1085" s="146"/>
    </row>
    <row r="1093" spans="2:5">
      <c r="B1093" s="146"/>
      <c r="C1093" s="146"/>
      <c r="D1093" s="146"/>
      <c r="E1093" s="146"/>
    </row>
    <row r="1114" spans="2:5">
      <c r="B1114" s="146"/>
      <c r="C1114" s="146"/>
      <c r="D1114" s="146"/>
      <c r="E1114" s="146"/>
    </row>
    <row r="1116" spans="2:5">
      <c r="B1116" s="146"/>
      <c r="C1116" s="146"/>
      <c r="D1116" s="146"/>
      <c r="E1116" s="146"/>
    </row>
    <row r="1135" spans="7:7">
      <c r="G1135" s="146"/>
    </row>
    <row r="1136" spans="7:7">
      <c r="G1136" s="146"/>
    </row>
    <row r="1137" spans="7:7">
      <c r="G1137" s="146"/>
    </row>
    <row r="1138" spans="7:7">
      <c r="G1138" s="146"/>
    </row>
    <row r="1139" spans="7:7">
      <c r="G1139" s="146"/>
    </row>
  </sheetData>
  <autoFilter ref="B2:G1119" xr:uid="{00000000-0009-0000-0000-000013000000}">
    <sortState xmlns:xlrd2="http://schemas.microsoft.com/office/spreadsheetml/2017/richdata2" ref="B3:G1119">
      <sortCondition descending="1" ref="F2:F1119"/>
    </sortState>
  </autoFilter>
  <sortState xmlns:xlrd2="http://schemas.microsoft.com/office/spreadsheetml/2017/richdata2" ref="X3:AF31">
    <sortCondition descending="1" ref="AB3"/>
  </sortState>
  <phoneticPr fontId="14" type="noConversion"/>
  <conditionalFormatting sqref="M19:M30">
    <cfRule type="cellIs" dxfId="64" priority="1" operator="lessThan">
      <formula>0</formula>
    </cfRule>
    <cfRule type="cellIs" dxfId="63" priority="2" operator="greaterThan">
      <formula>0</formula>
    </cfRule>
  </conditionalFormatting>
  <pageMargins left="0.7" right="0.7" top="0.75" bottom="0.75" header="0.3" footer="0.3"/>
  <pageSetup paperSize="9" orientation="portrait" horizontalDpi="4294967295" verticalDpi="4294967295" r:id="rId1"/>
  <ignoredErrors>
    <ignoredError sqref="T14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N42"/>
  <sheetViews>
    <sheetView rightToLeft="1" zoomScaleNormal="100" workbookViewId="0">
      <pane ySplit="1" topLeftCell="A2" activePane="bottomLeft" state="frozen"/>
      <selection activeCell="R1" sqref="R1"/>
      <selection pane="bottomLeft" activeCell="V5" sqref="V5"/>
    </sheetView>
  </sheetViews>
  <sheetFormatPr defaultColWidth="9.28515625" defaultRowHeight="12.75"/>
  <cols>
    <col min="1" max="1" width="5.28515625" style="42" bestFit="1" customWidth="1"/>
    <col min="2" max="2" width="7.140625" style="42" bestFit="1" customWidth="1"/>
    <col min="3" max="3" width="7.7109375" style="40" bestFit="1" customWidth="1"/>
    <col min="4" max="4" width="12" style="40" bestFit="1" customWidth="1"/>
    <col min="5" max="6" width="12.85546875" style="40" bestFit="1" customWidth="1"/>
    <col min="7" max="7" width="11.140625" style="40" bestFit="1" customWidth="1"/>
    <col min="8" max="8" width="8.42578125" style="40" bestFit="1" customWidth="1"/>
    <col min="9" max="9" width="9.28515625" style="40"/>
    <col min="10" max="10" width="5.28515625" style="40" bestFit="1" customWidth="1"/>
    <col min="11" max="11" width="4.85546875" style="40" bestFit="1" customWidth="1"/>
    <col min="12" max="12" width="18.7109375" style="40" bestFit="1" customWidth="1"/>
    <col min="13" max="13" width="9.7109375" style="40" bestFit="1" customWidth="1"/>
    <col min="14" max="14" width="9.85546875" style="40" bestFit="1" customWidth="1"/>
    <col min="15" max="15" width="10.5703125" style="79" bestFit="1" customWidth="1"/>
    <col min="16" max="16" width="8.85546875" style="40" bestFit="1" customWidth="1"/>
    <col min="17" max="17" width="8.42578125" style="40" bestFit="1" customWidth="1"/>
    <col min="18" max="18" width="15.5703125" style="40" bestFit="1" customWidth="1"/>
    <col min="19" max="19" width="15.42578125" style="40" customWidth="1"/>
    <col min="20" max="20" width="11.28515625" style="40" bestFit="1" customWidth="1"/>
    <col min="21" max="21" width="5.42578125" style="40" bestFit="1" customWidth="1"/>
    <col min="22" max="22" width="11.28515625" style="40" customWidth="1"/>
    <col min="23" max="23" width="12.28515625" style="40" customWidth="1"/>
    <col min="24" max="24" width="11.140625" style="40" bestFit="1" customWidth="1"/>
    <col min="25" max="25" width="9" style="40" bestFit="1" customWidth="1"/>
    <col min="26" max="26" width="11.28515625" style="40" bestFit="1" customWidth="1"/>
    <col min="27" max="27" width="4.7109375" style="40" bestFit="1" customWidth="1"/>
    <col min="28" max="28" width="11.28515625" style="40" bestFit="1" customWidth="1"/>
    <col min="29" max="29" width="4.7109375" style="40" bestFit="1" customWidth="1"/>
    <col min="30" max="30" width="11.28515625" style="40" bestFit="1" customWidth="1"/>
    <col min="31" max="31" width="4.28515625" style="40" bestFit="1" customWidth="1"/>
    <col min="32" max="32" width="11.28515625" style="40" bestFit="1" customWidth="1"/>
    <col min="33" max="33" width="4.7109375" style="40" bestFit="1" customWidth="1"/>
    <col min="34" max="34" width="11.28515625" style="40" bestFit="1" customWidth="1"/>
    <col min="35" max="35" width="6.42578125" style="40" bestFit="1" customWidth="1"/>
    <col min="36" max="36" width="11.28515625" style="40" bestFit="1" customWidth="1"/>
    <col min="37" max="37" width="4.7109375" style="40" bestFit="1" customWidth="1"/>
    <col min="38" max="38" width="11.28515625" style="40" bestFit="1" customWidth="1"/>
    <col min="39" max="39" width="4.7109375" style="40" bestFit="1" customWidth="1"/>
    <col min="40" max="40" width="9.85546875" style="40" bestFit="1" customWidth="1"/>
    <col min="41" max="16384" width="9.28515625" style="40"/>
  </cols>
  <sheetData>
    <row r="1" spans="2:40">
      <c r="B1" s="42" t="s">
        <v>190</v>
      </c>
      <c r="C1" s="40" t="s">
        <v>144</v>
      </c>
      <c r="D1" s="40" t="s">
        <v>203</v>
      </c>
      <c r="E1" s="40" t="s">
        <v>188</v>
      </c>
      <c r="F1" s="40" t="s">
        <v>189</v>
      </c>
      <c r="G1" s="40" t="s">
        <v>192</v>
      </c>
      <c r="H1" s="40" t="s">
        <v>210</v>
      </c>
      <c r="K1" s="42" t="s">
        <v>190</v>
      </c>
      <c r="L1" s="40" t="s">
        <v>144</v>
      </c>
      <c r="M1" s="40" t="s">
        <v>203</v>
      </c>
      <c r="N1" s="40" t="s">
        <v>188</v>
      </c>
      <c r="O1" s="79" t="s">
        <v>189</v>
      </c>
      <c r="P1" s="40" t="s">
        <v>192</v>
      </c>
      <c r="Q1" s="40" t="s">
        <v>210</v>
      </c>
      <c r="S1" s="40" t="s">
        <v>361</v>
      </c>
      <c r="T1" s="40" t="s">
        <v>141</v>
      </c>
      <c r="U1" s="40" t="s">
        <v>362</v>
      </c>
      <c r="V1" s="40" t="s">
        <v>363</v>
      </c>
      <c r="W1" s="40" t="s">
        <v>373</v>
      </c>
      <c r="Y1" s="40" t="s">
        <v>364</v>
      </c>
      <c r="Z1" s="181">
        <v>45844</v>
      </c>
    </row>
    <row r="2" spans="2:40">
      <c r="B2" s="42" t="s">
        <v>205</v>
      </c>
      <c r="C2" s="40" t="s">
        <v>23</v>
      </c>
      <c r="D2" s="42"/>
      <c r="F2" s="40">
        <v>250</v>
      </c>
      <c r="K2" s="42"/>
      <c r="M2" s="42"/>
      <c r="N2" s="79"/>
      <c r="S2" s="40" t="s">
        <v>365</v>
      </c>
      <c r="T2" s="199">
        <v>62932.66</v>
      </c>
      <c r="U2" s="40">
        <v>0</v>
      </c>
      <c r="V2" s="40" t="s">
        <v>369</v>
      </c>
      <c r="W2" s="40">
        <f>T2+U2*12</f>
        <v>62932.66</v>
      </c>
      <c r="X2" s="40" t="s">
        <v>369</v>
      </c>
    </row>
    <row r="3" spans="2:40">
      <c r="B3" s="42" t="s">
        <v>205</v>
      </c>
      <c r="C3" s="40" t="s">
        <v>23</v>
      </c>
      <c r="D3" s="42"/>
      <c r="F3" s="40">
        <v>250</v>
      </c>
      <c r="K3" s="42"/>
      <c r="M3" s="42"/>
      <c r="N3" s="79"/>
      <c r="S3" s="40" t="s">
        <v>366</v>
      </c>
      <c r="T3" s="199">
        <v>106927.98</v>
      </c>
      <c r="U3" s="40">
        <v>1571</v>
      </c>
      <c r="V3" s="181">
        <v>46417</v>
      </c>
      <c r="W3" s="40">
        <f t="shared" ref="W3:W9" si="0">T3+U3*12</f>
        <v>125779.98</v>
      </c>
      <c r="X3" s="79" t="s">
        <v>386</v>
      </c>
    </row>
    <row r="4" spans="2:40">
      <c r="B4" s="42" t="s">
        <v>360</v>
      </c>
      <c r="C4" s="40" t="s">
        <v>23</v>
      </c>
      <c r="D4" s="42"/>
      <c r="F4" s="40">
        <v>250</v>
      </c>
      <c r="K4" s="42"/>
      <c r="M4" s="42"/>
      <c r="N4" s="79"/>
      <c r="S4" s="40" t="s">
        <v>367</v>
      </c>
      <c r="T4" s="199">
        <v>109235.74</v>
      </c>
      <c r="V4" s="40" t="s">
        <v>369</v>
      </c>
      <c r="W4" s="40">
        <f>T4+U4*12</f>
        <v>109235.74</v>
      </c>
      <c r="X4" s="79" t="s">
        <v>369</v>
      </c>
    </row>
    <row r="5" spans="2:40">
      <c r="B5" s="42" t="s">
        <v>360</v>
      </c>
      <c r="C5" s="40" t="s">
        <v>23</v>
      </c>
      <c r="D5" s="42"/>
      <c r="F5" s="40">
        <v>250</v>
      </c>
      <c r="K5" s="42"/>
      <c r="M5" s="42"/>
      <c r="N5" s="79"/>
      <c r="S5" s="40" t="s">
        <v>368</v>
      </c>
      <c r="T5" s="199">
        <v>117999.34</v>
      </c>
      <c r="U5" s="40">
        <v>1710</v>
      </c>
      <c r="V5" s="181">
        <v>46051</v>
      </c>
      <c r="W5" s="40">
        <f t="shared" si="0"/>
        <v>138519.34</v>
      </c>
      <c r="X5" s="79" t="s">
        <v>387</v>
      </c>
    </row>
    <row r="6" spans="2:40">
      <c r="B6" s="42" t="s">
        <v>206</v>
      </c>
      <c r="C6" s="40" t="s">
        <v>23</v>
      </c>
      <c r="D6" s="42"/>
      <c r="F6" s="40">
        <v>250</v>
      </c>
      <c r="K6" s="42"/>
      <c r="S6" s="40" t="s">
        <v>370</v>
      </c>
      <c r="T6" s="199"/>
      <c r="V6" s="40" t="s">
        <v>369</v>
      </c>
      <c r="W6" s="40">
        <f t="shared" si="0"/>
        <v>0</v>
      </c>
      <c r="X6" s="79"/>
    </row>
    <row r="7" spans="2:40">
      <c r="B7" s="42" t="s">
        <v>206</v>
      </c>
      <c r="C7" s="40" t="s">
        <v>23</v>
      </c>
      <c r="D7" s="42"/>
      <c r="F7" s="40">
        <v>250</v>
      </c>
      <c r="K7" s="42"/>
      <c r="S7" s="40" t="s">
        <v>371</v>
      </c>
      <c r="T7" s="199">
        <v>3050</v>
      </c>
      <c r="U7" s="40">
        <v>500</v>
      </c>
      <c r="V7" s="181">
        <v>46236</v>
      </c>
      <c r="W7" s="40">
        <f t="shared" si="0"/>
        <v>9050</v>
      </c>
      <c r="X7" s="79"/>
    </row>
    <row r="8" spans="2:40">
      <c r="B8" s="42" t="s">
        <v>207</v>
      </c>
      <c r="C8" s="40" t="s">
        <v>23</v>
      </c>
      <c r="D8" s="42"/>
      <c r="F8" s="40">
        <v>250</v>
      </c>
      <c r="K8" s="42"/>
      <c r="S8" s="40" t="s">
        <v>437</v>
      </c>
      <c r="T8" s="199">
        <v>2000</v>
      </c>
      <c r="U8" s="40">
        <v>2000</v>
      </c>
      <c r="V8" s="181">
        <v>47777</v>
      </c>
      <c r="W8" s="40">
        <f t="shared" si="0"/>
        <v>26000</v>
      </c>
      <c r="X8" s="184"/>
    </row>
    <row r="9" spans="2:40">
      <c r="B9" s="42" t="s">
        <v>207</v>
      </c>
      <c r="C9" s="40" t="s">
        <v>23</v>
      </c>
      <c r="D9" s="42"/>
      <c r="F9" s="40">
        <v>250</v>
      </c>
      <c r="K9" s="42"/>
      <c r="N9" s="79"/>
      <c r="S9" s="40" t="s">
        <v>372</v>
      </c>
      <c r="T9" s="199">
        <v>6750</v>
      </c>
      <c r="U9" s="40">
        <v>1500</v>
      </c>
      <c r="V9" s="181">
        <v>46527</v>
      </c>
      <c r="W9" s="40">
        <f t="shared" si="0"/>
        <v>24750</v>
      </c>
      <c r="X9" s="184"/>
    </row>
    <row r="10" spans="2:40">
      <c r="B10" s="42" t="s">
        <v>208</v>
      </c>
      <c r="C10" s="40" t="s">
        <v>23</v>
      </c>
      <c r="D10" s="42"/>
      <c r="F10" s="40">
        <v>250</v>
      </c>
      <c r="K10" s="42"/>
      <c r="L10" s="42"/>
      <c r="M10" s="42"/>
      <c r="N10" s="79"/>
      <c r="T10" s="199"/>
      <c r="V10" s="181"/>
    </row>
    <row r="11" spans="2:40">
      <c r="B11" s="42" t="s">
        <v>208</v>
      </c>
      <c r="C11" s="40" t="s">
        <v>23</v>
      </c>
      <c r="D11" s="42"/>
      <c r="F11" s="40">
        <v>250</v>
      </c>
      <c r="K11" s="42"/>
      <c r="L11" s="42"/>
      <c r="M11" s="42"/>
      <c r="N11" s="79"/>
      <c r="S11" s="182"/>
      <c r="T11" s="203"/>
      <c r="U11" s="182"/>
      <c r="V11" s="183"/>
      <c r="W11" s="182"/>
      <c r="X11" s="182"/>
    </row>
    <row r="12" spans="2:40">
      <c r="B12" s="42" t="s">
        <v>267</v>
      </c>
      <c r="C12" s="40" t="s">
        <v>23</v>
      </c>
      <c r="D12" s="42"/>
      <c r="F12" s="40">
        <v>250</v>
      </c>
      <c r="K12" s="42"/>
      <c r="T12" s="199">
        <f>SUM(T2:T11)</f>
        <v>408895.72</v>
      </c>
      <c r="U12" s="40">
        <f>SUM(U2:U11)</f>
        <v>7281</v>
      </c>
      <c r="W12" s="40">
        <f>SUM(W2:W11)</f>
        <v>496267.72</v>
      </c>
    </row>
    <row r="13" spans="2:40">
      <c r="B13" s="42" t="s">
        <v>267</v>
      </c>
      <c r="C13" s="40" t="s">
        <v>23</v>
      </c>
      <c r="D13" s="42"/>
      <c r="F13" s="40">
        <v>250</v>
      </c>
      <c r="K13" s="42"/>
    </row>
    <row r="14" spans="2:40">
      <c r="B14" s="42" t="s">
        <v>268</v>
      </c>
      <c r="C14" s="40" t="s">
        <v>23</v>
      </c>
      <c r="D14" s="42"/>
      <c r="F14" s="40">
        <v>250</v>
      </c>
      <c r="K14" s="42"/>
    </row>
    <row r="15" spans="2:40">
      <c r="B15" s="42" t="s">
        <v>268</v>
      </c>
      <c r="C15" s="40" t="s">
        <v>23</v>
      </c>
      <c r="D15" s="42"/>
      <c r="F15" s="40">
        <v>250</v>
      </c>
      <c r="K15" s="42"/>
    </row>
    <row r="16" spans="2:40">
      <c r="B16" s="42" t="s">
        <v>269</v>
      </c>
      <c r="C16" s="40" t="s">
        <v>23</v>
      </c>
      <c r="D16" s="42"/>
      <c r="F16" s="40">
        <v>250</v>
      </c>
      <c r="K16" s="42"/>
      <c r="L16" s="42"/>
      <c r="M16" s="42"/>
      <c r="N16" s="79"/>
      <c r="T16" s="181">
        <v>45967</v>
      </c>
      <c r="U16" s="190" t="s">
        <v>239</v>
      </c>
      <c r="V16" s="181">
        <v>45844</v>
      </c>
      <c r="W16" s="190" t="s">
        <v>239</v>
      </c>
      <c r="X16" s="181">
        <v>45613</v>
      </c>
      <c r="Y16" s="190" t="s">
        <v>239</v>
      </c>
      <c r="Z16" s="181">
        <v>45360</v>
      </c>
      <c r="AA16" s="190" t="s">
        <v>239</v>
      </c>
      <c r="AB16" s="181">
        <v>45300</v>
      </c>
      <c r="AC16" s="190" t="s">
        <v>239</v>
      </c>
      <c r="AD16" s="181">
        <v>45221</v>
      </c>
      <c r="AE16" s="190" t="s">
        <v>239</v>
      </c>
      <c r="AF16" s="181">
        <v>45149</v>
      </c>
      <c r="AG16" s="190" t="s">
        <v>239</v>
      </c>
      <c r="AH16" s="181">
        <v>45041</v>
      </c>
      <c r="AI16" s="190" t="s">
        <v>239</v>
      </c>
      <c r="AJ16" s="181">
        <v>45010</v>
      </c>
      <c r="AK16" s="190" t="s">
        <v>239</v>
      </c>
      <c r="AL16" s="181">
        <v>44920</v>
      </c>
      <c r="AM16" s="190" t="s">
        <v>239</v>
      </c>
      <c r="AN16" s="40">
        <v>2022</v>
      </c>
    </row>
    <row r="17" spans="2:40">
      <c r="B17" s="42" t="s">
        <v>269</v>
      </c>
      <c r="C17" s="40" t="s">
        <v>23</v>
      </c>
      <c r="D17" s="42"/>
      <c r="E17" s="40" t="s">
        <v>377</v>
      </c>
      <c r="F17" s="40">
        <v>250</v>
      </c>
      <c r="K17" s="42"/>
      <c r="L17" s="42"/>
      <c r="M17" s="42"/>
      <c r="N17" s="79"/>
      <c r="S17" s="40" t="s">
        <v>365</v>
      </c>
      <c r="T17" s="199">
        <v>62932.66</v>
      </c>
      <c r="U17" s="190">
        <f>(T17-V17)/V17</f>
        <v>9.0120561233327623E-2</v>
      </c>
      <c r="V17" s="199">
        <v>57730</v>
      </c>
      <c r="W17" s="190">
        <f>(V17-X17)/X17</f>
        <v>3.8664291754376495E-2</v>
      </c>
      <c r="X17" s="79">
        <v>55581</v>
      </c>
      <c r="Y17" s="190">
        <f>(X17-Z17)/Z17</f>
        <v>6.9811756553874588E-2</v>
      </c>
      <c r="Z17" s="79">
        <v>51954</v>
      </c>
      <c r="AA17" s="190">
        <f>(Z17-AB17)/AB17</f>
        <v>3.2718454321380298E-2</v>
      </c>
      <c r="AB17" s="79">
        <v>50308</v>
      </c>
      <c r="AC17" s="190">
        <f>(AB17-AD17)/AD17</f>
        <v>2.7700604673966334E-2</v>
      </c>
      <c r="AD17" s="79">
        <v>48952</v>
      </c>
      <c r="AE17" s="190">
        <f>(AD17-AF17)/AF17</f>
        <v>-1.9391025641025642E-2</v>
      </c>
      <c r="AF17" s="79">
        <v>49920</v>
      </c>
      <c r="AG17" s="190">
        <f>(AF17-AH17)/AH17</f>
        <v>4.8937824378558974E-2</v>
      </c>
      <c r="AH17" s="79">
        <v>47591</v>
      </c>
      <c r="AI17" s="190">
        <f>(AH17-AJ17)/AJ17</f>
        <v>1.1648916948323875E-2</v>
      </c>
      <c r="AJ17" s="40">
        <v>47043</v>
      </c>
      <c r="AK17" s="190">
        <f>(AJ17-AL17)/AL17</f>
        <v>-1.1514782206719757E-2</v>
      </c>
      <c r="AL17" s="40">
        <v>47591</v>
      </c>
      <c r="AM17" s="190">
        <f>(AL17-AN17)/AN17</f>
        <v>3.4654433984825095E-2</v>
      </c>
      <c r="AN17" s="40">
        <v>45997</v>
      </c>
    </row>
    <row r="18" spans="2:40">
      <c r="B18" s="42" t="s">
        <v>270</v>
      </c>
      <c r="C18" s="40" t="s">
        <v>23</v>
      </c>
      <c r="D18" s="42"/>
      <c r="F18" s="40">
        <v>250</v>
      </c>
      <c r="K18" s="42"/>
      <c r="L18" s="42"/>
      <c r="M18" s="42"/>
      <c r="N18" s="79"/>
      <c r="S18" s="40" t="s">
        <v>366</v>
      </c>
      <c r="T18" s="199">
        <v>106927.98</v>
      </c>
      <c r="U18" s="190">
        <f>(T18-V18)/V18</f>
        <v>0.1751877170615905</v>
      </c>
      <c r="V18" s="199">
        <v>90988</v>
      </c>
      <c r="W18" s="190">
        <f>(V18-X18)/X18</f>
        <v>0.1853878423095964</v>
      </c>
      <c r="X18" s="79">
        <v>76758</v>
      </c>
      <c r="Y18" s="190">
        <f>(X18-Z18)/Z18</f>
        <v>0.22555922785840876</v>
      </c>
      <c r="Z18" s="79">
        <v>62631</v>
      </c>
      <c r="AA18" s="190">
        <f>(Z18-AB18)/AB18</f>
        <v>0.14984670179368081</v>
      </c>
      <c r="AB18" s="79">
        <v>54469</v>
      </c>
      <c r="AC18" s="190">
        <f>(AB18-AD18)/AD18</f>
        <v>0.12762918184829414</v>
      </c>
      <c r="AD18" s="79">
        <v>48304</v>
      </c>
      <c r="AE18" s="190">
        <f>(AD18-AF18)/AF18</f>
        <v>4.8081930220447835E-2</v>
      </c>
      <c r="AF18" s="79">
        <v>46088</v>
      </c>
      <c r="AG18" s="190">
        <f>(AF18-AH18)/AH18</f>
        <v>0.46851899056844254</v>
      </c>
      <c r="AH18" s="79">
        <v>31384</v>
      </c>
      <c r="AI18" s="190">
        <f>(AH18-AJ18)/AJ18</f>
        <v>-0.12165906355825473</v>
      </c>
      <c r="AJ18" s="40">
        <v>35731</v>
      </c>
      <c r="AK18" s="190">
        <f>(AJ18-AL18)/AL18</f>
        <v>0.13851006882487893</v>
      </c>
      <c r="AL18" s="40">
        <v>31384</v>
      </c>
      <c r="AM18" s="190">
        <f>(AL18-AN18)/AN18</f>
        <v>0.15272166311613899</v>
      </c>
      <c r="AN18" s="40">
        <v>27226</v>
      </c>
    </row>
    <row r="19" spans="2:40">
      <c r="B19" s="42" t="s">
        <v>270</v>
      </c>
      <c r="C19" s="40" t="s">
        <v>23</v>
      </c>
      <c r="D19" s="42"/>
      <c r="F19" s="40">
        <v>250</v>
      </c>
      <c r="K19" s="42"/>
      <c r="L19" s="42"/>
      <c r="M19" s="42"/>
      <c r="N19" s="79"/>
      <c r="S19" s="40" t="s">
        <v>367</v>
      </c>
      <c r="T19" s="199">
        <v>109235.74</v>
      </c>
      <c r="U19" s="190">
        <f>(T19-V19)/V19</f>
        <v>9.0079134608667941E-2</v>
      </c>
      <c r="V19" s="199">
        <v>100209</v>
      </c>
      <c r="W19" s="190">
        <f>(V19-X19)/X19</f>
        <v>3.8542854181780495E-2</v>
      </c>
      <c r="X19" s="79">
        <v>96490</v>
      </c>
      <c r="Y19" s="190">
        <f>(X19-Z19)/Z19</f>
        <v>7.0208518189884647E-2</v>
      </c>
      <c r="Z19" s="79">
        <v>90160</v>
      </c>
      <c r="AA19" s="190">
        <f>(Z19-AB19)/AB19</f>
        <v>3.2654136457868028E-2</v>
      </c>
      <c r="AB19" s="79">
        <v>87309</v>
      </c>
      <c r="AC19" s="190">
        <f>(AB19-AD19)/AD19</f>
        <v>2.7648305084745764E-2</v>
      </c>
      <c r="AD19" s="79">
        <v>84960</v>
      </c>
      <c r="AE19" s="190">
        <f>(AD19-AF19)/AF19</f>
        <v>-1.9401899793400353E-2</v>
      </c>
      <c r="AF19" s="79">
        <v>86641</v>
      </c>
      <c r="AG19" s="190">
        <f>(AF19-AH19)/AH19</f>
        <v>4.8909819493710732E-2</v>
      </c>
      <c r="AH19" s="79">
        <v>82601</v>
      </c>
      <c r="AI19" s="190">
        <f>(AH19-AJ19)/AJ19</f>
        <v>1.1672055653537135E-2</v>
      </c>
      <c r="AJ19" s="40">
        <v>81648</v>
      </c>
      <c r="AK19" s="190">
        <f>(AJ19-AL19)/AL19</f>
        <v>-1.1537390588491665E-2</v>
      </c>
      <c r="AL19" s="40">
        <v>82601</v>
      </c>
      <c r="AM19" s="190">
        <f>(AL19-AN19)/AN19</f>
        <v>3.4668231259829763E-2</v>
      </c>
      <c r="AN19" s="40">
        <v>79833.320000000007</v>
      </c>
    </row>
    <row r="20" spans="2:40">
      <c r="B20" s="42" t="s">
        <v>196</v>
      </c>
      <c r="C20" s="40" t="s">
        <v>23</v>
      </c>
      <c r="D20" s="42"/>
      <c r="F20" s="40">
        <v>250</v>
      </c>
      <c r="K20" s="42"/>
      <c r="N20" s="79"/>
      <c r="S20" s="40" t="s">
        <v>368</v>
      </c>
      <c r="T20" s="199">
        <v>117999.34</v>
      </c>
      <c r="U20" s="190">
        <f>(T20-V20)/V20</f>
        <v>0.17696859072184482</v>
      </c>
      <c r="V20" s="199">
        <v>100257</v>
      </c>
      <c r="W20" s="190">
        <f>(V20-X20)/X20</f>
        <v>0.26523220595658759</v>
      </c>
      <c r="X20" s="79">
        <v>79240</v>
      </c>
      <c r="Y20" s="190">
        <f>(X20-Z20)/Z20</f>
        <v>0.14651156061000667</v>
      </c>
      <c r="Z20" s="79">
        <v>69114</v>
      </c>
      <c r="AA20" s="190">
        <f>(Z20-AB20)/AB20</f>
        <v>0.14402529256948007</v>
      </c>
      <c r="AB20" s="79">
        <v>60413</v>
      </c>
      <c r="AC20" s="190">
        <f>(AB20-AD20)/AD20</f>
        <v>0.1172695665039207</v>
      </c>
      <c r="AD20" s="79">
        <v>54072</v>
      </c>
      <c r="AE20" s="190">
        <f>(AD20-AF20)/AF20</f>
        <v>4.0686708495323146E-2</v>
      </c>
      <c r="AF20" s="79">
        <v>51958</v>
      </c>
      <c r="AG20" s="190">
        <f>(AF20-AH20)/AH20</f>
        <v>0.4420360245344287</v>
      </c>
      <c r="AH20" s="79">
        <v>36031</v>
      </c>
      <c r="AI20" s="190">
        <f>(AH20-AJ20)/AJ20</f>
        <v>-0.12575823749211432</v>
      </c>
      <c r="AJ20" s="40">
        <v>41214</v>
      </c>
      <c r="AK20" s="190">
        <f>(AJ20-AL20)/AL20</f>
        <v>0.14384835280730482</v>
      </c>
      <c r="AL20" s="40">
        <v>36031</v>
      </c>
      <c r="AM20" s="190">
        <f>(AL20-AN20)/AN20</f>
        <v>0.13109401977711505</v>
      </c>
      <c r="AN20" s="40">
        <v>31855</v>
      </c>
    </row>
    <row r="21" spans="2:40">
      <c r="B21" s="42" t="s">
        <v>196</v>
      </c>
      <c r="C21" s="40" t="s">
        <v>23</v>
      </c>
      <c r="D21" s="42"/>
      <c r="F21" s="40">
        <v>250</v>
      </c>
      <c r="K21" s="42"/>
      <c r="L21" s="42"/>
      <c r="M21" s="42"/>
      <c r="N21" s="79"/>
      <c r="S21" s="40" t="s">
        <v>438</v>
      </c>
      <c r="T21" s="199">
        <f>SUM(T17:T20)</f>
        <v>397095.72</v>
      </c>
      <c r="U21" s="190">
        <f>(T21/V21-1)/DATEDIF(V16, T16, "ym")</f>
        <v>3.4302631277492668E-2</v>
      </c>
      <c r="V21" s="199">
        <f>SUM(V17:V20)</f>
        <v>349184</v>
      </c>
      <c r="W21" s="190">
        <f>(V21/X21-1)/DATEDIF(X16, V16, "ym")</f>
        <v>1.9065765878979807E-2</v>
      </c>
      <c r="X21" s="199">
        <f>SUM(X17:X20)</f>
        <v>308069</v>
      </c>
      <c r="Y21" s="190">
        <f>(X21/Z21-1)/DATEDIF(Z16, X16, "ym")</f>
        <v>1.5614787171500666E-2</v>
      </c>
      <c r="Z21" s="199">
        <f>SUM(Z17:Z20)</f>
        <v>273859</v>
      </c>
      <c r="AA21" s="190">
        <f>(Z21/AB21-1)/DATEDIF(AB16, Z16, "ym")</f>
        <v>4.2297197216622617E-2</v>
      </c>
      <c r="AB21" s="199">
        <f>SUM(AB17:AB20)</f>
        <v>252499</v>
      </c>
      <c r="AC21" s="190">
        <f>(AB21/AD21-1)/DATEDIF(AD16, AB16, "ym")</f>
        <v>3.4303477112676006E-2</v>
      </c>
      <c r="AD21" s="199">
        <f>SUM(AD17:AD20)</f>
        <v>236288</v>
      </c>
      <c r="AE21" s="190">
        <f>(AD21/AF21-1)/DATEDIF(AF16, AD16, "ym")</f>
        <v>3.5825870498322754E-3</v>
      </c>
      <c r="AF21" s="199">
        <f>SUM(AF17:AF20)</f>
        <v>234607</v>
      </c>
      <c r="AG21" s="190">
        <f>(AF21/AH21-1)/DATEDIF(AH16, AF16, "ym")</f>
        <v>6.2413443518363865E-2</v>
      </c>
      <c r="AH21" s="199">
        <f>SUM(AH17:AH20)</f>
        <v>197607</v>
      </c>
      <c r="AI21" s="190">
        <f>(AH21/AJ21-1)/DATEDIF(AJ16, AH16, "ym")</f>
        <v>-3.9044719796144656E-2</v>
      </c>
      <c r="AJ21" s="199">
        <f>SUM(AJ17:AJ20)</f>
        <v>205636</v>
      </c>
      <c r="AK21" s="190">
        <f>(AJ21/AL21-1)/DATEDIF(AL16, AJ16, "ym")</f>
        <v>1.3543717243484984E-2</v>
      </c>
      <c r="AL21" s="199">
        <f>SUM(AL17:AL20)</f>
        <v>197607</v>
      </c>
      <c r="AM21" s="190">
        <f>(AL21/AN21-1)/DATEDIF(AN16, AL16, "ym")</f>
        <v>1.3731641740484024E-2</v>
      </c>
      <c r="AN21" s="199">
        <f>SUM(AN17:AN20)</f>
        <v>184911.32</v>
      </c>
    </row>
    <row r="22" spans="2:40">
      <c r="B22" s="42" t="s">
        <v>197</v>
      </c>
      <c r="C22" s="40" t="s">
        <v>23</v>
      </c>
      <c r="D22" s="42"/>
      <c r="F22" s="40">
        <v>250</v>
      </c>
      <c r="K22" s="42"/>
      <c r="L22" s="42"/>
      <c r="M22" s="42"/>
      <c r="N22" s="79"/>
    </row>
    <row r="23" spans="2:40">
      <c r="B23" s="42" t="s">
        <v>197</v>
      </c>
      <c r="C23" s="40" t="s">
        <v>23</v>
      </c>
      <c r="D23" s="42"/>
      <c r="F23" s="40">
        <v>250</v>
      </c>
      <c r="K23" s="42"/>
    </row>
    <row r="24" spans="2:40">
      <c r="B24" s="42" t="s">
        <v>198</v>
      </c>
      <c r="C24" s="40" t="s">
        <v>23</v>
      </c>
      <c r="D24" s="42"/>
      <c r="F24" s="40">
        <v>250</v>
      </c>
      <c r="K24" s="42"/>
    </row>
    <row r="25" spans="2:40">
      <c r="B25" s="42" t="s">
        <v>198</v>
      </c>
      <c r="C25" s="40" t="s">
        <v>23</v>
      </c>
      <c r="D25" s="42"/>
      <c r="F25" s="40">
        <v>250</v>
      </c>
      <c r="K25" s="42"/>
      <c r="L25" s="42"/>
      <c r="M25" s="42"/>
      <c r="N25" s="79"/>
      <c r="S25" s="195" t="s">
        <v>374</v>
      </c>
    </row>
    <row r="26" spans="2:40">
      <c r="D26" s="42"/>
      <c r="K26" s="42"/>
      <c r="L26" s="42"/>
      <c r="M26" s="42"/>
      <c r="N26" s="79"/>
      <c r="S26" s="40" t="s">
        <v>388</v>
      </c>
      <c r="T26" s="40">
        <v>3000000</v>
      </c>
    </row>
    <row r="27" spans="2:40">
      <c r="D27" s="42"/>
      <c r="K27" s="42"/>
      <c r="L27" s="42"/>
      <c r="M27" s="42"/>
      <c r="N27" s="79"/>
      <c r="S27" s="40" t="s">
        <v>389</v>
      </c>
      <c r="T27" s="40">
        <v>160</v>
      </c>
    </row>
    <row r="28" spans="2:40">
      <c r="D28" s="42"/>
      <c r="K28" s="42"/>
      <c r="L28" s="42"/>
      <c r="M28" s="42"/>
      <c r="N28" s="79"/>
      <c r="S28" s="40" t="s">
        <v>390</v>
      </c>
      <c r="T28" s="40">
        <f>T26/T27</f>
        <v>18750</v>
      </c>
    </row>
    <row r="29" spans="2:40">
      <c r="D29" s="42"/>
      <c r="L29" s="40" t="s">
        <v>355</v>
      </c>
      <c r="M29" s="40">
        <v>10.119999999999999</v>
      </c>
      <c r="N29" s="40">
        <v>19500.830000000002</v>
      </c>
      <c r="O29" s="79">
        <v>19500</v>
      </c>
      <c r="S29" s="200" t="s">
        <v>395</v>
      </c>
      <c r="T29" s="199">
        <f>T28*0.33</f>
        <v>6187.5</v>
      </c>
    </row>
    <row r="30" spans="2:40">
      <c r="D30" s="42"/>
    </row>
    <row r="31" spans="2:40">
      <c r="D31" s="42"/>
      <c r="S31" s="40" t="s">
        <v>391</v>
      </c>
    </row>
    <row r="32" spans="2:40">
      <c r="D32" s="42"/>
      <c r="R32" s="201" t="s">
        <v>396</v>
      </c>
      <c r="S32" s="40" t="s">
        <v>392</v>
      </c>
      <c r="T32" s="40">
        <f>0.17*T26*0.33</f>
        <v>168300.00000000003</v>
      </c>
    </row>
    <row r="33" spans="4:21">
      <c r="D33" s="42"/>
      <c r="R33" s="201" t="s">
        <v>397</v>
      </c>
      <c r="S33" s="41">
        <v>3.7499999999999999E-2</v>
      </c>
      <c r="T33" s="40">
        <f>T26*0.0375</f>
        <v>112500</v>
      </c>
    </row>
    <row r="34" spans="4:21">
      <c r="D34" s="42"/>
      <c r="R34" s="201" t="s">
        <v>398</v>
      </c>
      <c r="S34" s="40" t="s">
        <v>393</v>
      </c>
      <c r="T34" s="40">
        <f>U34*T29</f>
        <v>247500</v>
      </c>
      <c r="U34" s="40">
        <v>40</v>
      </c>
    </row>
    <row r="35" spans="4:21">
      <c r="D35" s="42"/>
    </row>
    <row r="36" spans="4:21">
      <c r="D36" s="42"/>
      <c r="S36" s="195" t="s">
        <v>24</v>
      </c>
      <c r="T36" s="195">
        <f>SUM(T32:T35)</f>
        <v>528300</v>
      </c>
    </row>
    <row r="37" spans="4:21">
      <c r="D37" s="42"/>
    </row>
    <row r="38" spans="4:21">
      <c r="D38" s="42"/>
    </row>
    <row r="39" spans="4:21">
      <c r="D39" s="42"/>
    </row>
    <row r="40" spans="4:21">
      <c r="D40" s="42"/>
    </row>
    <row r="41" spans="4:21">
      <c r="D41" s="42"/>
    </row>
    <row r="42" spans="4:21">
      <c r="D42" s="42"/>
    </row>
  </sheetData>
  <autoFilter ref="A1:G30" xr:uid="{00000000-0009-0000-0000-000014000000}">
    <sortState xmlns:xlrd2="http://schemas.microsoft.com/office/spreadsheetml/2017/richdata2" ref="A2:G19">
      <sortCondition ref="B1:B30"/>
    </sortState>
  </autoFilter>
  <phoneticPr fontId="14" type="noConversion"/>
  <conditionalFormatting sqref="U17:U20">
    <cfRule type="cellIs" dxfId="62" priority="23" operator="greaterThan">
      <formula>0</formula>
    </cfRule>
    <cfRule type="cellIs" dxfId="61" priority="24" operator="lessThan">
      <formula>0</formula>
    </cfRule>
  </conditionalFormatting>
  <conditionalFormatting sqref="U21">
    <cfRule type="cellIs" dxfId="60" priority="19" operator="lessThan">
      <formula>W$21</formula>
    </cfRule>
    <cfRule type="cellIs" dxfId="59" priority="22" operator="greaterThan">
      <formula>W$21</formula>
    </cfRule>
  </conditionalFormatting>
  <conditionalFormatting sqref="W17:W20">
    <cfRule type="cellIs" dxfId="58" priority="37" operator="greaterThan">
      <formula>0</formula>
    </cfRule>
    <cfRule type="cellIs" dxfId="57" priority="38" operator="lessThan">
      <formula>0</formula>
    </cfRule>
  </conditionalFormatting>
  <conditionalFormatting sqref="W21">
    <cfRule type="cellIs" dxfId="56" priority="17" operator="lessThan">
      <formula>Y$21</formula>
    </cfRule>
    <cfRule type="cellIs" dxfId="55" priority="18" operator="greaterThan">
      <formula>Y$21</formula>
    </cfRule>
  </conditionalFormatting>
  <conditionalFormatting sqref="Y17:Y20">
    <cfRule type="cellIs" dxfId="54" priority="25" operator="greaterThan">
      <formula>0</formula>
    </cfRule>
    <cfRule type="cellIs" dxfId="53" priority="26" operator="lessThan">
      <formula>0</formula>
    </cfRule>
  </conditionalFormatting>
  <conditionalFormatting sqref="Y21">
    <cfRule type="cellIs" dxfId="52" priority="15" operator="lessThan">
      <formula>AA$21</formula>
    </cfRule>
    <cfRule type="cellIs" dxfId="51" priority="16" operator="greaterThan">
      <formula>AA$21</formula>
    </cfRule>
  </conditionalFormatting>
  <conditionalFormatting sqref="AA17:AA20">
    <cfRule type="cellIs" dxfId="50" priority="39" operator="greaterThan">
      <formula>0</formula>
    </cfRule>
    <cfRule type="cellIs" dxfId="49" priority="40" operator="lessThan">
      <formula>0</formula>
    </cfRule>
  </conditionalFormatting>
  <conditionalFormatting sqref="AA21">
    <cfRule type="cellIs" dxfId="48" priority="13" operator="lessThan">
      <formula>AC$21</formula>
    </cfRule>
    <cfRule type="cellIs" dxfId="47" priority="14" operator="greaterThan">
      <formula>AC$21</formula>
    </cfRule>
  </conditionalFormatting>
  <conditionalFormatting sqref="AC17:AC20">
    <cfRule type="cellIs" dxfId="46" priority="41" operator="greaterThan">
      <formula>0</formula>
    </cfRule>
    <cfRule type="cellIs" dxfId="45" priority="42" operator="lessThan">
      <formula>0</formula>
    </cfRule>
  </conditionalFormatting>
  <conditionalFormatting sqref="AC21">
    <cfRule type="cellIs" dxfId="44" priority="11" operator="lessThan">
      <formula>AE$21</formula>
    </cfRule>
    <cfRule type="cellIs" dxfId="43" priority="12" operator="greaterThan">
      <formula>AE$21</formula>
    </cfRule>
  </conditionalFormatting>
  <conditionalFormatting sqref="AE17:AE20">
    <cfRule type="cellIs" dxfId="42" priority="27" operator="greaterThan">
      <formula>0</formula>
    </cfRule>
    <cfRule type="cellIs" dxfId="41" priority="28" operator="lessThan">
      <formula>0</formula>
    </cfRule>
  </conditionalFormatting>
  <conditionalFormatting sqref="AE21">
    <cfRule type="cellIs" dxfId="40" priority="9" operator="lessThan">
      <formula>AG$21</formula>
    </cfRule>
    <cfRule type="cellIs" dxfId="39" priority="10" operator="greaterThan">
      <formula>AG$21</formula>
    </cfRule>
  </conditionalFormatting>
  <conditionalFormatting sqref="AG17:AG20">
    <cfRule type="cellIs" dxfId="38" priority="29" operator="greaterThan">
      <formula>0</formula>
    </cfRule>
    <cfRule type="cellIs" dxfId="37" priority="30" operator="lessThan">
      <formula>0</formula>
    </cfRule>
  </conditionalFormatting>
  <conditionalFormatting sqref="AG21">
    <cfRule type="cellIs" dxfId="36" priority="7" operator="lessThan">
      <formula>AI$21</formula>
    </cfRule>
    <cfRule type="cellIs" dxfId="35" priority="8" operator="greaterThan">
      <formula>AI$21</formula>
    </cfRule>
  </conditionalFormatting>
  <conditionalFormatting sqref="AI17:AI20">
    <cfRule type="cellIs" dxfId="34" priority="31" operator="greaterThan">
      <formula>0</formula>
    </cfRule>
    <cfRule type="cellIs" dxfId="33" priority="32" operator="lessThan">
      <formula>0</formula>
    </cfRule>
  </conditionalFormatting>
  <conditionalFormatting sqref="AI21">
    <cfRule type="cellIs" dxfId="32" priority="1" operator="lessThan">
      <formula>AK$21</formula>
    </cfRule>
    <cfRule type="cellIs" dxfId="31" priority="2" operator="greaterThan">
      <formula>AK$21</formula>
    </cfRule>
  </conditionalFormatting>
  <conditionalFormatting sqref="AK17:AK20">
    <cfRule type="cellIs" dxfId="30" priority="33" operator="greaterThan">
      <formula>0</formula>
    </cfRule>
    <cfRule type="cellIs" dxfId="29" priority="34" operator="lessThan">
      <formula>0</formula>
    </cfRule>
  </conditionalFormatting>
  <conditionalFormatting sqref="AK21">
    <cfRule type="cellIs" dxfId="28" priority="5" operator="lessThan">
      <formula>AM$21</formula>
    </cfRule>
    <cfRule type="cellIs" dxfId="27" priority="6" operator="greaterThan">
      <formula>AM$21</formula>
    </cfRule>
  </conditionalFormatting>
  <conditionalFormatting sqref="AM17:AM20">
    <cfRule type="cellIs" dxfId="26" priority="35" operator="greaterThan">
      <formula>0</formula>
    </cfRule>
    <cfRule type="cellIs" dxfId="25" priority="36" operator="lessThan">
      <formula>0</formula>
    </cfRule>
  </conditionalFormatting>
  <conditionalFormatting sqref="AM21">
    <cfRule type="cellIs" dxfId="24" priority="3" operator="lessThan">
      <formula>AO$21</formula>
    </cfRule>
    <cfRule type="cellIs" dxfId="23" priority="4" operator="greaterThan">
      <formula>AO$21</formula>
    </cfRule>
  </conditionalFormatting>
  <pageMargins left="0.7" right="0.7" top="0.75" bottom="0.75" header="0.3" footer="0.3"/>
  <pageSetup paperSize="9" orientation="portrait" horizontalDpi="4294967295" verticalDpi="4294967295" r:id="rId1"/>
  <ignoredErrors>
    <ignoredError sqref="T21 AN21" formulaRange="1"/>
    <ignoredError sqref="U21:AM21" formula="1" formulaRange="1"/>
    <ignoredError sqref="B2:B25" numberStoredAsText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>
    <pageSetUpPr fitToPage="1"/>
  </sheetPr>
  <dimension ref="A1:N46"/>
  <sheetViews>
    <sheetView rightToLeft="1" topLeftCell="A9" zoomScale="80" zoomScaleNormal="80" zoomScalePageLayoutView="70" workbookViewId="0">
      <selection activeCell="B39" sqref="B39:M40"/>
    </sheetView>
  </sheetViews>
  <sheetFormatPr defaultColWidth="9.28515625" defaultRowHeight="12.75"/>
  <cols>
    <col min="1" max="1" width="21.28515625" style="52" bestFit="1" customWidth="1"/>
    <col min="2" max="2" width="12" style="52" bestFit="1" customWidth="1"/>
    <col min="3" max="3" width="10" style="52" bestFit="1" customWidth="1"/>
    <col min="4" max="4" width="11" style="52" bestFit="1" customWidth="1"/>
    <col min="5" max="7" width="10" style="52" bestFit="1" customWidth="1"/>
    <col min="8" max="8" width="10.28515625" style="80" bestFit="1" customWidth="1"/>
    <col min="9" max="13" width="10" style="52" bestFit="1" customWidth="1"/>
    <col min="14" max="16384" width="9.28515625" style="52"/>
  </cols>
  <sheetData>
    <row r="1" spans="1:9">
      <c r="A1" s="52">
        <v>9</v>
      </c>
      <c r="B1" s="44"/>
    </row>
    <row r="2" spans="1:9" ht="13.5" thickBot="1">
      <c r="A2" s="81"/>
      <c r="B2" s="81"/>
      <c r="C2" s="81"/>
      <c r="D2" s="81"/>
      <c r="E2" s="81"/>
      <c r="F2" s="81"/>
      <c r="G2" s="81"/>
      <c r="H2" s="82"/>
    </row>
    <row r="3" spans="1:9">
      <c r="A3" s="59" t="s">
        <v>232</v>
      </c>
      <c r="B3" s="60"/>
      <c r="C3" s="60"/>
      <c r="D3" s="60"/>
      <c r="E3" s="60"/>
      <c r="F3" s="60"/>
      <c r="G3" s="61"/>
      <c r="H3" s="83"/>
      <c r="I3" s="84"/>
    </row>
    <row r="4" spans="1:9">
      <c r="A4" s="62" t="s">
        <v>214</v>
      </c>
      <c r="B4" s="64" t="s">
        <v>204</v>
      </c>
      <c r="C4" s="64" t="s">
        <v>182</v>
      </c>
      <c r="D4" s="64" t="s">
        <v>238</v>
      </c>
      <c r="E4" s="64" t="s">
        <v>181</v>
      </c>
      <c r="F4" s="64" t="s">
        <v>239</v>
      </c>
      <c r="G4" s="63" t="s">
        <v>53</v>
      </c>
      <c r="H4" s="85" t="s">
        <v>262</v>
      </c>
      <c r="I4" s="84"/>
    </row>
    <row r="5" spans="1:9">
      <c r="A5" s="86" t="s">
        <v>221</v>
      </c>
      <c r="B5" s="75">
        <f ca="1">SUMIF((INDIRECT("'"&amp;$A$1&amp;"'!"&amp;"H:H")),"&lt;&gt;",(INDIRECT("'"&amp;$A$1&amp;"'!"&amp;"G:G")))-SUMIF((INDIRECT("'"&amp;$A$1&amp;"'!"&amp;"H:H")),"הוצאות על הבנייה",(INDIRECT("'"&amp;$A$1&amp;"'!"&amp;"G:G")))</f>
        <v>75937.239999999991</v>
      </c>
      <c r="C5" s="87" t="str">
        <f t="shared" ref="C5:C12" ca="1" si="0">IF((E5-B5)&lt;0,"",(E5-B5))</f>
        <v/>
      </c>
      <c r="D5" s="87">
        <f t="shared" ref="D5:D12" ca="1" si="1">IF((B5-E5)&lt;0,"",(B5-E5))</f>
        <v>63115.239999999991</v>
      </c>
      <c r="E5" s="75">
        <f>'ממוצע ורצוי'!$N$22</f>
        <v>12822</v>
      </c>
      <c r="F5" s="88">
        <f t="shared" ref="F5:F11" ca="1" si="2">(B5)/(SUM($B$5:$B$11))</f>
        <v>0.24178485097580479</v>
      </c>
      <c r="G5" s="76">
        <f ca="1">AVERAGEIFS('טבלת הוצאות'!B:B,'טבלת הוצאות'!A:A,"&gt;=0",'טבלת הוצאות'!A:A,"&lt;"&amp;'מיפוי מצב'!A1)</f>
        <v>34098.576666666668</v>
      </c>
      <c r="H5" s="85">
        <f ca="1">IF(D5="",B5,E5)</f>
        <v>12822</v>
      </c>
      <c r="I5" s="84"/>
    </row>
    <row r="6" spans="1:9">
      <c r="A6" s="89" t="s">
        <v>215</v>
      </c>
      <c r="B6" s="90">
        <f ca="1">SUMIF((INDIRECT("'"&amp;$A$1&amp;"'!"&amp;"I:I")),"&lt;&gt;",(INDIRECT("'"&amp;$A$1&amp;"'!"&amp;"G:G")))</f>
        <v>75937.239999999991</v>
      </c>
      <c r="C6" s="87" t="str">
        <f t="shared" ca="1" si="0"/>
        <v/>
      </c>
      <c r="D6" s="87">
        <f t="shared" ca="1" si="1"/>
        <v>66937.239999999991</v>
      </c>
      <c r="E6" s="90">
        <f>'ממוצע ורצוי'!$N$38</f>
        <v>9000</v>
      </c>
      <c r="F6" s="88">
        <f t="shared" ca="1" si="2"/>
        <v>0.24178485097580479</v>
      </c>
      <c r="G6" s="49">
        <f ca="1">AVERAGEIFS('טבלת הוצאות'!C:C,'טבלת הוצאות'!A:A,"&gt;=0",'טבלת הוצאות'!A:A,"&lt;"&amp;'מיפוי מצב'!A1)</f>
        <v>34261.53666666666</v>
      </c>
      <c r="H6" s="85">
        <f t="shared" ref="H6:H11" ca="1" si="3">IF(D6="",B6,E6)</f>
        <v>9000</v>
      </c>
      <c r="I6" s="84"/>
    </row>
    <row r="7" spans="1:9">
      <c r="A7" s="89" t="s">
        <v>216</v>
      </c>
      <c r="B7" s="90">
        <f ca="1">SUMIF((INDIRECT("'"&amp;$A$1&amp;"'!"&amp;"J:J")),"&lt;&gt;",(INDIRECT("'"&amp;$A$1&amp;"'!"&amp;"G:G")))</f>
        <v>75937.239999999991</v>
      </c>
      <c r="C7" s="87" t="str">
        <f t="shared" ca="1" si="0"/>
        <v/>
      </c>
      <c r="D7" s="87">
        <f t="shared" ca="1" si="1"/>
        <v>72697.239999999991</v>
      </c>
      <c r="E7" s="90">
        <f>'ממוצע ורצוי'!$N$54</f>
        <v>3240</v>
      </c>
      <c r="F7" s="88">
        <f t="shared" ca="1" si="2"/>
        <v>0.24178485097580479</v>
      </c>
      <c r="G7" s="49">
        <f ca="1">AVERAGEIFS('טבלת הוצאות'!D:D,'טבלת הוצאות'!A:A,"&gt;=0",'טבלת הוצאות'!A:A,"&lt;"&amp;'מיפוי מצב'!A1)</f>
        <v>26055.598333333328</v>
      </c>
      <c r="H7" s="85">
        <f t="shared" ca="1" si="3"/>
        <v>3240</v>
      </c>
      <c r="I7" s="84"/>
    </row>
    <row r="8" spans="1:9">
      <c r="A8" s="91" t="s">
        <v>217</v>
      </c>
      <c r="B8" s="90">
        <f ca="1">SUMIF((INDIRECT("'"&amp;$A$1&amp;"'!"&amp;"K:K")),"&lt;&gt;",(INDIRECT("'"&amp;$A$1&amp;"'!"&amp;"G:G")))</f>
        <v>2000</v>
      </c>
      <c r="C8" s="87">
        <f t="shared" ca="1" si="0"/>
        <v>2900</v>
      </c>
      <c r="D8" s="87" t="str">
        <f t="shared" ca="1" si="1"/>
        <v/>
      </c>
      <c r="E8" s="90">
        <f>'ממוצע ורצוי'!$N$71</f>
        <v>4900</v>
      </c>
      <c r="F8" s="88">
        <f t="shared" ca="1" si="2"/>
        <v>6.3680178783375547E-3</v>
      </c>
      <c r="G8" s="49">
        <f ca="1">AVERAGEIFS('טבלת הוצאות'!E:E,'טבלת הוצאות'!A:A,"&gt;=0",'טבלת הוצאות'!A:A,"&lt;"&amp;'מיפוי מצב'!A1)</f>
        <v>4552.6900000000005</v>
      </c>
      <c r="H8" s="85">
        <f t="shared" ca="1" si="3"/>
        <v>2000</v>
      </c>
      <c r="I8" s="84"/>
    </row>
    <row r="9" spans="1:9">
      <c r="A9" s="89" t="s">
        <v>218</v>
      </c>
      <c r="B9" s="90">
        <f ca="1">SUMIF((INDIRECT("'"&amp;$A$1&amp;"'!"&amp;"L:L")),"&lt;&gt;",(INDIRECT("'"&amp;$A$1&amp;"'!"&amp;"G:G")))</f>
        <v>2000</v>
      </c>
      <c r="C9" s="87">
        <f t="shared" ca="1" si="0"/>
        <v>600</v>
      </c>
      <c r="D9" s="87" t="str">
        <f t="shared" ca="1" si="1"/>
        <v/>
      </c>
      <c r="E9" s="90">
        <f>'ממוצע ורצוי'!$N$88</f>
        <v>2600</v>
      </c>
      <c r="F9" s="88">
        <f t="shared" ca="1" si="2"/>
        <v>6.3680178783375547E-3</v>
      </c>
      <c r="G9" s="49">
        <f ca="1">AVERAGEIFS('טבלת הוצאות'!F:F,'טבלת הוצאות'!A:A,"&gt;=0",'טבלת הוצאות'!A:A,"&lt;"&amp;'מיפוי מצב'!A1)</f>
        <v>4783.5833333333339</v>
      </c>
      <c r="H9" s="85">
        <f t="shared" ca="1" si="3"/>
        <v>2000</v>
      </c>
      <c r="I9" s="84"/>
    </row>
    <row r="10" spans="1:9">
      <c r="A10" s="89" t="s">
        <v>219</v>
      </c>
      <c r="B10" s="90">
        <f ca="1">SUMIF((INDIRECT("'"&amp;$A$1&amp;"'!"&amp;"M:M")),"&lt;&gt;",(INDIRECT("'"&amp;$A$1&amp;"'!"&amp;"G:G")))</f>
        <v>6320.51</v>
      </c>
      <c r="C10" s="87" t="str">
        <f t="shared" ca="1" si="0"/>
        <v/>
      </c>
      <c r="D10" s="87">
        <f t="shared" ca="1" si="1"/>
        <v>5340.51</v>
      </c>
      <c r="E10" s="90">
        <f>'ממוצע ורצוי'!$N$98</f>
        <v>980</v>
      </c>
      <c r="F10" s="88">
        <f t="shared" ca="1" si="2"/>
        <v>2.0124560340105648E-2</v>
      </c>
      <c r="G10" s="49">
        <f ca="1">AVERAGEIFS('טבלת הוצאות'!G:G,'טבלת הוצאות'!A:A,"&gt;=0",'טבלת הוצאות'!A:A,"&lt;"&amp;'מיפוי מצב'!A1)</f>
        <v>2852.4908333333333</v>
      </c>
      <c r="H10" s="85">
        <f t="shared" ca="1" si="3"/>
        <v>980</v>
      </c>
      <c r="I10" s="84"/>
    </row>
    <row r="11" spans="1:9">
      <c r="A11" s="92" t="s">
        <v>220</v>
      </c>
      <c r="B11" s="93">
        <f ca="1">SUMIF((INDIRECT("'"&amp;$A$1&amp;"'!"&amp;"H:H")),"&lt;&gt;",(INDIRECT("'"&amp;$A$1&amp;"'!"&amp;"G:G")))</f>
        <v>75937.239999999991</v>
      </c>
      <c r="C11" s="46" t="str">
        <f t="shared" ca="1" si="0"/>
        <v/>
      </c>
      <c r="D11" s="46">
        <f t="shared" ca="1" si="1"/>
        <v>74607.239999999991</v>
      </c>
      <c r="E11" s="93">
        <f>'ממוצע ורצוי'!$N$111</f>
        <v>1330</v>
      </c>
      <c r="F11" s="127">
        <f t="shared" ca="1" si="2"/>
        <v>0.24178485097580479</v>
      </c>
      <c r="G11" s="47">
        <f ca="1">AVERAGEIFS('טבלת הוצאות'!H:H,'טבלת הוצאות'!A:A,"&gt;=0",'טבלת הוצאות'!A:A,"&lt;"&amp;'מיפוי מצב'!A1)</f>
        <v>2542.7991666666667</v>
      </c>
      <c r="H11" s="85">
        <f t="shared" ca="1" si="3"/>
        <v>1330</v>
      </c>
      <c r="I11" s="84"/>
    </row>
    <row r="12" spans="1:9" ht="13.5" thickBot="1">
      <c r="A12" s="124" t="s">
        <v>24</v>
      </c>
      <c r="B12" s="125">
        <f ca="1">SUM(B5:B11)</f>
        <v>314069.46999999997</v>
      </c>
      <c r="C12" s="125" t="str">
        <f t="shared" ca="1" si="0"/>
        <v/>
      </c>
      <c r="D12" s="125">
        <f t="shared" ca="1" si="1"/>
        <v>279197.46999999997</v>
      </c>
      <c r="E12" s="125">
        <f>SUM(E5:E11)</f>
        <v>34872</v>
      </c>
      <c r="F12" s="126">
        <f ca="1">SUM(F5:F11)</f>
        <v>0.99999999999999989</v>
      </c>
      <c r="G12" s="128">
        <f ca="1">SUM(G5:G11)</f>
        <v>109147.27499999998</v>
      </c>
      <c r="H12" s="85">
        <f ca="1">SUM(H5:H11)</f>
        <v>31372</v>
      </c>
      <c r="I12" s="84"/>
    </row>
    <row r="13" spans="1:9" ht="13.5" thickBot="1">
      <c r="A13" s="94"/>
      <c r="B13" s="94"/>
      <c r="C13" s="95"/>
      <c r="D13" s="95"/>
      <c r="E13" s="95"/>
      <c r="F13" s="95"/>
      <c r="G13" s="95"/>
      <c r="H13" s="96"/>
    </row>
    <row r="14" spans="1:9" ht="13.5" thickBot="1">
      <c r="A14" s="59" t="s">
        <v>241</v>
      </c>
      <c r="B14" s="61"/>
      <c r="C14" s="97"/>
      <c r="D14" s="95"/>
      <c r="E14" s="95"/>
      <c r="F14" s="95"/>
      <c r="G14" s="95"/>
      <c r="H14" s="96"/>
    </row>
    <row r="15" spans="1:9">
      <c r="A15" s="98" t="s">
        <v>248</v>
      </c>
      <c r="B15" s="99">
        <f ca="1">SUMIF((INDIRECT("'"&amp;$A$1&amp;"'!"&amp;"B:B")),"משכורת יניב",(INDIRECT("'"&amp;$A$1&amp;"'!"&amp;"C:C")))+SUMIF((INDIRECT("'"&amp;$A$1&amp;"'!"&amp;"B:B")),"משכורת יניב",(INDIRECT("'"&amp;$A$1&amp;"'!"&amp;"D:D")))+SUMIF((INDIRECT("'"&amp;$A$1&amp;"'!"&amp;"B:B")),"משכורת לילי",(INDIRECT("'"&amp;$A$1&amp;"'!"&amp;"C:C")))+SUMIF((INDIRECT("'"&amp;$A$1&amp;"'!"&amp;"B:B")),"משכורת לילי",(INDIRECT("'"&amp;$A$1&amp;"'!"&amp;"D:D")))</f>
        <v>29000</v>
      </c>
      <c r="C15" s="100"/>
      <c r="D15" s="95"/>
      <c r="E15" s="95"/>
      <c r="F15" s="95"/>
      <c r="G15" s="95"/>
      <c r="H15" s="96"/>
    </row>
    <row r="16" spans="1:9">
      <c r="A16" s="98" t="s">
        <v>249</v>
      </c>
      <c r="B16" s="101">
        <f ca="1">SUMIF((INDIRECT("'"&amp;$A$1&amp;"'!"&amp;"B:B")),"קצבה",(INDIRECT("'"&amp;$A$1&amp;"'!"&amp;"C:C")))+SUMIF((INDIRECT("'"&amp;$A$1&amp;"'!"&amp;"B:B")),"קצבה",(INDIRECT("'"&amp;$A$1&amp;"'!"&amp;"D:D")))</f>
        <v>269</v>
      </c>
      <c r="C16" s="100"/>
      <c r="D16" s="95"/>
      <c r="E16" s="95"/>
      <c r="F16" s="95"/>
      <c r="G16" s="95"/>
      <c r="H16" s="96"/>
    </row>
    <row r="17" spans="1:8">
      <c r="A17" s="98" t="s">
        <v>250</v>
      </c>
      <c r="B17" s="101">
        <f ca="1">SUMIF((INDIRECT("'"&amp;$A$1&amp;"'!"&amp;"B:B")),"שונה",(INDIRECT("'"&amp;$A$1&amp;"'!"&amp;"C:C")))+SUMIF((INDIRECT("'"&amp;$A$1&amp;"'!"&amp;"B:B")),"שונה",(INDIRECT("'"&amp;$A$1&amp;"'!"&amp;"D:D")))+SUMIF((INDIRECT("'"&amp;$A$1&amp;"'!"&amp;"B:B")),"אחרות",(INDIRECT("'"&amp;$A$1&amp;"'!"&amp;"C:C")))+SUMIF((INDIRECT("'"&amp;$A$1&amp;"'!"&amp;"B:B")),"אחרות",(INDIRECT("'"&amp;$A$1&amp;"'!"&amp;"D:D")))</f>
        <v>0</v>
      </c>
      <c r="C17" s="102">
        <f ca="1">SUM(B15:B17)</f>
        <v>29269</v>
      </c>
      <c r="D17" s="95"/>
      <c r="E17" s="95"/>
      <c r="F17" s="95"/>
      <c r="G17" s="95"/>
      <c r="H17" s="96"/>
    </row>
    <row r="18" spans="1:8">
      <c r="A18" s="129" t="s">
        <v>49</v>
      </c>
      <c r="B18" s="130">
        <f ca="1">SUMIF((INDIRECT("'"&amp;$A$1&amp;"'!"&amp;"A:A")),"סך הוצאות",(INDIRECT("'"&amp;$A$1&amp;"'!"&amp;"C:C")))+SUMIF((INDIRECT("'"&amp;$A$1&amp;"'!"&amp;"A:A")),"סך הוצאות",(INDIRECT("'"&amp;$A$1&amp;"'!"&amp;"D:D")))</f>
        <v>62472.79</v>
      </c>
      <c r="C18" s="102">
        <f ca="1">B18</f>
        <v>62472.79</v>
      </c>
      <c r="D18" s="95"/>
      <c r="E18" s="95"/>
      <c r="F18" s="95"/>
      <c r="G18" s="95"/>
      <c r="H18" s="96"/>
    </row>
    <row r="19" spans="1:8" ht="13.5" thickBot="1">
      <c r="A19" s="124" t="str">
        <f ca="1">IF(B19&gt;0,"רווח","הפסד")</f>
        <v>הפסד</v>
      </c>
      <c r="B19" s="283">
        <f ca="1">B15+B16+B17-B18</f>
        <v>-33203.79</v>
      </c>
      <c r="C19" s="97"/>
      <c r="D19" s="95"/>
      <c r="E19" s="95"/>
      <c r="F19" s="95"/>
      <c r="G19" s="95"/>
      <c r="H19" s="96"/>
    </row>
    <row r="20" spans="1:8" ht="13.5" thickBot="1">
      <c r="A20" s="97"/>
      <c r="B20" s="97"/>
      <c r="C20" s="97"/>
      <c r="D20" s="97"/>
      <c r="E20" s="95"/>
      <c r="F20" s="95"/>
      <c r="G20" s="95"/>
      <c r="H20" s="96"/>
    </row>
    <row r="21" spans="1:8" ht="13.5" thickBot="1">
      <c r="A21" s="59" t="s">
        <v>240</v>
      </c>
      <c r="B21" s="61"/>
      <c r="C21" s="84"/>
      <c r="D21" s="84"/>
    </row>
    <row r="22" spans="1:8">
      <c r="A22" s="131" t="s">
        <v>36</v>
      </c>
      <c r="B22" s="99" t="str">
        <f>IF(SUMIF('נכסים והתחיבויות'!Q:Q,$A$1,'נכסים והתחיבויות'!R:R)=0,"",SUMIF('נכסים והתחיבויות'!Q:Q,$A$1,'נכסים והתחיבויות'!R:R))</f>
        <v/>
      </c>
      <c r="C22" s="84"/>
      <c r="D22" s="84"/>
    </row>
    <row r="23" spans="1:8">
      <c r="A23" s="132" t="s">
        <v>12</v>
      </c>
      <c r="B23" s="101">
        <f ca="1">SUMIF((INDIRECT("'"&amp;$A$1&amp;"'!"&amp;"P:P")),"&lt;&gt;",(INDIRECT("'"&amp;$A$1&amp;"'!"&amp;"G:G")))</f>
        <v>7775.96</v>
      </c>
      <c r="C23" s="84"/>
      <c r="D23" s="84"/>
    </row>
    <row r="24" spans="1:8">
      <c r="A24" s="133" t="s">
        <v>231</v>
      </c>
      <c r="B24" s="135">
        <f ca="1">IF(((INDIRECT("'"&amp;$A$1&amp;"'!"&amp;"C31"))+(INDIRECT("'"&amp;$A$1&amp;"'!"&amp;"D31")))&gt;0,"",ABS((INDIRECT("'"&amp;$A$1&amp;"'!"&amp;"C31"))+(INDIRECT("'"&amp;$A$1&amp;"'!"&amp;"D31"))))</f>
        <v>32703.790000000008</v>
      </c>
      <c r="C24" s="84"/>
      <c r="D24" s="84"/>
    </row>
    <row r="25" spans="1:8">
      <c r="A25" s="134" t="s">
        <v>68</v>
      </c>
      <c r="B25" s="130" t="str">
        <f>IF(SUMIF('נכסים והתחיבויות'!Q:Q,$A$1,'נכסים והתחיבויות'!S:S)=0,"",SUMIF('נכסים והתחיבויות'!Q:Q,$A$1,'נכסים והתחיבויות'!S:S))</f>
        <v/>
      </c>
      <c r="C25" s="84"/>
      <c r="D25" s="84"/>
    </row>
    <row r="26" spans="1:8" ht="13.5" thickBot="1">
      <c r="A26" s="50" t="s">
        <v>24</v>
      </c>
      <c r="B26" s="51">
        <f ca="1">SUM(B22:B25)</f>
        <v>40479.750000000007</v>
      </c>
      <c r="C26" s="84"/>
      <c r="D26" s="84"/>
    </row>
    <row r="27" spans="1:8" ht="13.5" thickBot="1">
      <c r="A27" s="95"/>
      <c r="B27" s="95"/>
    </row>
    <row r="28" spans="1:8" ht="13.5" thickBot="1">
      <c r="A28" s="59" t="s">
        <v>233</v>
      </c>
      <c r="B28" s="61"/>
      <c r="C28" s="84"/>
    </row>
    <row r="29" spans="1:8">
      <c r="A29" s="131" t="s">
        <v>234</v>
      </c>
      <c r="B29" s="99">
        <f>IF(SUMIF('נכסים והתחיבויות'!Q:Q,$A$1,'נכסים והתחיבויות'!W:W)=0,"",SUMIF('נכסים והתחיבויות'!Q:Q,$A$1,'נכסים והתחיבויות'!W:W))</f>
        <v>1500000</v>
      </c>
      <c r="C29" s="84"/>
    </row>
    <row r="30" spans="1:8">
      <c r="A30" s="132" t="s">
        <v>235</v>
      </c>
      <c r="B30" s="101" t="str">
        <f>IF(SUMIF('נכסים והתחיבויות'!Q:Q,$A$1,'נכסים והתחיבויות'!T:T)=0,"",SUMIF('נכסים והתחיבויות'!Q:Q,$A$1,'נכסים והתחיבויות'!T:T))</f>
        <v/>
      </c>
      <c r="C30" s="84"/>
    </row>
    <row r="31" spans="1:8">
      <c r="A31" s="132" t="s">
        <v>23</v>
      </c>
      <c r="B31" s="101" t="str">
        <f>IF(SUMIF('נכסים והתחיבויות'!Q:Q,$A$1,'נכסים והתחיבויות'!U:U)=0,"",SUMIF('נכסים והתחיבויות'!Q:Q,$A$1,'נכסים והתחיבויות'!U:U))</f>
        <v/>
      </c>
      <c r="C31" s="84"/>
    </row>
    <row r="32" spans="1:8">
      <c r="A32" s="133" t="s">
        <v>237</v>
      </c>
      <c r="B32" s="135" t="str">
        <f ca="1">IF(((INDIRECT("'"&amp;$A$1&amp;"'!"&amp;"C31"))+(INDIRECT("'"&amp;$A$1&amp;"'!"&amp;"D31")))&lt;0,"",((INDIRECT("'"&amp;$A$1&amp;"'!"&amp;"C31"))+(INDIRECT("'"&amp;$A$1&amp;"'!"&amp;"D31"))))</f>
        <v/>
      </c>
      <c r="C32" s="84"/>
    </row>
    <row r="33" spans="1:14">
      <c r="A33" s="134" t="s">
        <v>236</v>
      </c>
      <c r="B33" s="130" t="str">
        <f>IF(SUMIF('נכסים והתחיבויות'!Q:Q,$A$1,'נכסים והתחיבויות'!V:V)=0,"",SUMIF('נכסים והתחיבויות'!Q:Q,$A$1,'נכסים והתחיבויות'!V:V))</f>
        <v/>
      </c>
      <c r="C33" s="84"/>
    </row>
    <row r="34" spans="1:14" ht="13.5" thickBot="1">
      <c r="A34" s="50" t="s">
        <v>24</v>
      </c>
      <c r="B34" s="51">
        <f ca="1">SUM(B29:B33)</f>
        <v>1500000</v>
      </c>
      <c r="C34" s="84"/>
    </row>
    <row r="35" spans="1:14" ht="13.5" thickBot="1">
      <c r="A35" s="81"/>
      <c r="B35" s="81"/>
      <c r="C35" s="81"/>
      <c r="D35" s="81"/>
      <c r="E35" s="81"/>
      <c r="F35" s="81"/>
      <c r="G35" s="81"/>
      <c r="H35" s="82"/>
      <c r="I35" s="81"/>
      <c r="J35" s="81"/>
      <c r="K35" s="81"/>
      <c r="L35" s="81"/>
      <c r="M35" s="81"/>
    </row>
    <row r="36" spans="1:14" ht="13.5" thickBot="1">
      <c r="A36" s="106" t="s">
        <v>265</v>
      </c>
      <c r="B36" s="107">
        <v>1</v>
      </c>
      <c r="C36" s="107">
        <v>2</v>
      </c>
      <c r="D36" s="107">
        <v>3</v>
      </c>
      <c r="E36" s="107">
        <v>4</v>
      </c>
      <c r="F36" s="107">
        <v>5</v>
      </c>
      <c r="G36" s="107">
        <v>6</v>
      </c>
      <c r="H36" s="107">
        <v>7</v>
      </c>
      <c r="I36" s="107">
        <v>8</v>
      </c>
      <c r="J36" s="107">
        <v>9</v>
      </c>
      <c r="K36" s="107">
        <v>10</v>
      </c>
      <c r="L36" s="107">
        <v>11</v>
      </c>
      <c r="M36" s="108">
        <v>12</v>
      </c>
      <c r="N36" s="84"/>
    </row>
    <row r="37" spans="1:14">
      <c r="A37" s="109" t="s">
        <v>245</v>
      </c>
      <c r="B37" s="110">
        <f ca="1">IF($A$1&lt;B$36,SUMIF('הוצאות חודשיות'!$A:$A,$A37,'הוצאות חודשיות'!B:B),SUMIF((INDIRECT("'"&amp;B$36&amp;"'!"&amp;"A:A")),$A37,(INDIRECT("'"&amp;B$36&amp;"'!"&amp;"C:C")))+SUMIF((INDIRECT("'"&amp;B$36&amp;"'!"&amp;"A:A")),$A37,(INDIRECT("'"&amp;B$36&amp;"'!"&amp;"D:D"))))</f>
        <v>628878.42000000004</v>
      </c>
      <c r="C37" s="110">
        <f ca="1">IF($A$1&lt;C$36,SUMIF('הוצאות חודשיות'!$A:$A,$A37,'הוצאות חודשיות'!C:C),SUMIF((INDIRECT("'"&amp;C$36&amp;"'!"&amp;"A:A")),$A37,(INDIRECT("'"&amp;C$36&amp;"'!"&amp;"C:C")))+SUMIF((INDIRECT("'"&amp;C$36&amp;"'!"&amp;"A:A")),$A37,(INDIRECT("'"&amp;C$36&amp;"'!"&amp;"D:D"))))</f>
        <v>-30214.18</v>
      </c>
      <c r="D37" s="110">
        <f ca="1">IF($A$1&lt;D$36,SUMIF('הוצאות חודשיות'!$A:$A,$A37,'הוצאות חודשיות'!D:D),SUMIF((INDIRECT("'"&amp;D$36&amp;"'!"&amp;"A:A")),$A37,(INDIRECT("'"&amp;D$36&amp;"'!"&amp;"C:C")))+SUMIF((INDIRECT("'"&amp;D$36&amp;"'!"&amp;"A:A")),$A37,(INDIRECT("'"&amp;D$36&amp;"'!"&amp;"D:D"))))</f>
        <v>88657.300000000017</v>
      </c>
      <c r="E37" s="110">
        <f ca="1">IF($A$1&lt;E$36,SUMIF('הוצאות חודשיות'!$A:$A,$A37,'הוצאות חודשיות'!E:E),SUMIF((INDIRECT("'"&amp;E$36&amp;"'!"&amp;"A:A")),$A37,(INDIRECT("'"&amp;E$36&amp;"'!"&amp;"C:C")))+SUMIF((INDIRECT("'"&amp;E$36&amp;"'!"&amp;"A:A")),$A37,(INDIRECT("'"&amp;E$36&amp;"'!"&amp;"D:D"))))</f>
        <v>-86512.079999999987</v>
      </c>
      <c r="F37" s="110">
        <f ca="1">IF($A$1&lt;F$36,SUMIF('הוצאות חודשיות'!$A:$A,$A37,'הוצאות חודשיות'!F:F),SUMIF((INDIRECT("'"&amp;F$36&amp;"'!"&amp;"A:A")),$A37,(INDIRECT("'"&amp;F$36&amp;"'!"&amp;"C:C")))+SUMIF((INDIRECT("'"&amp;F$36&amp;"'!"&amp;"A:A")),$A37,(INDIRECT("'"&amp;F$36&amp;"'!"&amp;"D:D"))))</f>
        <v>75791.839999999997</v>
      </c>
      <c r="G37" s="110">
        <f ca="1">IF($A$1&lt;G$36,SUMIF('הוצאות חודשיות'!$A:$A,$A37,'הוצאות חודשיות'!G:G),SUMIF((INDIRECT("'"&amp;G$36&amp;"'!"&amp;"A:A")),$A37,(INDIRECT("'"&amp;G$36&amp;"'!"&amp;"C:C")))+SUMIF((INDIRECT("'"&amp;G$36&amp;"'!"&amp;"A:A")),$A37,(INDIRECT("'"&amp;G$36&amp;"'!"&amp;"D:D"))))</f>
        <v>81995.22</v>
      </c>
      <c r="H37" s="110">
        <f ca="1">IF($A$1&lt;H$36,SUMIF('הוצאות חודשיות'!$A:$A,$A37,'הוצאות חודשיות'!H:H),SUMIF((INDIRECT("'"&amp;H$36&amp;"'!"&amp;"A:A")),$A37,(INDIRECT("'"&amp;H$36&amp;"'!"&amp;"C:C")))+SUMIF((INDIRECT("'"&amp;H$36&amp;"'!"&amp;"A:A")),$A37,(INDIRECT("'"&amp;H$36&amp;"'!"&amp;"D:D"))))</f>
        <v>65228.22</v>
      </c>
      <c r="I37" s="110">
        <f ca="1">IF($A$1&lt;I$36,SUMIF('הוצאות חודשיות'!$A:$A,$A37,'הוצאות חודשיות'!I:I),SUMIF((INDIRECT("'"&amp;I$36&amp;"'!"&amp;"A:A")),$A37,(INDIRECT("'"&amp;I$36&amp;"'!"&amp;"C:C")))+SUMIF((INDIRECT("'"&amp;I$36&amp;"'!"&amp;"A:A")),$A37,(INDIRECT("'"&amp;I$36&amp;"'!"&amp;"D:D"))))</f>
        <v>77196.89</v>
      </c>
      <c r="J37" s="110">
        <f ca="1">IF($A$1&lt;J$36,SUMIF('הוצאות חודשיות'!$A:$A,$A37,'הוצאות חודשיות'!J:J),SUMIF((INDIRECT("'"&amp;J$36&amp;"'!"&amp;"A:A")),$A37,(INDIRECT("'"&amp;J$36&amp;"'!"&amp;"C:C")))+SUMIF((INDIRECT("'"&amp;J$36&amp;"'!"&amp;"A:A")),$A37,(INDIRECT("'"&amp;J$36&amp;"'!"&amp;"D:D"))))</f>
        <v>62472.79</v>
      </c>
      <c r="K37" s="110">
        <f ca="1">IF($A$1&lt;K$36,SUMIF('הוצאות חודשיות'!$A:$A,$A37,'הוצאות חודשיות'!K:K),SUMIF((INDIRECT("'"&amp;K$36&amp;"'!"&amp;"A:A")),$A37,(INDIRECT("'"&amp;K$36&amp;"'!"&amp;"C:C")))+SUMIF((INDIRECT("'"&amp;K$36&amp;"'!"&amp;"A:A")),$A37,(INDIRECT("'"&amp;K$36&amp;"'!"&amp;"D:D"))))</f>
        <v>66488.525999999998</v>
      </c>
      <c r="L37" s="110">
        <f ca="1">IF($A$1&lt;L$36,SUMIF('הוצאות חודשיות'!$A:$A,$A37,'הוצאות חודשיות'!L:L),SUMIF((INDIRECT("'"&amp;L$36&amp;"'!"&amp;"A:A")),$A37,(INDIRECT("'"&amp;L$36&amp;"'!"&amp;"C:C")))+SUMIF((INDIRECT("'"&amp;L$36&amp;"'!"&amp;"A:A")),$A37,(INDIRECT("'"&amp;L$36&amp;"'!"&amp;"D:D"))))</f>
        <v>77518.625999999989</v>
      </c>
      <c r="M37" s="103">
        <f ca="1">IF($A$1&lt;M$36,SUMIF('הוצאות חודשיות'!$A:$A,$A37,'הוצאות חודשיות'!M:M),SUMIF((INDIRECT("'"&amp;M$36&amp;"'!"&amp;"A:A")),$A37,(INDIRECT("'"&amp;M$36&amp;"'!"&amp;"C:C")))+SUMIF((INDIRECT("'"&amp;M$36&amp;"'!"&amp;"A:A")),$A37,(INDIRECT("'"&amp;M$36&amp;"'!"&amp;"D:D"))))</f>
        <v>63126.826000000001</v>
      </c>
      <c r="N37" s="84"/>
    </row>
    <row r="38" spans="1:14">
      <c r="A38" s="111" t="s">
        <v>242</v>
      </c>
      <c r="B38" s="112">
        <f ca="1">IF($A$1&lt;B$36,SUMIF('הוצאות חודשיות'!$A:$A,$A38,'הוצאות חודשיות'!B:B),SUMIF((INDIRECT("'"&amp;B$36&amp;"'!"&amp;"A:A")),$A38,(INDIRECT("'"&amp;B$36&amp;"'!"&amp;"C:C")))+SUMIF((INDIRECT("'"&amp;B$36&amp;"'!"&amp;"A:A")),$A38,(INDIRECT("'"&amp;B$36&amp;"'!"&amp;"D:D"))))</f>
        <v>82935.760000000009</v>
      </c>
      <c r="C38" s="112">
        <f ca="1">IF($A$1&lt;C$36,SUMIF('הוצאות חודשיות'!$A:$A,$A38,'הוצאות חודשיות'!C:C),SUMIF((INDIRECT("'"&amp;C$36&amp;"'!"&amp;"A:A")),$A38,(INDIRECT("'"&amp;C$36&amp;"'!"&amp;"C:C")))+SUMIF((INDIRECT("'"&amp;C$36&amp;"'!"&amp;"A:A")),$A38,(INDIRECT("'"&amp;C$36&amp;"'!"&amp;"D:D"))))</f>
        <v>65975.759999999995</v>
      </c>
      <c r="D38" s="112">
        <f ca="1">IF($A$1&lt;D$36,SUMIF('הוצאות חודשיות'!$A:$A,$A38,'הוצאות חודשיות'!D:D),SUMIF((INDIRECT("'"&amp;D$36&amp;"'!"&amp;"A:A")),$A38,(INDIRECT("'"&amp;D$36&amp;"'!"&amp;"C:C")))+SUMIF((INDIRECT("'"&amp;D$36&amp;"'!"&amp;"A:A")),$A38,(INDIRECT("'"&amp;D$36&amp;"'!"&amp;"D:D"))))</f>
        <v>101418.01999999999</v>
      </c>
      <c r="E38" s="112">
        <f ca="1">IF($A$1&lt;E$36,SUMIF('הוצאות חודשיות'!$A:$A,$A38,'הוצאות חודשיות'!E:E),SUMIF((INDIRECT("'"&amp;E$36&amp;"'!"&amp;"A:A")),$A38,(INDIRECT("'"&amp;E$36&amp;"'!"&amp;"C:C")))+SUMIF((INDIRECT("'"&amp;E$36&amp;"'!"&amp;"A:A")),$A38,(INDIRECT("'"&amp;E$36&amp;"'!"&amp;"D:D"))))</f>
        <v>98333.95</v>
      </c>
      <c r="F38" s="112">
        <f ca="1">IF($A$1&lt;F$36,SUMIF('הוצאות חודשיות'!$A:$A,$A38,'הוצאות חודשיות'!F:F),SUMIF((INDIRECT("'"&amp;F$36&amp;"'!"&amp;"A:A")),$A38,(INDIRECT("'"&amp;F$36&amp;"'!"&amp;"C:C")))+SUMIF((INDIRECT("'"&amp;F$36&amp;"'!"&amp;"A:A")),$A38,(INDIRECT("'"&amp;F$36&amp;"'!"&amp;"D:D"))))</f>
        <v>29269</v>
      </c>
      <c r="G38" s="112">
        <f ca="1">IF($A$1&lt;G$36,SUMIF('הוצאות חודשיות'!$A:$A,$A38,'הוצאות חודשיות'!G:G),SUMIF((INDIRECT("'"&amp;G$36&amp;"'!"&amp;"A:A")),$A38,(INDIRECT("'"&amp;G$36&amp;"'!"&amp;"C:C")))+SUMIF((INDIRECT("'"&amp;G$36&amp;"'!"&amp;"A:A")),$A38,(INDIRECT("'"&amp;G$36&amp;"'!"&amp;"D:D"))))</f>
        <v>29269</v>
      </c>
      <c r="H38" s="112">
        <f ca="1">IF($A$1&lt;H$36,SUMIF('הוצאות חודשיות'!$A:$A,$A38,'הוצאות חודשיות'!H:H),SUMIF((INDIRECT("'"&amp;H$36&amp;"'!"&amp;"A:A")),$A38,(INDIRECT("'"&amp;H$36&amp;"'!"&amp;"C:C")))+SUMIF((INDIRECT("'"&amp;H$36&amp;"'!"&amp;"A:A")),$A38,(INDIRECT("'"&amp;H$36&amp;"'!"&amp;"D:D"))))</f>
        <v>29269</v>
      </c>
      <c r="I38" s="112">
        <f ca="1">IF($A$1&lt;I$36,SUMIF('הוצאות חודשיות'!$A:$A,$A38,'הוצאות חודשיות'!I:I),SUMIF((INDIRECT("'"&amp;I$36&amp;"'!"&amp;"A:A")),$A38,(INDIRECT("'"&amp;I$36&amp;"'!"&amp;"C:C")))+SUMIF((INDIRECT("'"&amp;I$36&amp;"'!"&amp;"A:A")),$A38,(INDIRECT("'"&amp;I$36&amp;"'!"&amp;"D:D"))))</f>
        <v>29269</v>
      </c>
      <c r="J38" s="112">
        <f ca="1">IF($A$1&lt;J$36,SUMIF('הוצאות חודשיות'!$A:$A,$A38,'הוצאות חודשיות'!J:J),SUMIF((INDIRECT("'"&amp;J$36&amp;"'!"&amp;"A:A")),$A38,(INDIRECT("'"&amp;J$36&amp;"'!"&amp;"C:C")))+SUMIF((INDIRECT("'"&amp;J$36&amp;"'!"&amp;"A:A")),$A38,(INDIRECT("'"&amp;J$36&amp;"'!"&amp;"D:D"))))</f>
        <v>29269</v>
      </c>
      <c r="K38" s="112">
        <f ca="1">IF($A$1&lt;K$36,SUMIF('הוצאות חודשיות'!$A:$A,$A38,'הוצאות חודשיות'!K:K),SUMIF((INDIRECT("'"&amp;K$36&amp;"'!"&amp;"A:A")),$A38,(INDIRECT("'"&amp;K$36&amp;"'!"&amp;"C:C")))+SUMIF((INDIRECT("'"&amp;K$36&amp;"'!"&amp;"A:A")),$A38,(INDIRECT("'"&amp;K$36&amp;"'!"&amp;"D:D"))))</f>
        <v>29269</v>
      </c>
      <c r="L38" s="112">
        <f ca="1">IF($A$1&lt;L$36,SUMIF('הוצאות חודשיות'!$A:$A,$A38,'הוצאות חודשיות'!L:L),SUMIF((INDIRECT("'"&amp;L$36&amp;"'!"&amp;"A:A")),$A38,(INDIRECT("'"&amp;L$36&amp;"'!"&amp;"C:C")))+SUMIF((INDIRECT("'"&amp;L$36&amp;"'!"&amp;"A:A")),$A38,(INDIRECT("'"&amp;L$36&amp;"'!"&amp;"D:D"))))</f>
        <v>29269</v>
      </c>
      <c r="M38" s="105">
        <f ca="1">IF($A$1&lt;M$36,SUMIF('הוצאות חודשיות'!$A:$A,$A38,'הוצאות חודשיות'!M:M),SUMIF((INDIRECT("'"&amp;M$36&amp;"'!"&amp;"A:A")),$A38,(INDIRECT("'"&amp;M$36&amp;"'!"&amp;"C:C")))+SUMIF((INDIRECT("'"&amp;M$36&amp;"'!"&amp;"A:A")),$A38,(INDIRECT("'"&amp;M$36&amp;"'!"&amp;"D:D"))))</f>
        <v>29269</v>
      </c>
      <c r="N38" s="84"/>
    </row>
    <row r="39" spans="1:14">
      <c r="A39" s="113" t="s">
        <v>30</v>
      </c>
      <c r="B39" s="114">
        <f ca="1">IF($A$1&lt;B$36,(SUMIF('הוצאות חודשיות'!$A:$A,"מצב חשבון דיסקונט",'הוצאות חודשיות'!B:B)+SUMIF('הוצאות חודשיות'!$A:$A,"מצב חשבון הפועלים",'הוצאות חודשיות'!B:B)),SUMIF((INDIRECT("'"&amp;B$36&amp;"'!"&amp;"B:B")),$A39,(INDIRECT("'"&amp;B$36&amp;"'!"&amp;"C:C")))+SUMIF((INDIRECT("'"&amp;B$36&amp;"'!"&amp;"B:B")),$A39,(INDIRECT("'"&amp;B$36&amp;"'!"&amp;"D:D"))))</f>
        <v>80682.969999999972</v>
      </c>
      <c r="C39" s="114">
        <f ca="1">IF($A$1&lt;C$36,(SUMIF('הוצאות חודשיות'!$A:$A,"מצב חשבון דיסקונט",'הוצאות חודשיות'!C:C)+SUMIF('הוצאות חודשיות'!$A:$A,"מצב חשבון הפועלים",'הוצאות חודשיות'!C:C)),SUMIF((INDIRECT("'"&amp;C$36&amp;"'!"&amp;"B:B")),$A39,(INDIRECT("'"&amp;C$36&amp;"'!"&amp;"C:C")))+SUMIF((INDIRECT("'"&amp;C$36&amp;"'!"&amp;"B:B")),$A39,(INDIRECT("'"&amp;C$36&amp;"'!"&amp;"D:D"))))</f>
        <v>176872.90999999997</v>
      </c>
      <c r="D39" s="114">
        <f ca="1">IF($A$1&lt;D$36,(SUMIF('הוצאות חודשיות'!$A:$A,"מצב חשבון דיסקונט",'הוצאות חודשיות'!D:D)+SUMIF('הוצאות חודשיות'!$A:$A,"מצב חשבון הפועלים",'הוצאות חודשיות'!D:D)),SUMIF((INDIRECT("'"&amp;D$36&amp;"'!"&amp;"B:B")),$A39,(INDIRECT("'"&amp;D$36&amp;"'!"&amp;"C:C")))+SUMIF((INDIRECT("'"&amp;D$36&amp;"'!"&amp;"B:B")),$A39,(INDIRECT("'"&amp;D$36&amp;"'!"&amp;"D:D"))))</f>
        <v>188933.62999999995</v>
      </c>
      <c r="E39" s="114">
        <f ca="1">IF($A$1&lt;E$36,(SUMIF('הוצאות חודשיות'!$A:$A,"מצב חשבון דיסקונט",'הוצאות חודשיות'!E:E)+SUMIF('הוצאות חודשיות'!$A:$A,"מצב חשבון הפועלים",'הוצאות חודשיות'!E:E)),SUMIF((INDIRECT("'"&amp;E$36&amp;"'!"&amp;"B:B")),$A39,(INDIRECT("'"&amp;E$36&amp;"'!"&amp;"C:C")))+SUMIF((INDIRECT("'"&amp;E$36&amp;"'!"&amp;"B:B")),$A39,(INDIRECT("'"&amp;E$36&amp;"'!"&amp;"D:D"))))</f>
        <v>373779.65999999992</v>
      </c>
      <c r="F39" s="114">
        <f ca="1">IF($A$1&lt;F$36,(SUMIF('הוצאות חודשיות'!$A:$A,"מצב חשבון דיסקונט",'הוצאות חודשיות'!F:F)+SUMIF('הוצאות חודשיות'!$A:$A,"מצב חשבון הפועלים",'הוצאות חודשיות'!F:F)),SUMIF((INDIRECT("'"&amp;F$36&amp;"'!"&amp;"B:B")),$A39,(INDIRECT("'"&amp;F$36&amp;"'!"&amp;"C:C")))+SUMIF((INDIRECT("'"&amp;F$36&amp;"'!"&amp;"B:B")),$A39,(INDIRECT("'"&amp;F$36&amp;"'!"&amp;"D:D"))))</f>
        <v>327256.81999999995</v>
      </c>
      <c r="G39" s="114">
        <f ca="1">IF($A$1&lt;G$36,(SUMIF('הוצאות חודשיות'!$A:$A,"מצב חשבון דיסקונט",'הוצאות חודשיות'!G:G)+SUMIF('הוצאות חודשיות'!$A:$A,"מצב חשבון הפועלים",'הוצאות חודשיות'!G:G)),SUMIF((INDIRECT("'"&amp;G$36&amp;"'!"&amp;"B:B")),$A39,(INDIRECT("'"&amp;G$36&amp;"'!"&amp;"C:C")))+SUMIF((INDIRECT("'"&amp;G$36&amp;"'!"&amp;"B:B")),$A39,(INDIRECT("'"&amp;G$36&amp;"'!"&amp;"D:D"))))</f>
        <v>274530.59999999998</v>
      </c>
      <c r="H39" s="114">
        <f ca="1">IF($A$1&lt;H$36,(SUMIF('הוצאות חודשיות'!$A:$A,"מצב חשבון דיסקונט",'הוצאות חודשיות'!H:H)+SUMIF('הוצאות חודשיות'!$A:$A,"מצב חשבון הפועלים",'הוצאות חודשיות'!H:H)),SUMIF((INDIRECT("'"&amp;H$36&amp;"'!"&amp;"B:B")),$A39,(INDIRECT("'"&amp;H$36&amp;"'!"&amp;"C:C")))+SUMIF((INDIRECT("'"&amp;H$36&amp;"'!"&amp;"B:B")),$A39,(INDIRECT("'"&amp;H$36&amp;"'!"&amp;"D:D"))))</f>
        <v>238571.37999999995</v>
      </c>
      <c r="I39" s="114">
        <f ca="1">IF($A$1&lt;I$36,(SUMIF('הוצאות חודשיות'!$A:$A,"מצב חשבון דיסקונט",'הוצאות חודשיות'!I:I)+SUMIF('הוצאות חודשיות'!$A:$A,"מצב חשבון הפועלים",'הוצאות חודשיות'!I:I)),SUMIF((INDIRECT("'"&amp;I$36&amp;"'!"&amp;"B:B")),$A39,(INDIRECT("'"&amp;I$36&amp;"'!"&amp;"C:C")))+SUMIF((INDIRECT("'"&amp;I$36&amp;"'!"&amp;"B:B")),$A39,(INDIRECT("'"&amp;I$36&amp;"'!"&amp;"D:D"))))</f>
        <v>190643.48999999993</v>
      </c>
      <c r="J39" s="114">
        <f ca="1">IF($A$1&lt;J$36,(SUMIF('הוצאות חודשיות'!$A:$A,"מצב חשבון דיסקונט",'הוצאות חודשיות'!J:J)+SUMIF('הוצאות חודשיות'!$A:$A,"מצב חשבון הפועלים",'הוצאות חודשיות'!J:J)),SUMIF((INDIRECT("'"&amp;J$36&amp;"'!"&amp;"B:B")),$A39,(INDIRECT("'"&amp;J$36&amp;"'!"&amp;"C:C")))+SUMIF((INDIRECT("'"&amp;J$36&amp;"'!"&amp;"B:B")),$A39,(INDIRECT("'"&amp;J$36&amp;"'!"&amp;"D:D"))))</f>
        <v>157439.69999999992</v>
      </c>
      <c r="K39" s="114">
        <f ca="1">IF($A$1&lt;K$36,(SUMIF('הוצאות חודשיות'!$A:$A,"מצב חשבון דיסקונט",'הוצאות חודשיות'!K:K)+SUMIF('הוצאות חודשיות'!$A:$A,"מצב חשבון הפועלים",'הוצאות חודשיות'!K:K)),SUMIF((INDIRECT("'"&amp;K$36&amp;"'!"&amp;"B:B")),$A39,(INDIRECT("'"&amp;K$36&amp;"'!"&amp;"C:C")))+SUMIF((INDIRECT("'"&amp;K$36&amp;"'!"&amp;"B:B")),$A39,(INDIRECT("'"&amp;K$36&amp;"'!"&amp;"D:D"))))</f>
        <v>373146.42999999993</v>
      </c>
      <c r="L39" s="114">
        <f ca="1">IF($A$1&lt;L$36,(SUMIF('הוצאות חודשיות'!$A:$A,"מצב חשבון דיסקונט",'הוצאות חודשיות'!L:L)+SUMIF('הוצאות חודשיות'!$A:$A,"מצב חשבון הפועלים",'הוצאות חודשיות'!L:L)),SUMIF((INDIRECT("'"&amp;L$36&amp;"'!"&amp;"B:B")),$A39,(INDIRECT("'"&amp;L$36&amp;"'!"&amp;"C:C")))+SUMIF((INDIRECT("'"&amp;L$36&amp;"'!"&amp;"B:B")),$A39,(INDIRECT("'"&amp;L$36&amp;"'!"&amp;"D:D"))))</f>
        <v>376177.92999999993</v>
      </c>
      <c r="M39" s="115">
        <f ca="1">IF($A$1&lt;M$36,(SUMIF('הוצאות חודשיות'!$A:$A,"מצב חשבון דיסקונט",'הוצאות חודשיות'!M:M)+SUMIF('הוצאות חודשיות'!$A:$A,"מצב חשבון הפועלים",'הוצאות חודשיות'!M:M)),SUMIF((INDIRECT("'"&amp;M$36&amp;"'!"&amp;"B:B")),$A39,(INDIRECT("'"&amp;M$36&amp;"'!"&amp;"C:C")))+SUMIF((INDIRECT("'"&amp;M$36&amp;"'!"&amp;"B:B")),$A39,(INDIRECT("'"&amp;M$36&amp;"'!"&amp;"D:D"))))</f>
        <v>380259.42999999993</v>
      </c>
      <c r="N39" s="84"/>
    </row>
    <row r="40" spans="1:14">
      <c r="A40" s="116" t="s">
        <v>266</v>
      </c>
      <c r="B40" s="117">
        <f ca="1">IF($A$1&lt;B$36,0,((SUMIF((INDIRECT("'"&amp;B$36&amp;"'!"&amp;"B:B")),A$39,(INDIRECT("'"&amp;B$36&amp;"'!"&amp;"C:C")))+SUMIF((INDIRECT("'"&amp;B$36&amp;"'!"&amp;"B:B")),A$39,(INDIRECT("'"&amp;B$36&amp;"'!"&amp;"D:D")))))-((SUMIF((INDIRECT("'"&amp;B$36&amp;"'!"&amp;"B:B")),"יתרה חודש קודם",(INDIRECT("'"&amp;B$36&amp;"'!"&amp;"C:C")))+SUMIF((INDIRECT("'"&amp;B$36&amp;"'!"&amp;"B:B")),"יתרה חודש קודם",(INDIRECT("'"&amp;B$36&amp;"'!"&amp;"D:D"))))))</f>
        <v>-548862.65999999992</v>
      </c>
      <c r="C40" s="117">
        <f ca="1">IF($A$1&lt;C$36,((SUMIF('הוצאות חודשיות'!$A:$A,"מצב חשבון דיסקונט",'הוצאות חודשיות'!C:C)+SUMIF('הוצאות חודשיות'!$A:$A,"מצב חשבון הפועלים",'הוצאות חודשיות'!C:C))-(SUMIF('הוצאות חודשיות'!$A:$A,"מצב חשבון דיסקונט",'הוצאות חודשיות'!B:B)+SUMIF('הוצאות חודשיות'!$A:$A,"מצב חשבון הפועלים",'הוצאות חודשיות'!B:B))),((SUMIF((INDIRECT("'"&amp;C$36&amp;"'!"&amp;"B:B")),A$39,(INDIRECT("'"&amp;C$36&amp;"'!"&amp;"C:C")))+SUMIF((INDIRECT("'"&amp;C$36&amp;"'!"&amp;"B:B")),A$39,(INDIRECT("'"&amp;C$36&amp;"'!"&amp;"D:D")))))-((SUMIF((INDIRECT("'"&amp;C$36&amp;"'!"&amp;"B:B")),"יתרה חודש קודם",(INDIRECT("'"&amp;C$36&amp;"'!"&amp;"C:C")))+SUMIF((INDIRECT("'"&amp;C$36&amp;"'!"&amp;"B:B")),"יתרה חודש קודם",(INDIRECT("'"&amp;C$36&amp;"'!"&amp;"D:D"))))))</f>
        <v>96189.94</v>
      </c>
      <c r="D40" s="117">
        <f ca="1">IF($A$1&lt;D$36,((SUMIF('הוצאות חודשיות'!$A:$A,"מצב חשבון דיסקונט",'הוצאות חודשיות'!D:D)+SUMIF('הוצאות חודשיות'!$A:$A,"מצב חשבון הפועלים",'הוצאות חודשיות'!D:D))-(SUMIF('הוצאות חודשיות'!$A:$A,"מצב חשבון דיסקונט",'הוצאות חודשיות'!C:C)+SUMIF('הוצאות חודשיות'!$A:$A,"מצב חשבון הפועלים",'הוצאות חודשיות'!C:C))),((SUMIF((INDIRECT("'"&amp;D$36&amp;"'!"&amp;"B:B")),B$39,(INDIRECT("'"&amp;D$36&amp;"'!"&amp;"C:C")))+SUMIF((INDIRECT("'"&amp;D$36&amp;"'!"&amp;"B:B")),B$39,(INDIRECT("'"&amp;D$36&amp;"'!"&amp;"D:D")))))-((SUMIF((INDIRECT("'"&amp;D$36&amp;"'!"&amp;"B:B")),"יתרה חודש קודם",(INDIRECT("'"&amp;D$36&amp;"'!"&amp;"C:C")))+SUMIF((INDIRECT("'"&amp;D$36&amp;"'!"&amp;"B:B")),"יתרה חודש קודם",(INDIRECT("'"&amp;D$36&amp;"'!"&amp;"D:D"))))))</f>
        <v>-176872.90999999997</v>
      </c>
      <c r="E40" s="117">
        <f ca="1">IF($A$1&lt;E$36,((SUMIF('הוצאות חודשיות'!$A:$A,"מצב חשבון דיסקונט",'הוצאות חודשיות'!E:E)+SUMIF('הוצאות חודשיות'!$A:$A,"מצב חשבון הפועלים",'הוצאות חודשיות'!E:E))-(SUMIF('הוצאות חודשיות'!$A:$A,"מצב חשבון דיסקונט",'הוצאות חודשיות'!D:D)+SUMIF('הוצאות חודשיות'!$A:$A,"מצב חשבון הפועלים",'הוצאות חודשיות'!D:D))),((SUMIF((INDIRECT("'"&amp;E$36&amp;"'!"&amp;"B:B")),C$39,(INDIRECT("'"&amp;E$36&amp;"'!"&amp;"C:C")))+SUMIF((INDIRECT("'"&amp;E$36&amp;"'!"&amp;"B:B")),C$39,(INDIRECT("'"&amp;E$36&amp;"'!"&amp;"D:D")))))-((SUMIF((INDIRECT("'"&amp;E$36&amp;"'!"&amp;"B:B")),"יתרה חודש קודם",(INDIRECT("'"&amp;E$36&amp;"'!"&amp;"C:C")))+SUMIF((INDIRECT("'"&amp;E$36&amp;"'!"&amp;"B:B")),"יתרה חודש קודם",(INDIRECT("'"&amp;E$36&amp;"'!"&amp;"D:D"))))))</f>
        <v>-188933.62999999995</v>
      </c>
      <c r="F40" s="117">
        <f ca="1">IF($A$1&lt;F$36,((SUMIF('הוצאות חודשיות'!$A:$A,"מצב חשבון דיסקונט",'הוצאות חודשיות'!F:F)+SUMIF('הוצאות חודשיות'!$A:$A,"מצב חשבון הפועלים",'הוצאות חודשיות'!F:F))-(SUMIF('הוצאות חודשיות'!$A:$A,"מצב חשבון דיסקונט",'הוצאות חודשיות'!E:E)+SUMIF('הוצאות חודשיות'!$A:$A,"מצב חשבון הפועלים",'הוצאות חודשיות'!E:E))),((SUMIF((INDIRECT("'"&amp;F$36&amp;"'!"&amp;"B:B")),D$39,(INDIRECT("'"&amp;F$36&amp;"'!"&amp;"C:C")))+SUMIF((INDIRECT("'"&amp;F$36&amp;"'!"&amp;"B:B")),D$39,(INDIRECT("'"&amp;F$36&amp;"'!"&amp;"D:D")))))-((SUMIF((INDIRECT("'"&amp;F$36&amp;"'!"&amp;"B:B")),"יתרה חודש קודם",(INDIRECT("'"&amp;F$36&amp;"'!"&amp;"C:C")))+SUMIF((INDIRECT("'"&amp;F$36&amp;"'!"&amp;"B:B")),"יתרה חודש קודם",(INDIRECT("'"&amp;F$36&amp;"'!"&amp;"D:D"))))))</f>
        <v>-373779.65999999992</v>
      </c>
      <c r="G40" s="117">
        <f ca="1">IF($A$1&lt;G$36,((SUMIF('הוצאות חודשיות'!$A:$A,"מצב חשבון דיסקונט",'הוצאות חודשיות'!G:G)+SUMIF('הוצאות חודשיות'!$A:$A,"מצב חשבון הפועלים",'הוצאות חודשיות'!G:G))-(SUMIF('הוצאות חודשיות'!$A:$A,"מצב חשבון דיסקונט",'הוצאות חודשיות'!F:F)+SUMIF('הוצאות חודשיות'!$A:$A,"מצב חשבון הפועלים",'הוצאות חודשיות'!F:F))),((SUMIF((INDIRECT("'"&amp;G$36&amp;"'!"&amp;"B:B")),E$39,(INDIRECT("'"&amp;G$36&amp;"'!"&amp;"C:C")))+SUMIF((INDIRECT("'"&amp;G$36&amp;"'!"&amp;"B:B")),E$39,(INDIRECT("'"&amp;G$36&amp;"'!"&amp;"D:D")))))-((SUMIF((INDIRECT("'"&amp;G$36&amp;"'!"&amp;"B:B")),"יתרה חודש קודם",(INDIRECT("'"&amp;G$36&amp;"'!"&amp;"C:C")))+SUMIF((INDIRECT("'"&amp;G$36&amp;"'!"&amp;"B:B")),"יתרה חודש קודם",(INDIRECT("'"&amp;G$36&amp;"'!"&amp;"D:D"))))))</f>
        <v>-327256.81999999995</v>
      </c>
      <c r="H40" s="117">
        <f ca="1">IF($A$1&lt;H$36,((SUMIF('הוצאות חודשיות'!$A:$A,"מצב חשבון דיסקונט",'הוצאות חודשיות'!H:H)+SUMIF('הוצאות חודשיות'!$A:$A,"מצב חשבון הפועלים",'הוצאות חודשיות'!H:H))-(SUMIF('הוצאות חודשיות'!$A:$A,"מצב חשבון דיסקונט",'הוצאות חודשיות'!G:G)+SUMIF('הוצאות חודשיות'!$A:$A,"מצב חשבון הפועלים",'הוצאות חודשיות'!G:G))),((SUMIF((INDIRECT("'"&amp;H$36&amp;"'!"&amp;"B:B")),F$39,(INDIRECT("'"&amp;H$36&amp;"'!"&amp;"C:C")))+SUMIF((INDIRECT("'"&amp;H$36&amp;"'!"&amp;"B:B")),F$39,(INDIRECT("'"&amp;H$36&amp;"'!"&amp;"D:D")))))-((SUMIF((INDIRECT("'"&amp;H$36&amp;"'!"&amp;"B:B")),"יתרה חודש קודם",(INDIRECT("'"&amp;H$36&amp;"'!"&amp;"C:C")))+SUMIF((INDIRECT("'"&amp;H$36&amp;"'!"&amp;"B:B")),"יתרה חודש קודם",(INDIRECT("'"&amp;H$36&amp;"'!"&amp;"D:D"))))))</f>
        <v>-274530.59999999998</v>
      </c>
      <c r="I40" s="117">
        <f ca="1">IF($A$1&lt;I$36,((SUMIF('הוצאות חודשיות'!$A:$A,"מצב חשבון דיסקונט",'הוצאות חודשיות'!I:I)+SUMIF('הוצאות חודשיות'!$A:$A,"מצב חשבון הפועלים",'הוצאות חודשיות'!I:I))-(SUMIF('הוצאות חודשיות'!$A:$A,"מצב חשבון דיסקונט",'הוצאות חודשיות'!H:H)+SUMIF('הוצאות חודשיות'!$A:$A,"מצב חשבון הפועלים",'הוצאות חודשיות'!H:H))),((SUMIF((INDIRECT("'"&amp;I$36&amp;"'!"&amp;"B:B")),G$39,(INDIRECT("'"&amp;I$36&amp;"'!"&amp;"C:C")))+SUMIF((INDIRECT("'"&amp;I$36&amp;"'!"&amp;"B:B")),G$39,(INDIRECT("'"&amp;I$36&amp;"'!"&amp;"D:D")))))-((SUMIF((INDIRECT("'"&amp;I$36&amp;"'!"&amp;"B:B")),"יתרה חודש קודם",(INDIRECT("'"&amp;I$36&amp;"'!"&amp;"C:C")))+SUMIF((INDIRECT("'"&amp;I$36&amp;"'!"&amp;"B:B")),"יתרה חודש קודם",(INDIRECT("'"&amp;I$36&amp;"'!"&amp;"D:D"))))))</f>
        <v>-238571.37999999995</v>
      </c>
      <c r="J40" s="117">
        <f ca="1">IF($A$1&lt;J$36,((SUMIF('הוצאות חודשיות'!$A:$A,"מצב חשבון דיסקונט",'הוצאות חודשיות'!J:J)+SUMIF('הוצאות חודשיות'!$A:$A,"מצב חשבון הפועלים",'הוצאות חודשיות'!J:J))-(SUMIF('הוצאות חודשיות'!$A:$A,"מצב חשבון דיסקונט",'הוצאות חודשיות'!I:I)+SUMIF('הוצאות חודשיות'!$A:$A,"מצב חשבון הפועלים",'הוצאות חודשיות'!I:I))),((SUMIF((INDIRECT("'"&amp;J$36&amp;"'!"&amp;"B:B")),H$39,(INDIRECT("'"&amp;J$36&amp;"'!"&amp;"C:C")))+SUMIF((INDIRECT("'"&amp;J$36&amp;"'!"&amp;"B:B")),H$39,(INDIRECT("'"&amp;J$36&amp;"'!"&amp;"D:D")))))-((SUMIF((INDIRECT("'"&amp;J$36&amp;"'!"&amp;"B:B")),"יתרה חודש קודם",(INDIRECT("'"&amp;J$36&amp;"'!"&amp;"C:C")))+SUMIF((INDIRECT("'"&amp;J$36&amp;"'!"&amp;"B:B")),"יתרה חודש קודם",(INDIRECT("'"&amp;J$36&amp;"'!"&amp;"D:D"))))))</f>
        <v>-190643.48999999993</v>
      </c>
      <c r="K40" s="117">
        <f ca="1">IF($A$1&lt;K$36,((SUMIF('הוצאות חודשיות'!$A:$A,"מצב חשבון דיסקונט",'הוצאות חודשיות'!K:K)+SUMIF('הוצאות חודשיות'!$A:$A,"מצב חשבון הפועלים",'הוצאות חודשיות'!K:K))-(SUMIF('הוצאות חודשיות'!$A:$A,"מצב חשבון דיסקונט",'הוצאות חודשיות'!J:J)+SUMIF('הוצאות חודשיות'!$A:$A,"מצב חשבון הפועלים",'הוצאות חודשיות'!J:J))),((SUMIF((INDIRECT("'"&amp;K$36&amp;"'!"&amp;"B:B")),I$39,(INDIRECT("'"&amp;K$36&amp;"'!"&amp;"C:C")))+SUMIF((INDIRECT("'"&amp;K$36&amp;"'!"&amp;"B:B")),I$39,(INDIRECT("'"&amp;K$36&amp;"'!"&amp;"D:D")))))-((SUMIF((INDIRECT("'"&amp;K$36&amp;"'!"&amp;"B:B")),"יתרה חודש קודם",(INDIRECT("'"&amp;K$36&amp;"'!"&amp;"C:C")))+SUMIF((INDIRECT("'"&amp;K$36&amp;"'!"&amp;"B:B")),"יתרה חודש קודם",(INDIRECT("'"&amp;K$36&amp;"'!"&amp;"D:D"))))))</f>
        <v>4081.5</v>
      </c>
      <c r="L40" s="117">
        <f ca="1">IF($A$1&lt;L$36,((SUMIF('הוצאות חודשיות'!$A:$A,"מצב חשבון דיסקונט",'הוצאות חודשיות'!L:L)+SUMIF('הוצאות חודשיות'!$A:$A,"מצב חשבון הפועלים",'הוצאות חודשיות'!L:L))-(SUMIF('הוצאות חודשיות'!$A:$A,"מצב חשבון דיסקונט",'הוצאות חודשיות'!K:K)+SUMIF('הוצאות חודשיות'!$A:$A,"מצב חשבון הפועלים",'הוצאות חודשיות'!K:K))),((SUMIF((INDIRECT("'"&amp;L$36&amp;"'!"&amp;"B:B")),J$39,(INDIRECT("'"&amp;L$36&amp;"'!"&amp;"C:C")))+SUMIF((INDIRECT("'"&amp;L$36&amp;"'!"&amp;"B:B")),J$39,(INDIRECT("'"&amp;L$36&amp;"'!"&amp;"D:D")))))-((SUMIF((INDIRECT("'"&amp;L$36&amp;"'!"&amp;"B:B")),"יתרה חודש קודם",(INDIRECT("'"&amp;L$36&amp;"'!"&amp;"C:C")))+SUMIF((INDIRECT("'"&amp;L$36&amp;"'!"&amp;"B:B")),"יתרה חודש קודם",(INDIRECT("'"&amp;L$36&amp;"'!"&amp;"D:D"))))))</f>
        <v>3031.5</v>
      </c>
      <c r="M40" s="118">
        <f ca="1">IF($A$1&lt;M$36,((SUMIF('הוצאות חודשיות'!$A:$A,"מצב חשבון דיסקונט",'הוצאות חודשיות'!M:M)+SUMIF('הוצאות חודשיות'!$A:$A,"מצב חשבון הפועלים",'הוצאות חודשיות'!M:M))-(SUMIF('הוצאות חודשיות'!$A:$A,"מצב חשבון דיסקונט",'הוצאות חודשיות'!L:L)+SUMIF('הוצאות חודשיות'!$A:$A,"מצב חשבון הפועלים",'הוצאות חודשיות'!L:L))),((SUMIF((INDIRECT("'"&amp;M$36&amp;"'!"&amp;"B:B")),K$39,(INDIRECT("'"&amp;M$36&amp;"'!"&amp;"C:C")))+SUMIF((INDIRECT("'"&amp;M$36&amp;"'!"&amp;"B:B")),K$39,(INDIRECT("'"&amp;M$36&amp;"'!"&amp;"D:D")))))-((SUMIF((INDIRECT("'"&amp;M$36&amp;"'!"&amp;"B:B")),"יתרה חודש קודם",(INDIRECT("'"&amp;M$36&amp;"'!"&amp;"C:C")))+SUMIF((INDIRECT("'"&amp;M$36&amp;"'!"&amp;"B:B")),"יתרה חודש קודם",(INDIRECT("'"&amp;M$36&amp;"'!"&amp;"D:D"))))))</f>
        <v>4081.5</v>
      </c>
      <c r="N40" s="84"/>
    </row>
    <row r="41" spans="1:14">
      <c r="A41" s="109" t="s">
        <v>272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03"/>
      <c r="N41" s="84"/>
    </row>
    <row r="42" spans="1:14">
      <c r="A42" s="119" t="s">
        <v>11</v>
      </c>
      <c r="B42" s="53">
        <f ca="1">IF((INDIRECT("'"&amp;B$36&amp;"'!"&amp;"B80"))&lt;0,ABS((INDIRECT("'"&amp;B$36&amp;"'!"&amp;"B80"))),0)</f>
        <v>0</v>
      </c>
      <c r="C42" s="53">
        <f t="shared" ref="C42:M42" ca="1" si="4">IF((INDIRECT("'"&amp;C$36&amp;"'!"&amp;"B80"))&lt;0,ABS((INDIRECT("'"&amp;C$36&amp;"'!"&amp;"B80"))),0)</f>
        <v>0</v>
      </c>
      <c r="D42" s="53">
        <f t="shared" ca="1" si="4"/>
        <v>0</v>
      </c>
      <c r="E42" s="53">
        <f t="shared" ca="1" si="4"/>
        <v>0</v>
      </c>
      <c r="F42" s="53">
        <f t="shared" ca="1" si="4"/>
        <v>0</v>
      </c>
      <c r="G42" s="53">
        <f t="shared" ca="1" si="4"/>
        <v>0</v>
      </c>
      <c r="H42" s="53">
        <f t="shared" ca="1" si="4"/>
        <v>0</v>
      </c>
      <c r="I42" s="53">
        <f t="shared" ca="1" si="4"/>
        <v>0</v>
      </c>
      <c r="J42" s="53">
        <f t="shared" ca="1" si="4"/>
        <v>0</v>
      </c>
      <c r="K42" s="53">
        <f t="shared" ca="1" si="4"/>
        <v>0</v>
      </c>
      <c r="L42" s="53">
        <f t="shared" ca="1" si="4"/>
        <v>0</v>
      </c>
      <c r="M42" s="104">
        <f t="shared" ca="1" si="4"/>
        <v>0</v>
      </c>
      <c r="N42" s="84"/>
    </row>
    <row r="43" spans="1:14">
      <c r="A43" s="119" t="s">
        <v>25</v>
      </c>
      <c r="B43" s="53">
        <f ca="1">ABS(B39)-B42</f>
        <v>80682.969999999972</v>
      </c>
      <c r="C43" s="53">
        <f ca="1">ABS(C39)-C42</f>
        <v>176872.90999999997</v>
      </c>
      <c r="D43" s="53">
        <f ca="1">ABS(D39)-D42</f>
        <v>188933.62999999995</v>
      </c>
      <c r="E43" s="53">
        <f t="shared" ref="E43:M43" ca="1" si="5">ABS(E39)-E42</f>
        <v>373779.65999999992</v>
      </c>
      <c r="F43" s="53">
        <f t="shared" ca="1" si="5"/>
        <v>327256.81999999995</v>
      </c>
      <c r="G43" s="53">
        <f t="shared" ca="1" si="5"/>
        <v>274530.59999999998</v>
      </c>
      <c r="H43" s="53">
        <f t="shared" ca="1" si="5"/>
        <v>238571.37999999995</v>
      </c>
      <c r="I43" s="53">
        <f t="shared" ca="1" si="5"/>
        <v>190643.48999999993</v>
      </c>
      <c r="J43" s="53">
        <f t="shared" ca="1" si="5"/>
        <v>157439.69999999992</v>
      </c>
      <c r="K43" s="53">
        <f t="shared" ca="1" si="5"/>
        <v>373146.42999999993</v>
      </c>
      <c r="L43" s="53">
        <f t="shared" ca="1" si="5"/>
        <v>376177.92999999993</v>
      </c>
      <c r="M43" s="104">
        <f t="shared" ca="1" si="5"/>
        <v>380259.42999999993</v>
      </c>
      <c r="N43" s="84"/>
    </row>
    <row r="44" spans="1:14">
      <c r="A44" s="119"/>
      <c r="M44" s="120"/>
      <c r="N44" s="84"/>
    </row>
    <row r="45" spans="1:14" ht="13.5" thickBot="1">
      <c r="A45" s="121" t="s">
        <v>273</v>
      </c>
      <c r="B45" s="122">
        <f ca="1">B39+B42+B43</f>
        <v>161365.93999999994</v>
      </c>
      <c r="C45" s="122">
        <f ca="1">C39+C42+C43</f>
        <v>353745.81999999995</v>
      </c>
      <c r="D45" s="122">
        <f t="shared" ref="D45:M45" ca="1" si="6">D39+D42+D43</f>
        <v>377867.25999999989</v>
      </c>
      <c r="E45" s="122">
        <f t="shared" ca="1" si="6"/>
        <v>747559.31999999983</v>
      </c>
      <c r="F45" s="122">
        <f t="shared" ca="1" si="6"/>
        <v>654513.6399999999</v>
      </c>
      <c r="G45" s="122">
        <f t="shared" ca="1" si="6"/>
        <v>549061.19999999995</v>
      </c>
      <c r="H45" s="122">
        <f t="shared" ca="1" si="6"/>
        <v>477142.75999999989</v>
      </c>
      <c r="I45" s="122">
        <f t="shared" ca="1" si="6"/>
        <v>381286.97999999986</v>
      </c>
      <c r="J45" s="122">
        <f t="shared" ca="1" si="6"/>
        <v>314879.39999999985</v>
      </c>
      <c r="K45" s="122">
        <f t="shared" ca="1" si="6"/>
        <v>746292.85999999987</v>
      </c>
      <c r="L45" s="122">
        <f t="shared" ca="1" si="6"/>
        <v>752355.85999999987</v>
      </c>
      <c r="M45" s="123">
        <f t="shared" ca="1" si="6"/>
        <v>760518.85999999987</v>
      </c>
      <c r="N45" s="84"/>
    </row>
    <row r="46" spans="1:14">
      <c r="A46" s="95"/>
      <c r="B46" s="95"/>
      <c r="C46" s="95"/>
      <c r="D46" s="95"/>
      <c r="E46" s="95"/>
      <c r="F46" s="95"/>
      <c r="G46" s="95"/>
      <c r="H46" s="96"/>
      <c r="I46" s="95"/>
      <c r="J46" s="95"/>
      <c r="K46" s="95"/>
      <c r="L46" s="95"/>
      <c r="M46" s="95"/>
    </row>
  </sheetData>
  <conditionalFormatting sqref="B39:M40">
    <cfRule type="cellIs" dxfId="22" priority="1" stopIfTrue="1" operator="lessThan">
      <formula>0</formula>
    </cfRule>
    <cfRule type="cellIs" dxfId="21" priority="2" stopIfTrue="1" operator="greaterThan">
      <formula>0</formula>
    </cfRule>
  </conditionalFormatting>
  <pageMargins left="0.7" right="0.7" top="0.75" bottom="0.75" header="0.3" footer="0.3"/>
  <pageSetup scale="65" orientation="landscape" r:id="rId1"/>
  <headerFooter>
    <oddHeader>&amp;C&amp;"Open Sans Hebrew,Regular"&amp;16&amp;K5C2A66מיפוי&amp;K5C2A66 מצב</oddHeader>
    <oddFooter>&amp;L&amp;G</oddFooter>
  </headerFooter>
  <ignoredErrors>
    <ignoredError sqref="F5:F11" formula="1"/>
  </ignoredErrors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7A20-3893-43C4-8052-EB409BD51A76}">
  <sheetPr codeName="Sheet24"/>
  <dimension ref="B1:U34"/>
  <sheetViews>
    <sheetView rightToLeft="1" workbookViewId="0">
      <selection activeCell="H8" sqref="H8"/>
    </sheetView>
  </sheetViews>
  <sheetFormatPr defaultRowHeight="12.75"/>
  <cols>
    <col min="2" max="2" width="5.28515625" bestFit="1" customWidth="1"/>
    <col min="3" max="3" width="9.5703125" bestFit="1" customWidth="1"/>
    <col min="4" max="4" width="8.7109375" bestFit="1" customWidth="1"/>
    <col min="5" max="5" width="8" bestFit="1" customWidth="1"/>
    <col min="6" max="6" width="9.5703125" bestFit="1" customWidth="1"/>
    <col min="7" max="7" width="8.7109375" bestFit="1" customWidth="1"/>
    <col min="8" max="8" width="12.42578125" bestFit="1" customWidth="1"/>
    <col min="9" max="9" width="11.42578125" bestFit="1" customWidth="1"/>
    <col min="10" max="10" width="9.42578125" bestFit="1" customWidth="1"/>
    <col min="11" max="11" width="12" bestFit="1" customWidth="1"/>
    <col min="12" max="12" width="9.5703125" bestFit="1" customWidth="1"/>
    <col min="13" max="13" width="8.42578125" bestFit="1" customWidth="1"/>
    <col min="14" max="14" width="11.140625" bestFit="1" customWidth="1"/>
    <col min="15" max="15" width="10.7109375" bestFit="1" customWidth="1"/>
    <col min="16" max="16" width="12.42578125" bestFit="1" customWidth="1"/>
    <col min="17" max="17" width="9.42578125" bestFit="1" customWidth="1"/>
    <col min="18" max="18" width="10.140625" bestFit="1" customWidth="1"/>
    <col min="19" max="19" width="9.42578125" customWidth="1"/>
    <col min="20" max="20" width="9.5703125" bestFit="1" customWidth="1"/>
    <col min="21" max="21" width="12.85546875" bestFit="1" customWidth="1"/>
  </cols>
  <sheetData>
    <row r="1" spans="2:20" ht="13.5" thickBot="1"/>
    <row r="2" spans="2:20">
      <c r="B2" s="59"/>
      <c r="C2" s="476" t="s">
        <v>25</v>
      </c>
      <c r="D2" s="477"/>
      <c r="E2" s="477"/>
      <c r="F2" s="478"/>
      <c r="G2" s="476" t="s">
        <v>346</v>
      </c>
      <c r="H2" s="477"/>
      <c r="I2" s="477"/>
      <c r="J2" s="478"/>
      <c r="K2" s="169"/>
      <c r="L2" s="476" t="s">
        <v>345</v>
      </c>
      <c r="M2" s="477"/>
      <c r="N2" s="477"/>
      <c r="O2" s="477"/>
      <c r="P2" s="477"/>
      <c r="Q2" s="477"/>
      <c r="R2" s="477"/>
      <c r="S2" s="477"/>
      <c r="T2" s="175" t="s">
        <v>354</v>
      </c>
    </row>
    <row r="3" spans="2:20" ht="13.5" thickBot="1">
      <c r="B3" s="155" t="s">
        <v>190</v>
      </c>
      <c r="C3" s="156" t="s">
        <v>340</v>
      </c>
      <c r="D3" s="157" t="s">
        <v>343</v>
      </c>
      <c r="E3" s="157" t="s">
        <v>344</v>
      </c>
      <c r="F3" s="158" t="s">
        <v>24</v>
      </c>
      <c r="G3" s="156" t="s">
        <v>326</v>
      </c>
      <c r="H3" s="157" t="s">
        <v>328</v>
      </c>
      <c r="I3" s="157" t="s">
        <v>329</v>
      </c>
      <c r="J3" s="158" t="s">
        <v>24</v>
      </c>
      <c r="K3" s="157" t="s">
        <v>182</v>
      </c>
      <c r="L3" s="156" t="s">
        <v>326</v>
      </c>
      <c r="M3" s="157" t="s">
        <v>328</v>
      </c>
      <c r="N3" s="157" t="s">
        <v>329</v>
      </c>
      <c r="O3" s="157" t="s">
        <v>236</v>
      </c>
      <c r="P3" s="157" t="s">
        <v>327</v>
      </c>
      <c r="Q3" s="157" t="s">
        <v>8</v>
      </c>
      <c r="R3" s="157" t="s">
        <v>335</v>
      </c>
      <c r="S3" s="157" t="s">
        <v>24</v>
      </c>
      <c r="T3" s="176">
        <v>2000</v>
      </c>
    </row>
    <row r="4" spans="2:20">
      <c r="B4" s="153">
        <v>1</v>
      </c>
      <c r="C4" s="79">
        <f>SUMIFS(עסק!$E:$E,עסק!$D:$D,$B5,עסק!$B:$B,"*2do*")</f>
        <v>39317</v>
      </c>
      <c r="D4" s="79">
        <f>SUMIFS(עסק!$E:$E,עסק!$D:$D,$B4,עסק!$B:$B,"&lt;&gt;")-SUMIFS(עסק!$E:$E,עסק!$D:$D,$B4,עסק!$B:$B,"*ייעוץ*")-SUMIFS(עסק!$E:$E,עסק!$D:$D,$B4,עסק!$B:$B,"*2do*")</f>
        <v>2920</v>
      </c>
      <c r="E4" s="79">
        <f>SUMIFS(עסק!$E:$E,עסק!$D:$D,$B4,עסק!$B:$B,"*ייעוץ*")</f>
        <v>0</v>
      </c>
      <c r="F4" s="171">
        <f>SUM(C4:E4)</f>
        <v>42237</v>
      </c>
      <c r="G4" s="79">
        <f>F4*0.17</f>
        <v>7180.2900000000009</v>
      </c>
      <c r="H4" s="79">
        <f t="shared" ref="H4:H15" si="0">(F4/1.17-$T$3)*0.165</f>
        <v>5626.5</v>
      </c>
      <c r="I4" s="79">
        <f>IF((F4/1.17-$T$3)&gt;6331, 0.0597*6331+0.1783*(F4/1.17-6331-$T$3), 0.0597*(F4/1.17-$T$3))</f>
        <v>5329.1733999999997</v>
      </c>
      <c r="J4" s="79">
        <f t="shared" ref="J4:J15" si="1">SUM(G4:I4)</f>
        <v>18135.963400000001</v>
      </c>
      <c r="K4" s="170">
        <f>F4-J4</f>
        <v>24101.036599999999</v>
      </c>
      <c r="L4" s="79">
        <f ca="1">SUMIF((INDIRECT("'"&amp;$B4&amp;"'!"&amp;"O:O")),$L$3,(INDIRECT("'"&amp;$B4&amp;"'!"&amp;"G:G")))</f>
        <v>0</v>
      </c>
      <c r="M4" s="79">
        <f ca="1">SUMIF((INDIRECT("'"&amp;$B4&amp;"'!"&amp;"O:O")),$M$3,(INDIRECT("'"&amp;$B4&amp;"'!"&amp;"G:G")))</f>
        <v>0</v>
      </c>
      <c r="N4" s="79">
        <f ca="1">SUMIF((INDIRECT("'"&amp;$B4&amp;"'!"&amp;"O:O")),N$3,(INDIRECT("'"&amp;$B4&amp;"'!"&amp;"G:G")))</f>
        <v>0</v>
      </c>
      <c r="O4" s="79">
        <f ca="1">SUMIF((INDIRECT("'"&amp;$B4&amp;"'!"&amp;"O:O")),$O$3,(INDIRECT("'"&amp;$B4&amp;"'!"&amp;"G:G")))</f>
        <v>0</v>
      </c>
      <c r="P4" s="79">
        <f ca="1">SUMIF((INDIRECT("'"&amp;$B4&amp;"'!"&amp;"O:O")),$P$3,(INDIRECT("'"&amp;$B4&amp;"'!"&amp;"G:G")))</f>
        <v>0</v>
      </c>
      <c r="Q4" s="79">
        <f ca="1">SUMIF((INDIRECT("'"&amp;$B4&amp;"'!"&amp;"O:O")),"&lt;&gt;",(INDIRECT("'"&amp;$B4&amp;"'!"&amp;"G:G")))-SUMIF((INDIRECT("'"&amp;$B4&amp;"'!"&amp;"O:O")),"משכורת",(INDIRECT("'"&amp;$B4&amp;"'!"&amp;"G:G")))-P4-O4-N4-M4-L4</f>
        <v>0</v>
      </c>
      <c r="R4" s="79">
        <f ca="1">SUMIF((INDIRECT("'"&amp;$B4&amp;"'!"&amp;"O:O")),"משכורת",(INDIRECT("'"&amp;$B4&amp;"'!"&amp;"G:G")))+SUMIFS(עסק!$E:$E,עסק!$D:$D,$B4,עסק!F:F,"כן",עסק!G:G,"ביט" )+SUMIFS(עסק!$AA:$AA,עסק!$Z:$Z,$B4,עסק!AB:AB,"כן",עסק!AC:AC,"ביט" )+SUMIFS(עסק!$E:$E,עסק!$D:$D,$B4,עסק!F:F,"כן",עסק!G:G,"מזומן" )+SUMIFS(עסק!$AA:$AA,עסק!$Z:$Z,$B4,עסק!AB:AB,"כן",עסק!AC:AC,"מזומן" )</f>
        <v>2920</v>
      </c>
      <c r="S4" s="172">
        <f ca="1">SUM(L4:R4)</f>
        <v>2920</v>
      </c>
    </row>
    <row r="5" spans="2:20">
      <c r="B5" s="153">
        <v>2</v>
      </c>
      <c r="C5" s="79">
        <f>SUMIFS(עסק!$E:$E,עסק!$D:$D,$B6,עסק!$B:$B,"*2do*")</f>
        <v>47501</v>
      </c>
      <c r="D5" s="79">
        <f>SUMIFS(עסק!$E:$E,עסק!$D:$D,$B5,עסק!$B:$B,"&lt;&gt;")-SUMIFS(עסק!$E:$E,עסק!$D:$D,$B5,עסק!$B:$B,"*ייעוץ*")-SUMIFS(עסק!$E:$E,עסק!$D:$D,$B5,עסק!$B:$B,"*2do*")</f>
        <v>0</v>
      </c>
      <c r="E5" s="79">
        <f>SUMIFS(עסק!$E:$E,עסק!$D:$D,$B5,עסק!$B:$B,"*ייעוץ*")</f>
        <v>0</v>
      </c>
      <c r="F5" s="171">
        <f t="shared" ref="F5:F15" si="2">SUM(C5:E5)</f>
        <v>47501</v>
      </c>
      <c r="G5" s="79">
        <f t="shared" ref="G5:G15" si="3">F5*0.17</f>
        <v>8075.170000000001</v>
      </c>
      <c r="H5" s="79">
        <f t="shared" si="0"/>
        <v>6368.8589743589755</v>
      </c>
      <c r="I5" s="79">
        <f t="shared" ref="I5:I15" si="4">IF((F5/1.17-$T$3)&gt;6331, 0.0597*6331+0.1783*(F5/1.17-6331-$T$3), 0.0597*(F5/1.17-$T$3))</f>
        <v>6131.3710068376067</v>
      </c>
      <c r="J5" s="79">
        <f t="shared" si="1"/>
        <v>20575.399981196584</v>
      </c>
      <c r="K5" s="170">
        <f t="shared" ref="K5:K15" si="5">F5-J5</f>
        <v>26925.600018803416</v>
      </c>
      <c r="L5" s="79">
        <f t="shared" ref="L5:L15" ca="1" si="6">SUMIF((INDIRECT("'"&amp;$B5&amp;"'!"&amp;"O:O")),$L$3,(INDIRECT("'"&amp;$B5&amp;"'!"&amp;"G:G")))</f>
        <v>0</v>
      </c>
      <c r="M5" s="79">
        <f t="shared" ref="M5:M15" ca="1" si="7">SUMIF((INDIRECT("'"&amp;$B5&amp;"'!"&amp;"O:O")),$M$3,(INDIRECT("'"&amp;$B5&amp;"'!"&amp;"G:G")))</f>
        <v>0</v>
      </c>
      <c r="N5" s="79">
        <f t="shared" ref="N5:N15" ca="1" si="8">SUMIF((INDIRECT("'"&amp;$B5&amp;"'!"&amp;"O:O")),N$3,(INDIRECT("'"&amp;$B5&amp;"'!"&amp;"G:G")))</f>
        <v>0</v>
      </c>
      <c r="O5" s="79">
        <f t="shared" ref="O5:O15" ca="1" si="9">SUMIF((INDIRECT("'"&amp;$B5&amp;"'!"&amp;"O:O")),$O$3,(INDIRECT("'"&amp;$B5&amp;"'!"&amp;"G:G")))</f>
        <v>0</v>
      </c>
      <c r="P5" s="79">
        <f t="shared" ref="P5:P15" ca="1" si="10">SUMIF((INDIRECT("'"&amp;$B5&amp;"'!"&amp;"O:O")),$P$3,(INDIRECT("'"&amp;$B5&amp;"'!"&amp;"G:G")))</f>
        <v>0</v>
      </c>
      <c r="Q5" s="79">
        <f t="shared" ref="Q5:Q15" ca="1" si="11">SUMIF((INDIRECT("'"&amp;$B5&amp;"'!"&amp;"O:O")),"&lt;&gt;",(INDIRECT("'"&amp;$B5&amp;"'!"&amp;"G:G")))-SUMIF((INDIRECT("'"&amp;$B5&amp;"'!"&amp;"O:O")),"משכורת",(INDIRECT("'"&amp;$B5&amp;"'!"&amp;"G:G")))-P5-O5-N5-M5-L5</f>
        <v>0</v>
      </c>
      <c r="R5" s="79">
        <f ca="1">SUMIF((INDIRECT("'"&amp;$B5&amp;"'!"&amp;"O:O")),"משכורת",(INDIRECT("'"&amp;$B5&amp;"'!"&amp;"G:G")))+SUMIFS(עסק!$E:$E,עסק!$D:$D,$B5,עסק!F:F,"כן",עסק!G:G,"ביט" )+SUMIFS(עסק!$AA:$AA,עסק!$Z:$Z,$B5,עסק!AB:AB,"כן",עסק!AC:AC,"ביט" )+SUMIFS(עסק!$E:$E,עסק!$D:$D,$B5,עסק!F:F,"כן",עסק!G:G,"מזומן" )+SUMIFS(עסק!$AA:$AA,עסק!$Z:$Z,$B5,עסק!AB:AB,"כן",עסק!AC:AC,"מזומן" )</f>
        <v>0</v>
      </c>
      <c r="S5" s="172">
        <f t="shared" ref="S5:S15" ca="1" si="12">SUM(L5:R5)</f>
        <v>0</v>
      </c>
    </row>
    <row r="6" spans="2:20">
      <c r="B6" s="153">
        <v>3</v>
      </c>
      <c r="C6" s="79">
        <f>SUMIFS(עסק!$E:$E,עסק!$D:$D,$B7,עסק!$B:$B,"*2do*")</f>
        <v>0</v>
      </c>
      <c r="D6" s="79">
        <f>SUMIFS(עסק!$E:$E,עסק!$D:$D,$B6,עסק!$B:$B,"&lt;&gt;")-SUMIFS(עסק!$E:$E,עסק!$D:$D,$B6,עסק!$B:$B,"*ייעוץ*")-SUMIFS(עסק!$E:$E,עסק!$D:$D,$B6,עסק!$B:$B,"*2do*")</f>
        <v>700</v>
      </c>
      <c r="E6" s="79">
        <f>SUMIFS(עסק!$E:$E,עסק!$D:$D,$B6,עסק!$B:$B,"*ייעוץ*")</f>
        <v>0</v>
      </c>
      <c r="F6" s="171">
        <f t="shared" si="2"/>
        <v>700</v>
      </c>
      <c r="G6" s="79">
        <f t="shared" si="3"/>
        <v>119.00000000000001</v>
      </c>
      <c r="H6" s="79">
        <f t="shared" si="0"/>
        <v>-231.28205128205127</v>
      </c>
      <c r="I6" s="79">
        <f t="shared" si="4"/>
        <v>-83.682051282051276</v>
      </c>
      <c r="J6" s="79">
        <f t="shared" si="1"/>
        <v>-195.96410256410252</v>
      </c>
      <c r="K6" s="170">
        <f t="shared" si="5"/>
        <v>895.96410256410252</v>
      </c>
      <c r="L6" s="79">
        <f t="shared" ca="1" si="6"/>
        <v>0</v>
      </c>
      <c r="M6" s="79">
        <f t="shared" ca="1" si="7"/>
        <v>0</v>
      </c>
      <c r="N6" s="79">
        <f t="shared" ca="1" si="8"/>
        <v>0</v>
      </c>
      <c r="O6" s="79">
        <f t="shared" ca="1" si="9"/>
        <v>0</v>
      </c>
      <c r="P6" s="79">
        <f t="shared" ca="1" si="10"/>
        <v>0</v>
      </c>
      <c r="Q6" s="79">
        <f t="shared" ca="1" si="11"/>
        <v>0</v>
      </c>
      <c r="R6" s="79">
        <f ca="1">SUMIF((INDIRECT("'"&amp;$B6&amp;"'!"&amp;"O:O")),"משכורת",(INDIRECT("'"&amp;$B6&amp;"'!"&amp;"G:G")))+SUMIFS(עסק!$E:$E,עסק!$D:$D,$B6,עסק!F:F,"כן",עסק!G:G,"ביט" )+SUMIFS(עסק!$AA:$AA,עסק!$Z:$Z,$B6,עסק!AB:AB,"כן",עסק!AC:AC,"ביט" )+SUMIFS(עסק!$E:$E,עסק!$D:$D,$B6,עסק!F:F,"כן",עסק!G:G,"מזומן" )+SUMIFS(עסק!$AA:$AA,עסק!$Z:$Z,$B6,עסק!AB:AB,"כן",עסק!AC:AC,"מזומן" )</f>
        <v>700</v>
      </c>
      <c r="S6" s="172">
        <f t="shared" ca="1" si="12"/>
        <v>700</v>
      </c>
    </row>
    <row r="7" spans="2:20">
      <c r="B7" s="153">
        <v>4</v>
      </c>
      <c r="C7" s="79">
        <f>SUMIFS(עסק!$E:$E,עסק!$D:$D,$B8,עסק!$B:$B,"*2do*")</f>
        <v>0</v>
      </c>
      <c r="D7" s="79">
        <f>SUMIFS(עסק!$E:$E,עסק!$D:$D,$B7,עסק!$B:$B,"&lt;&gt;")-SUMIFS(עסק!$E:$E,עסק!$D:$D,$B7,עסק!$B:$B,"*ייעוץ*")-SUMIFS(עסק!$E:$E,עסק!$D:$D,$B7,עסק!$B:$B,"*2do*")</f>
        <v>0</v>
      </c>
      <c r="E7" s="79">
        <f>SUMIFS(עסק!$E:$E,עסק!$D:$D,$B7,עסק!$B:$B,"*ייעוץ*")</f>
        <v>0</v>
      </c>
      <c r="F7" s="171">
        <f t="shared" si="2"/>
        <v>0</v>
      </c>
      <c r="G7" s="79">
        <f t="shared" si="3"/>
        <v>0</v>
      </c>
      <c r="H7" s="79">
        <f t="shared" si="0"/>
        <v>-330</v>
      </c>
      <c r="I7" s="79">
        <f t="shared" si="4"/>
        <v>-119.4</v>
      </c>
      <c r="J7" s="79">
        <f t="shared" si="1"/>
        <v>-449.4</v>
      </c>
      <c r="K7" s="170">
        <f t="shared" si="5"/>
        <v>449.4</v>
      </c>
      <c r="L7" s="79">
        <f t="shared" ca="1" si="6"/>
        <v>0</v>
      </c>
      <c r="M7" s="79">
        <f t="shared" ca="1" si="7"/>
        <v>0</v>
      </c>
      <c r="N7" s="79">
        <f t="shared" ca="1" si="8"/>
        <v>0</v>
      </c>
      <c r="O7" s="79">
        <f t="shared" ca="1" si="9"/>
        <v>0</v>
      </c>
      <c r="P7" s="79">
        <f t="shared" ca="1" si="10"/>
        <v>0</v>
      </c>
      <c r="Q7" s="79">
        <f t="shared" ca="1" si="11"/>
        <v>0</v>
      </c>
      <c r="R7" s="79">
        <f ca="1">SUMIF((INDIRECT("'"&amp;$B7&amp;"'!"&amp;"O:O")),"משכורת",(INDIRECT("'"&amp;$B7&amp;"'!"&amp;"G:G")))+SUMIFS(עסק!$E:$E,עסק!$D:$D,$B7,עסק!F:F,"כן",עסק!G:G,"ביט" )+SUMIFS(עסק!$AA:$AA,עסק!$Z:$Z,$B7,עסק!AB:AB,"כן",עסק!AC:AC,"ביט" )+SUMIFS(עסק!$E:$E,עסק!$D:$D,$B7,עסק!F:F,"כן",עסק!G:G,"מזומן" )+SUMIFS(עסק!$AA:$AA,עסק!$Z:$Z,$B7,עסק!AB:AB,"כן",עסק!AC:AC,"מזומן" )</f>
        <v>0</v>
      </c>
      <c r="S7" s="172">
        <f t="shared" ca="1" si="12"/>
        <v>0</v>
      </c>
    </row>
    <row r="8" spans="2:20">
      <c r="B8" s="153">
        <v>5</v>
      </c>
      <c r="C8" s="79">
        <f>SUMIFS(עסק!$E:$E,עסק!$D:$D,$B9,עסק!$B:$B,"*2do*")</f>
        <v>0</v>
      </c>
      <c r="D8" s="79">
        <f>SUMIFS(עסק!$E:$E,עסק!$D:$D,$B8,עסק!$B:$B,"&lt;&gt;")-SUMIFS(עסק!$E:$E,עסק!$D:$D,$B8,עסק!$B:$B,"*ייעוץ*")-SUMIFS(עסק!$E:$E,עסק!$D:$D,$B8,עסק!$B:$B,"*2do*")</f>
        <v>1500</v>
      </c>
      <c r="E8" s="79">
        <f>SUMIFS(עסק!$E:$E,עסק!$D:$D,$B8,עסק!$B:$B,"*ייעוץ*")</f>
        <v>0</v>
      </c>
      <c r="F8" s="171">
        <f t="shared" si="2"/>
        <v>1500</v>
      </c>
      <c r="G8" s="79">
        <f t="shared" si="3"/>
        <v>255.00000000000003</v>
      </c>
      <c r="H8" s="79">
        <f t="shared" si="0"/>
        <v>-118.46153846153844</v>
      </c>
      <c r="I8" s="79">
        <f t="shared" si="4"/>
        <v>-42.861538461538451</v>
      </c>
      <c r="J8" s="79">
        <f t="shared" si="1"/>
        <v>93.676923076923146</v>
      </c>
      <c r="K8" s="170">
        <f t="shared" si="5"/>
        <v>1406.3230769230768</v>
      </c>
      <c r="L8" s="79">
        <f t="shared" ca="1" si="6"/>
        <v>0</v>
      </c>
      <c r="M8" s="79">
        <f t="shared" ca="1" si="7"/>
        <v>0</v>
      </c>
      <c r="N8" s="79">
        <f t="shared" ca="1" si="8"/>
        <v>0</v>
      </c>
      <c r="O8" s="79">
        <f t="shared" ca="1" si="9"/>
        <v>0</v>
      </c>
      <c r="P8" s="79">
        <f t="shared" ca="1" si="10"/>
        <v>0</v>
      </c>
      <c r="Q8" s="79">
        <f t="shared" ca="1" si="11"/>
        <v>0</v>
      </c>
      <c r="R8" s="79">
        <f ca="1">SUMIF((INDIRECT("'"&amp;$B8&amp;"'!"&amp;"O:O")),"משכורת",(INDIRECT("'"&amp;$B8&amp;"'!"&amp;"G:G")))+SUMIFS(עסק!$E:$E,עסק!$D:$D,$B8,עסק!F:F,"כן",עסק!G:G,"ביט" )+SUMIFS(עסק!$AA:$AA,עסק!$Z:$Z,$B8,עסק!AB:AB,"כן",עסק!AC:AC,"ביט" )+SUMIFS(עסק!$E:$E,עסק!$D:$D,$B8,עסק!F:F,"כן",עסק!G:G,"מזומן" )+SUMIFS(עסק!$AA:$AA,עסק!$Z:$Z,$B8,עסק!AB:AB,"כן",עסק!AC:AC,"מזומן" )</f>
        <v>0</v>
      </c>
      <c r="S8" s="172">
        <f t="shared" ca="1" si="12"/>
        <v>0</v>
      </c>
    </row>
    <row r="9" spans="2:20">
      <c r="B9" s="153">
        <v>6</v>
      </c>
      <c r="C9" s="79">
        <f>SUMIFS(עסק!$E:$E,עסק!$D:$D,$B10,עסק!$B:$B,"*2do*")</f>
        <v>0</v>
      </c>
      <c r="D9" s="79">
        <f>SUMIFS(עסק!$E:$E,עסק!$D:$D,$B9,עסק!$B:$B,"&lt;&gt;")-SUMIFS(עסק!$E:$E,עסק!$D:$D,$B9,עסק!$B:$B,"*ייעוץ*")-SUMIFS(עסק!$E:$E,עסק!$D:$D,$B9,עסק!$B:$B,"*2do*")</f>
        <v>0</v>
      </c>
      <c r="E9" s="79">
        <f>SUMIFS(עסק!$E:$E,עסק!$D:$D,$B9,עסק!$B:$B,"*ייעוץ*")</f>
        <v>0</v>
      </c>
      <c r="F9" s="171">
        <f t="shared" si="2"/>
        <v>0</v>
      </c>
      <c r="G9" s="79">
        <f t="shared" si="3"/>
        <v>0</v>
      </c>
      <c r="H9" s="79">
        <f t="shared" si="0"/>
        <v>-330</v>
      </c>
      <c r="I9" s="79">
        <f t="shared" si="4"/>
        <v>-119.4</v>
      </c>
      <c r="J9" s="79">
        <f t="shared" si="1"/>
        <v>-449.4</v>
      </c>
      <c r="K9" s="170">
        <f t="shared" si="5"/>
        <v>449.4</v>
      </c>
      <c r="L9" s="79">
        <f t="shared" ca="1" si="6"/>
        <v>0</v>
      </c>
      <c r="M9" s="79">
        <f t="shared" ca="1" si="7"/>
        <v>0</v>
      </c>
      <c r="N9" s="79">
        <f t="shared" ca="1" si="8"/>
        <v>0</v>
      </c>
      <c r="O9" s="79">
        <f t="shared" ca="1" si="9"/>
        <v>0</v>
      </c>
      <c r="P9" s="79">
        <f t="shared" ca="1" si="10"/>
        <v>0</v>
      </c>
      <c r="Q9" s="79">
        <f t="shared" ca="1" si="11"/>
        <v>0</v>
      </c>
      <c r="R9" s="79">
        <f ca="1">SUMIF((INDIRECT("'"&amp;$B9&amp;"'!"&amp;"O:O")),"משכורת",(INDIRECT("'"&amp;$B9&amp;"'!"&amp;"G:G")))+SUMIFS(עסק!$E:$E,עסק!$D:$D,$B9,עסק!F:F,"כן",עסק!G:G,"ביט" )+SUMIFS(עסק!$AA:$AA,עסק!$Z:$Z,$B9,עסק!AB:AB,"כן",עסק!AC:AC,"ביט" )+SUMIFS(עסק!$E:$E,עסק!$D:$D,$B9,עסק!F:F,"כן",עסק!G:G,"מזומן" )+SUMIFS(עסק!$AA:$AA,עסק!$Z:$Z,$B9,עסק!AB:AB,"כן",עסק!AC:AC,"מזומן" )</f>
        <v>0</v>
      </c>
      <c r="S9" s="172">
        <f t="shared" ca="1" si="12"/>
        <v>0</v>
      </c>
    </row>
    <row r="10" spans="2:20">
      <c r="B10" s="153">
        <v>7</v>
      </c>
      <c r="C10" s="79">
        <f>SUMIFS(עסק!$E:$E,עסק!$D:$D,$B11,עסק!$B:$B,"*2do*")</f>
        <v>0</v>
      </c>
      <c r="D10" s="79">
        <f>SUMIFS(עסק!$E:$E,עסק!$D:$D,$B10,עסק!$B:$B,"&lt;&gt;")-SUMIFS(עסק!$E:$E,עסק!$D:$D,$B10,עסק!$B:$B,"*ייעוץ*")-SUMIFS(עסק!$E:$E,עסק!$D:$D,$B10,עסק!$B:$B,"*2do*")</f>
        <v>0</v>
      </c>
      <c r="E10" s="79">
        <f>SUMIFS(עסק!$E:$E,עסק!$D:$D,$B10,עסק!$B:$B,"*ייעוץ*")</f>
        <v>0</v>
      </c>
      <c r="F10" s="171">
        <f t="shared" si="2"/>
        <v>0</v>
      </c>
      <c r="G10" s="79">
        <f t="shared" si="3"/>
        <v>0</v>
      </c>
      <c r="H10" s="79">
        <f t="shared" si="0"/>
        <v>-330</v>
      </c>
      <c r="I10" s="79">
        <f t="shared" si="4"/>
        <v>-119.4</v>
      </c>
      <c r="J10" s="79">
        <f t="shared" si="1"/>
        <v>-449.4</v>
      </c>
      <c r="K10" s="170">
        <f t="shared" si="5"/>
        <v>449.4</v>
      </c>
      <c r="L10" s="79">
        <f t="shared" ca="1" si="6"/>
        <v>0</v>
      </c>
      <c r="M10" s="79">
        <f t="shared" ca="1" si="7"/>
        <v>0</v>
      </c>
      <c r="N10" s="79">
        <f t="shared" ca="1" si="8"/>
        <v>0</v>
      </c>
      <c r="O10" s="79">
        <f t="shared" ca="1" si="9"/>
        <v>0</v>
      </c>
      <c r="P10" s="79">
        <f t="shared" ca="1" si="10"/>
        <v>0</v>
      </c>
      <c r="Q10" s="79">
        <f t="shared" ca="1" si="11"/>
        <v>0</v>
      </c>
      <c r="R10" s="79">
        <f ca="1">SUMIF((INDIRECT("'"&amp;$B10&amp;"'!"&amp;"O:O")),"משכורת",(INDIRECT("'"&amp;$B10&amp;"'!"&amp;"G:G")))+SUMIFS(עסק!$E:$E,עסק!$D:$D,$B10,עסק!F:F,"כן",עסק!G:G,"ביט" )+SUMIFS(עסק!$AA:$AA,עסק!$Z:$Z,$B10,עסק!AB:AB,"כן",עסק!AC:AC,"ביט" )+SUMIFS(עסק!$E:$E,עסק!$D:$D,$B10,עסק!F:F,"כן",עסק!G:G,"מזומן" )+SUMIFS(עסק!$AA:$AA,עסק!$Z:$Z,$B10,עסק!AB:AB,"כן",עסק!AC:AC,"מזומן" )</f>
        <v>0</v>
      </c>
      <c r="S10" s="172">
        <f t="shared" ca="1" si="12"/>
        <v>0</v>
      </c>
    </row>
    <row r="11" spans="2:20">
      <c r="B11" s="153">
        <v>8</v>
      </c>
      <c r="C11" s="79">
        <f>SUMIFS(עסק!$E:$E,עסק!$D:$D,$B12,עסק!$B:$B,"*2do*")</f>
        <v>0</v>
      </c>
      <c r="D11" s="79">
        <f>SUMIFS(עסק!$E:$E,עסק!$D:$D,$B11,עסק!$B:$B,"&lt;&gt;")-SUMIFS(עסק!$E:$E,עסק!$D:$D,$B11,עסק!$B:$B,"*ייעוץ*")-SUMIFS(עסק!$E:$E,עסק!$D:$D,$B11,עסק!$B:$B,"*2do*")</f>
        <v>0</v>
      </c>
      <c r="E11" s="79">
        <f>SUMIFS(עסק!$E:$E,עסק!$D:$D,$B11,עסק!$B:$B,"*ייעוץ*")</f>
        <v>0</v>
      </c>
      <c r="F11" s="171">
        <f t="shared" si="2"/>
        <v>0</v>
      </c>
      <c r="G11" s="79">
        <f t="shared" si="3"/>
        <v>0</v>
      </c>
      <c r="H11" s="79">
        <f t="shared" si="0"/>
        <v>-330</v>
      </c>
      <c r="I11" s="79">
        <f t="shared" si="4"/>
        <v>-119.4</v>
      </c>
      <c r="J11" s="79">
        <f t="shared" si="1"/>
        <v>-449.4</v>
      </c>
      <c r="K11" s="170">
        <f t="shared" si="5"/>
        <v>449.4</v>
      </c>
      <c r="L11" s="79">
        <f t="shared" ca="1" si="6"/>
        <v>0</v>
      </c>
      <c r="M11" s="79">
        <f t="shared" ca="1" si="7"/>
        <v>0</v>
      </c>
      <c r="N11" s="79">
        <f t="shared" ca="1" si="8"/>
        <v>0</v>
      </c>
      <c r="O11" s="79">
        <f t="shared" ca="1" si="9"/>
        <v>0</v>
      </c>
      <c r="P11" s="79">
        <f t="shared" ca="1" si="10"/>
        <v>0</v>
      </c>
      <c r="Q11" s="79">
        <f t="shared" ca="1" si="11"/>
        <v>0</v>
      </c>
      <c r="R11" s="79">
        <f ca="1">SUMIF((INDIRECT("'"&amp;$B11&amp;"'!"&amp;"O:O")),"משכורת",(INDIRECT("'"&amp;$B11&amp;"'!"&amp;"G:G")))+SUMIFS(עסק!$E:$E,עסק!$D:$D,$B11,עסק!F:F,"כן",עסק!G:G,"ביט" )+SUMIFS(עסק!$AA:$AA,עסק!$Z:$Z,$B11,עסק!AB:AB,"כן",עסק!AC:AC,"ביט" )+SUMIFS(עסק!$E:$E,עסק!$D:$D,$B11,עסק!F:F,"כן",עסק!G:G,"מזומן" )+SUMIFS(עסק!$AA:$AA,עסק!$Z:$Z,$B11,עסק!AB:AB,"כן",עסק!AC:AC,"מזומן" )</f>
        <v>0</v>
      </c>
      <c r="S11" s="172">
        <f t="shared" ca="1" si="12"/>
        <v>0</v>
      </c>
    </row>
    <row r="12" spans="2:20">
      <c r="B12" s="153">
        <v>9</v>
      </c>
      <c r="C12" s="79">
        <f>SUMIFS(עסק!$E:$E,עסק!$D:$D,$B13,עסק!$B:$B,"*2do*")</f>
        <v>0</v>
      </c>
      <c r="D12" s="79">
        <f>SUMIFS(עסק!$E:$E,עסק!$D:$D,$B12,עסק!$B:$B,"&lt;&gt;")-SUMIFS(עסק!$E:$E,עסק!$D:$D,$B12,עסק!$B:$B,"*ייעוץ*")-SUMIFS(עסק!$E:$E,עסק!$D:$D,$B12,עסק!$B:$B,"*2do*")</f>
        <v>0</v>
      </c>
      <c r="E12" s="79">
        <f>SUMIFS(עסק!$E:$E,עסק!$D:$D,$B12,עסק!$B:$B,"*ייעוץ*")</f>
        <v>0</v>
      </c>
      <c r="F12" s="171">
        <f t="shared" si="2"/>
        <v>0</v>
      </c>
      <c r="G12" s="79">
        <f t="shared" si="3"/>
        <v>0</v>
      </c>
      <c r="H12" s="79">
        <f t="shared" si="0"/>
        <v>-330</v>
      </c>
      <c r="I12" s="79">
        <f t="shared" si="4"/>
        <v>-119.4</v>
      </c>
      <c r="J12" s="79">
        <f t="shared" si="1"/>
        <v>-449.4</v>
      </c>
      <c r="K12" s="170">
        <f t="shared" si="5"/>
        <v>449.4</v>
      </c>
      <c r="L12" s="79">
        <f t="shared" ca="1" si="6"/>
        <v>0</v>
      </c>
      <c r="M12" s="79">
        <f t="shared" ca="1" si="7"/>
        <v>0</v>
      </c>
      <c r="N12" s="79">
        <f t="shared" ca="1" si="8"/>
        <v>0</v>
      </c>
      <c r="O12" s="79">
        <f t="shared" ca="1" si="9"/>
        <v>0</v>
      </c>
      <c r="P12" s="79">
        <f t="shared" ca="1" si="10"/>
        <v>0</v>
      </c>
      <c r="Q12" s="79">
        <f t="shared" ca="1" si="11"/>
        <v>0</v>
      </c>
      <c r="R12" s="79">
        <f ca="1">SUMIF((INDIRECT("'"&amp;$B12&amp;"'!"&amp;"O:O")),"משכורת",(INDIRECT("'"&amp;$B12&amp;"'!"&amp;"G:G")))+SUMIFS(עסק!$E:$E,עסק!$D:$D,$B12,עסק!F:F,"כן",עסק!G:G,"ביט" )+SUMIFS(עסק!$AA:$AA,עסק!$Z:$Z,$B12,עסק!AB:AB,"כן",עסק!AC:AC,"ביט" )+SUMIFS(עסק!$E:$E,עסק!$D:$D,$B12,עסק!F:F,"כן",עסק!G:G,"מזומן" )+SUMIFS(עסק!$AA:$AA,עסק!$Z:$Z,$B12,עסק!AB:AB,"כן",עסק!AC:AC,"מזומן" )</f>
        <v>0</v>
      </c>
      <c r="S12" s="172">
        <f t="shared" ca="1" si="12"/>
        <v>0</v>
      </c>
    </row>
    <row r="13" spans="2:20">
      <c r="B13" s="153">
        <v>10</v>
      </c>
      <c r="C13" s="79">
        <f>SUMIFS(עסק!$E:$E,עסק!$D:$D,$B14,עסק!$B:$B,"*2do*")</f>
        <v>0</v>
      </c>
      <c r="D13" s="79">
        <f>SUMIFS(עסק!$E:$E,עסק!$D:$D,$B13,עסק!$B:$B,"&lt;&gt;")-SUMIFS(עסק!$E:$E,עסק!$D:$D,$B13,עסק!$B:$B,"*ייעוץ*")-SUMIFS(עסק!$E:$E,עסק!$D:$D,$B13,עסק!$B:$B,"*2do*")</f>
        <v>0</v>
      </c>
      <c r="E13" s="79">
        <f>SUMIFS(עסק!$E:$E,עסק!$D:$D,$B13,עסק!$B:$B,"*ייעוץ*")</f>
        <v>0</v>
      </c>
      <c r="F13" s="171">
        <f t="shared" si="2"/>
        <v>0</v>
      </c>
      <c r="G13" s="79">
        <f t="shared" si="3"/>
        <v>0</v>
      </c>
      <c r="H13" s="79">
        <f t="shared" si="0"/>
        <v>-330</v>
      </c>
      <c r="I13" s="79">
        <f t="shared" si="4"/>
        <v>-119.4</v>
      </c>
      <c r="J13" s="79">
        <f t="shared" si="1"/>
        <v>-449.4</v>
      </c>
      <c r="K13" s="170">
        <f t="shared" si="5"/>
        <v>449.4</v>
      </c>
      <c r="L13" s="79">
        <f t="shared" ca="1" si="6"/>
        <v>0</v>
      </c>
      <c r="M13" s="79">
        <f t="shared" ca="1" si="7"/>
        <v>0</v>
      </c>
      <c r="N13" s="79">
        <f t="shared" ca="1" si="8"/>
        <v>0</v>
      </c>
      <c r="O13" s="79">
        <f t="shared" ca="1" si="9"/>
        <v>0</v>
      </c>
      <c r="P13" s="79">
        <f t="shared" ca="1" si="10"/>
        <v>0</v>
      </c>
      <c r="Q13" s="79">
        <f t="shared" ca="1" si="11"/>
        <v>0</v>
      </c>
      <c r="R13" s="79">
        <f ca="1">SUMIF((INDIRECT("'"&amp;$B13&amp;"'!"&amp;"O:O")),"משכורת",(INDIRECT("'"&amp;$B13&amp;"'!"&amp;"G:G")))+SUMIFS(עסק!$E:$E,עסק!$D:$D,$B13,עסק!F:F,"כן",עסק!G:G,"ביט" )+SUMIFS(עסק!$AA:$AA,עסק!$Z:$Z,$B13,עסק!AB:AB,"כן",עסק!AC:AC,"ביט" )+SUMIFS(עסק!$E:$E,עסק!$D:$D,$B13,עסק!F:F,"כן",עסק!G:G,"מזומן" )+SUMIFS(עסק!$AA:$AA,עסק!$Z:$Z,$B13,עסק!AB:AB,"כן",עסק!AC:AC,"מזומן" )</f>
        <v>0</v>
      </c>
      <c r="S13" s="172">
        <f t="shared" ca="1" si="12"/>
        <v>0</v>
      </c>
    </row>
    <row r="14" spans="2:20">
      <c r="B14" s="153">
        <v>11</v>
      </c>
      <c r="C14" s="79">
        <f>SUMIFS(עסק!$E:$E,עסק!$D:$D,$B15,עסק!$B:$B,"*2do*")</f>
        <v>0</v>
      </c>
      <c r="D14" s="79">
        <f>SUMIFS(עסק!$E:$E,עסק!$D:$D,$B14,עסק!$B:$B,"&lt;&gt;")-SUMIFS(עסק!$E:$E,עסק!$D:$D,$B14,עסק!$B:$B,"*ייעוץ*")-SUMIFS(עסק!$E:$E,עסק!$D:$D,$B14,עסק!$B:$B,"*2do*")</f>
        <v>0</v>
      </c>
      <c r="E14" s="79">
        <f>SUMIFS(עסק!$E:$E,עסק!$D:$D,$B14,עסק!$B:$B,"*ייעוץ*")</f>
        <v>0</v>
      </c>
      <c r="F14" s="171">
        <f t="shared" si="2"/>
        <v>0</v>
      </c>
      <c r="G14" s="79">
        <f t="shared" si="3"/>
        <v>0</v>
      </c>
      <c r="H14" s="79">
        <f t="shared" si="0"/>
        <v>-330</v>
      </c>
      <c r="I14" s="79">
        <f t="shared" si="4"/>
        <v>-119.4</v>
      </c>
      <c r="J14" s="79">
        <f t="shared" si="1"/>
        <v>-449.4</v>
      </c>
      <c r="K14" s="170">
        <f t="shared" si="5"/>
        <v>449.4</v>
      </c>
      <c r="L14" s="79">
        <f t="shared" ca="1" si="6"/>
        <v>0</v>
      </c>
      <c r="M14" s="79">
        <f t="shared" ca="1" si="7"/>
        <v>0</v>
      </c>
      <c r="N14" s="79">
        <f t="shared" ca="1" si="8"/>
        <v>0</v>
      </c>
      <c r="O14" s="79">
        <f t="shared" ca="1" si="9"/>
        <v>0</v>
      </c>
      <c r="P14" s="79">
        <f t="shared" ca="1" si="10"/>
        <v>0</v>
      </c>
      <c r="Q14" s="79">
        <f t="shared" ca="1" si="11"/>
        <v>0</v>
      </c>
      <c r="R14" s="79">
        <f ca="1">SUMIF((INDIRECT("'"&amp;$B14&amp;"'!"&amp;"O:O")),"משכורת",(INDIRECT("'"&amp;$B14&amp;"'!"&amp;"G:G")))+SUMIFS(עסק!$E:$E,עסק!$D:$D,$B14,עסק!F:F,"כן",עסק!G:G,"ביט" )+SUMIFS(עסק!$AA:$AA,עסק!$Z:$Z,$B14,עסק!AB:AB,"כן",עסק!AC:AC,"ביט" )+SUMIFS(עסק!$E:$E,עסק!$D:$D,$B14,עסק!F:F,"כן",עסק!G:G,"מזומן" )+SUMIFS(עסק!$AA:$AA,עסק!$Z:$Z,$B14,עסק!AB:AB,"כן",עסק!AC:AC,"מזומן" )</f>
        <v>0</v>
      </c>
      <c r="S14" s="172">
        <f t="shared" ca="1" si="12"/>
        <v>0</v>
      </c>
    </row>
    <row r="15" spans="2:20" ht="13.5" thickBot="1">
      <c r="B15" s="153">
        <v>12</v>
      </c>
      <c r="C15" s="79">
        <f>SUMIFS(עסק!$E:$E,עסק!$D:$D,$B16,עסק!$B:$B,"*2do*")</f>
        <v>0</v>
      </c>
      <c r="D15" s="79">
        <f>SUMIFS(עסק!$E:$E,עסק!$D:$D,$B15,עסק!$B:$B,"&lt;&gt;")-SUMIFS(עסק!$E:$E,עסק!$D:$D,$B15,עסק!$B:$B,"*ייעוץ*")-SUMIFS(עסק!$E:$E,עסק!$D:$D,$B15,עסק!$B:$B,"*2do*")</f>
        <v>0</v>
      </c>
      <c r="E15" s="79">
        <f>SUMIFS(עסק!$E:$E,עסק!$D:$D,$B15,עסק!$B:$B,"*ייעוץ*")</f>
        <v>0</v>
      </c>
      <c r="F15" s="171">
        <f t="shared" si="2"/>
        <v>0</v>
      </c>
      <c r="G15" s="79">
        <f t="shared" si="3"/>
        <v>0</v>
      </c>
      <c r="H15" s="79">
        <f t="shared" si="0"/>
        <v>-330</v>
      </c>
      <c r="I15" s="79">
        <f t="shared" si="4"/>
        <v>-119.4</v>
      </c>
      <c r="J15" s="79">
        <f t="shared" si="1"/>
        <v>-449.4</v>
      </c>
      <c r="K15" s="170">
        <f t="shared" si="5"/>
        <v>449.4</v>
      </c>
      <c r="L15" s="79">
        <f t="shared" ca="1" si="6"/>
        <v>0</v>
      </c>
      <c r="M15" s="79">
        <f t="shared" ca="1" si="7"/>
        <v>0</v>
      </c>
      <c r="N15" s="79">
        <f t="shared" ca="1" si="8"/>
        <v>0</v>
      </c>
      <c r="O15" s="79">
        <f t="shared" ca="1" si="9"/>
        <v>0</v>
      </c>
      <c r="P15" s="79">
        <f t="shared" ca="1" si="10"/>
        <v>0</v>
      </c>
      <c r="Q15" s="79">
        <f t="shared" ca="1" si="11"/>
        <v>0</v>
      </c>
      <c r="R15" s="79">
        <f ca="1">SUMIF((INDIRECT("'"&amp;$B15&amp;"'!"&amp;"O:O")),"משכורת",(INDIRECT("'"&amp;$B15&amp;"'!"&amp;"G:G")))+SUMIFS(עסק!$E:$E,עסק!$D:$D,$B15,עסק!F:F,"כן",עסק!G:G,"ביט" )+SUMIFS(עסק!$AA:$AA,עסק!$Z:$Z,$B15,עסק!AB:AB,"כן",עסק!AC:AC,"ביט" )+SUMIFS(עסק!$E:$E,עסק!$D:$D,$B15,עסק!F:F,"כן",עסק!G:G,"מזומן" )+SUMIFS(עסק!$AA:$AA,עסק!$Z:$Z,$B15,עסק!AB:AB,"כן",עסק!AC:AC,"מזומן" )</f>
        <v>0</v>
      </c>
      <c r="S15" s="172">
        <f t="shared" ca="1" si="12"/>
        <v>0</v>
      </c>
    </row>
    <row r="16" spans="2:20" ht="13.5" thickBot="1">
      <c r="B16" s="159"/>
      <c r="C16" s="160">
        <f>SUM(C4:C15)</f>
        <v>86818</v>
      </c>
      <c r="D16" s="160">
        <f t="shared" ref="D16:S16" si="13">SUM(D4:D15)</f>
        <v>5120</v>
      </c>
      <c r="E16" s="160">
        <f t="shared" si="13"/>
        <v>0</v>
      </c>
      <c r="F16" s="160">
        <f t="shared" si="13"/>
        <v>91938</v>
      </c>
      <c r="G16" s="160">
        <f t="shared" si="13"/>
        <v>15629.460000000003</v>
      </c>
      <c r="H16" s="160">
        <f t="shared" si="13"/>
        <v>9005.6153846153866</v>
      </c>
      <c r="I16" s="160">
        <f t="shared" si="13"/>
        <v>10378.800817094019</v>
      </c>
      <c r="J16" s="173">
        <f t="shared" si="13"/>
        <v>35013.87620170939</v>
      </c>
      <c r="K16" s="160">
        <f t="shared" si="13"/>
        <v>56924.12379829061</v>
      </c>
      <c r="L16" s="160">
        <f t="shared" ca="1" si="13"/>
        <v>0</v>
      </c>
      <c r="M16" s="160">
        <f t="shared" ca="1" si="13"/>
        <v>0</v>
      </c>
      <c r="N16" s="160">
        <f t="shared" ca="1" si="13"/>
        <v>0</v>
      </c>
      <c r="O16" s="160">
        <f t="shared" ca="1" si="13"/>
        <v>0</v>
      </c>
      <c r="P16" s="160">
        <f t="shared" ca="1" si="13"/>
        <v>0</v>
      </c>
      <c r="Q16" s="160"/>
      <c r="R16" s="160"/>
      <c r="S16" s="161">
        <f t="shared" ca="1" si="13"/>
        <v>3620</v>
      </c>
    </row>
    <row r="17" spans="2:21" ht="13.5" thickBot="1"/>
    <row r="18" spans="2:21" ht="13.5" thickBot="1">
      <c r="B18" s="163" t="s">
        <v>190</v>
      </c>
      <c r="C18" s="164" t="s">
        <v>350</v>
      </c>
      <c r="D18" s="164" t="s">
        <v>349</v>
      </c>
      <c r="E18" s="164" t="s">
        <v>49</v>
      </c>
      <c r="F18" s="164" t="s">
        <v>347</v>
      </c>
      <c r="G18" s="164" t="s">
        <v>335</v>
      </c>
      <c r="H18" s="165" t="s">
        <v>348</v>
      </c>
      <c r="K18" s="59"/>
      <c r="L18" s="59"/>
      <c r="M18" s="476" t="s">
        <v>241</v>
      </c>
      <c r="N18" s="477"/>
      <c r="O18" s="477"/>
      <c r="P18" s="477"/>
      <c r="Q18" s="477"/>
      <c r="R18" s="477"/>
      <c r="S18" s="477"/>
      <c r="T18" s="477"/>
      <c r="U18" s="175"/>
    </row>
    <row r="19" spans="2:21" ht="13.5" thickBot="1">
      <c r="B19" s="153">
        <v>1</v>
      </c>
      <c r="C19">
        <f>F4</f>
        <v>42237</v>
      </c>
      <c r="D19">
        <f>SUMIFS(עסק!$AA:$AA,עסק!$Z:$Z,$B19,עסק!$AB:$AB,"כן")</f>
        <v>0</v>
      </c>
      <c r="E19">
        <f t="shared" ref="E19:E30" ca="1" si="14">SUM(L4:Q4)</f>
        <v>0</v>
      </c>
      <c r="F19">
        <f ca="1">C19+D19-E19</f>
        <v>42237</v>
      </c>
      <c r="G19">
        <f t="shared" ref="G19:G30" ca="1" si="15">R4</f>
        <v>2920</v>
      </c>
      <c r="H19" s="166">
        <f ca="1">F19-G19</f>
        <v>39317</v>
      </c>
      <c r="K19" s="155" t="s">
        <v>190</v>
      </c>
      <c r="L19" s="155" t="s">
        <v>25</v>
      </c>
      <c r="M19" s="156" t="s">
        <v>326</v>
      </c>
      <c r="N19" s="157" t="s">
        <v>328</v>
      </c>
      <c r="O19" s="157" t="s">
        <v>329</v>
      </c>
      <c r="P19" s="157" t="s">
        <v>236</v>
      </c>
      <c r="Q19" s="157" t="s">
        <v>327</v>
      </c>
      <c r="R19" s="157" t="s">
        <v>8</v>
      </c>
      <c r="S19" s="157" t="s">
        <v>335</v>
      </c>
      <c r="T19" s="157" t="s">
        <v>357</v>
      </c>
      <c r="U19" s="178" t="s">
        <v>358</v>
      </c>
    </row>
    <row r="20" spans="2:21">
      <c r="B20" s="153">
        <v>2</v>
      </c>
      <c r="C20">
        <f t="shared" ref="C20:C30" si="16">F5</f>
        <v>47501</v>
      </c>
      <c r="D20">
        <f>SUMIFS(עסק!$AA:$AA,עסק!$Z:$Z,$B20,עסק!$AB:$AB,"כן")</f>
        <v>794</v>
      </c>
      <c r="E20">
        <f t="shared" ca="1" si="14"/>
        <v>0</v>
      </c>
      <c r="F20">
        <f t="shared" ref="F20:F30" ca="1" si="17">C20+D20-E20</f>
        <v>48295</v>
      </c>
      <c r="G20">
        <f t="shared" ca="1" si="15"/>
        <v>0</v>
      </c>
      <c r="H20" s="166">
        <f t="shared" ref="H20:H30" ca="1" si="18">F20-G20</f>
        <v>48295</v>
      </c>
      <c r="K20" s="153">
        <v>1120</v>
      </c>
      <c r="L20" s="174">
        <v>27194</v>
      </c>
      <c r="M20" s="79">
        <f t="shared" ref="M20:M33" ca="1" si="19">SUMIF((INDIRECT("'"&amp;$K22&amp;"'!"&amp;"O:O")),$G$3,(INDIRECT("'"&amp;$K22&amp;"'!"&amp;"G:G")))</f>
        <v>0</v>
      </c>
      <c r="N20" s="79" t="e">
        <f ca="1">SUMIF((INDIRECT("'"&amp;$K20&amp;"'!"&amp;"O:O")),$H$3,(INDIRECT("'"&amp;$K20&amp;"'!"&amp;"G:G")))</f>
        <v>#REF!</v>
      </c>
      <c r="O20" s="79" t="e">
        <f t="shared" ref="O20:O33" ca="1" si="20">SUMIF((INDIRECT("'"&amp;$K21&amp;"'!"&amp;"O:O")),$I$3,(INDIRECT("'"&amp;$K21&amp;"'!"&amp;"G:G")))</f>
        <v>#REF!</v>
      </c>
      <c r="P20" s="79" t="e">
        <f t="shared" ref="P20:P33" ca="1" si="21">SUMIF((INDIRECT("'"&amp;$K20&amp;"'!"&amp;"O:O")),$O$3,(INDIRECT("'"&amp;$K20&amp;"'!"&amp;"G:G")))</f>
        <v>#REF!</v>
      </c>
      <c r="Q20" s="79">
        <f ca="1">SUMIF((INDIRECT("'"&amp;$K22&amp;"'!"&amp;"O:O")),$Q$19,(INDIRECT("'"&amp;$K22&amp;"'!"&amp;"G:G")))</f>
        <v>0</v>
      </c>
      <c r="R20" s="79" t="e">
        <f ca="1">SUMIF((INDIRECT("'"&amp;$K20&amp;"'!"&amp;"O:O")),"&lt;&gt;",(INDIRECT("'"&amp;$K20&amp;"'!"&amp;"G:G")))-SUMIF((INDIRECT("'"&amp;$K20&amp;"'!"&amp;"O:O")),"משכורת",(INDIRECT("'"&amp;$K20&amp;"'!"&amp;"G:G")))-Q20-P20-N20</f>
        <v>#REF!</v>
      </c>
      <c r="S20" s="79">
        <v>7800</v>
      </c>
      <c r="T20" s="79" t="e">
        <f ca="1">SUM(M20:S20)</f>
        <v>#REF!</v>
      </c>
      <c r="U20" s="179" t="e">
        <f ca="1">L20-T20</f>
        <v>#REF!</v>
      </c>
    </row>
    <row r="21" spans="2:21">
      <c r="B21" s="153">
        <v>3</v>
      </c>
      <c r="C21">
        <f t="shared" si="16"/>
        <v>700</v>
      </c>
      <c r="D21">
        <f>SUMIFS(עסק!$AA:$AA,עסק!$Z:$Z,$B21,עסק!$AB:$AB,"כן")</f>
        <v>460</v>
      </c>
      <c r="E21">
        <f t="shared" ca="1" si="14"/>
        <v>0</v>
      </c>
      <c r="F21">
        <f t="shared" ca="1" si="17"/>
        <v>1160</v>
      </c>
      <c r="G21">
        <f t="shared" ca="1" si="15"/>
        <v>700</v>
      </c>
      <c r="H21" s="166">
        <f t="shared" ca="1" si="18"/>
        <v>460</v>
      </c>
      <c r="K21" s="153">
        <v>1220</v>
      </c>
      <c r="L21" s="174">
        <f>22324+1600</f>
        <v>23924</v>
      </c>
      <c r="M21" s="79">
        <f t="shared" ca="1" si="19"/>
        <v>0</v>
      </c>
      <c r="N21" s="79" t="e">
        <f ca="1">SUMIF((INDIRECT("'"&amp;$K21&amp;"'!"&amp;"O:O")),$H$3,(INDIRECT("'"&amp;$K21&amp;"'!"&amp;"G:G")))</f>
        <v>#REF!</v>
      </c>
      <c r="O21" s="79">
        <f t="shared" ca="1" si="20"/>
        <v>0</v>
      </c>
      <c r="P21" s="79" t="e">
        <f t="shared" ca="1" si="21"/>
        <v>#REF!</v>
      </c>
      <c r="Q21" s="79">
        <f t="shared" ref="Q21:Q33" ca="1" si="22">SUMIF((INDIRECT("'"&amp;$K23&amp;"'!"&amp;"O:O")),$Q$19,(INDIRECT("'"&amp;$K23&amp;"'!"&amp;"G:G")))</f>
        <v>0</v>
      </c>
      <c r="R21" s="79" t="e">
        <f ca="1">SUMIF((INDIRECT("'"&amp;$K21&amp;"'!"&amp;"O:O")),"&lt;&gt;",(INDIRECT("'"&amp;$K21&amp;"'!"&amp;"G:G")))-SUMIF((INDIRECT("'"&amp;$K21&amp;"'!"&amp;"O:O")),"משכורת",(INDIRECT("'"&amp;$K21&amp;"'!"&amp;"G:G")))-Q21-P21-O20-N21</f>
        <v>#REF!</v>
      </c>
      <c r="S21" s="79">
        <f ca="1">SUMIF((INDIRECT("'"&amp;$K22&amp;"'!"&amp;"O:O")),"משכורת",(INDIRECT("'"&amp;$K22&amp;"'!"&amp;"G:G")))</f>
        <v>0</v>
      </c>
      <c r="T21" s="79" t="e">
        <f t="shared" ref="T21:T33" ca="1" si="23">SUM(M21:S21)</f>
        <v>#REF!</v>
      </c>
      <c r="U21" s="179" t="e">
        <f t="shared" ref="U21:U33" ca="1" si="24">L21-T21</f>
        <v>#REF!</v>
      </c>
    </row>
    <row r="22" spans="2:21">
      <c r="B22" s="153">
        <v>4</v>
      </c>
      <c r="C22">
        <f t="shared" si="16"/>
        <v>0</v>
      </c>
      <c r="D22">
        <f>SUMIFS(עסק!$AA:$AA,עסק!$Z:$Z,$B22,עסק!$AB:$AB,"כן")</f>
        <v>0</v>
      </c>
      <c r="E22">
        <f t="shared" ca="1" si="14"/>
        <v>0</v>
      </c>
      <c r="F22">
        <f t="shared" ca="1" si="17"/>
        <v>0</v>
      </c>
      <c r="G22">
        <f t="shared" ca="1" si="15"/>
        <v>0</v>
      </c>
      <c r="H22" s="166">
        <f t="shared" ca="1" si="18"/>
        <v>0</v>
      </c>
      <c r="K22" s="153">
        <v>1</v>
      </c>
      <c r="L22" s="174">
        <f>F4</f>
        <v>42237</v>
      </c>
      <c r="M22" s="79">
        <f t="shared" ca="1" si="19"/>
        <v>0</v>
      </c>
      <c r="N22" s="79">
        <f t="shared" ref="N22:N33" ca="1" si="25">SUMIF((INDIRECT("'"&amp;$K22&amp;"'!"&amp;"O:O")),$H$3,(INDIRECT("'"&amp;$K22&amp;"'!"&amp;"G:G")))</f>
        <v>0</v>
      </c>
      <c r="O22" s="79">
        <f t="shared" ca="1" si="20"/>
        <v>0</v>
      </c>
      <c r="P22" s="79">
        <f t="shared" ca="1" si="21"/>
        <v>0</v>
      </c>
      <c r="Q22" s="79">
        <f t="shared" ca="1" si="22"/>
        <v>0</v>
      </c>
      <c r="R22" s="79">
        <f ca="1">SUMIF((INDIRECT("'"&amp;$K22&amp;"'!"&amp;"O:O")),"&lt;&gt;",(INDIRECT("'"&amp;$K22&amp;"'!"&amp;"G:G")))-SUMIF((INDIRECT("'"&amp;$K22&amp;"'!"&amp;"O:O")),"משכורת",(INDIRECT("'"&amp;$K22&amp;"'!"&amp;"G:G")))-Q22-P22-O21-N22-M20</f>
        <v>0</v>
      </c>
      <c r="S22" s="79">
        <f t="shared" ref="S22:S33" ca="1" si="26">SUMIF((INDIRECT("'"&amp;$K23&amp;"'!"&amp;"O:O")),"משכורת",(INDIRECT("'"&amp;$K23&amp;"'!"&amp;"G:G")))</f>
        <v>0</v>
      </c>
      <c r="T22" s="79">
        <f t="shared" ca="1" si="23"/>
        <v>0</v>
      </c>
      <c r="U22" s="179">
        <f t="shared" ca="1" si="24"/>
        <v>42237</v>
      </c>
    </row>
    <row r="23" spans="2:21">
      <c r="B23" s="153">
        <v>5</v>
      </c>
      <c r="C23">
        <f t="shared" si="16"/>
        <v>1500</v>
      </c>
      <c r="D23">
        <f>SUMIFS(עסק!$AA:$AA,עסק!$Z:$Z,$B23,עסק!$AB:$AB,"כן")</f>
        <v>0</v>
      </c>
      <c r="E23">
        <f t="shared" ca="1" si="14"/>
        <v>0</v>
      </c>
      <c r="F23">
        <f t="shared" ca="1" si="17"/>
        <v>1500</v>
      </c>
      <c r="G23">
        <f t="shared" ca="1" si="15"/>
        <v>0</v>
      </c>
      <c r="H23" s="166">
        <f t="shared" ca="1" si="18"/>
        <v>1500</v>
      </c>
      <c r="K23" s="153">
        <v>2</v>
      </c>
      <c r="L23" s="174">
        <f t="shared" ref="L23:L33" si="27">F5</f>
        <v>47501</v>
      </c>
      <c r="M23" s="79">
        <f t="shared" ca="1" si="19"/>
        <v>0</v>
      </c>
      <c r="N23" s="79">
        <f t="shared" ca="1" si="25"/>
        <v>0</v>
      </c>
      <c r="O23" s="79">
        <f t="shared" ca="1" si="20"/>
        <v>0</v>
      </c>
      <c r="P23" s="79">
        <f t="shared" ca="1" si="21"/>
        <v>0</v>
      </c>
      <c r="Q23" s="79">
        <f t="shared" ca="1" si="22"/>
        <v>0</v>
      </c>
      <c r="R23" s="79">
        <f t="shared" ref="R23:R33" ca="1" si="28">SUMIF((INDIRECT("'"&amp;$K23&amp;"'!"&amp;"O:O")),"&lt;&gt;",(INDIRECT("'"&amp;$K23&amp;"'!"&amp;"G:G")))-SUMIF((INDIRECT("'"&amp;$K23&amp;"'!"&amp;"O:O")),"משכורת",(INDIRECT("'"&amp;$K23&amp;"'!"&amp;"G:G")))-Q23-P23-O22-N23-M21</f>
        <v>0</v>
      </c>
      <c r="S23" s="79">
        <f t="shared" ca="1" si="26"/>
        <v>0</v>
      </c>
      <c r="T23" s="79">
        <f t="shared" ca="1" si="23"/>
        <v>0</v>
      </c>
      <c r="U23" s="179">
        <f t="shared" ca="1" si="24"/>
        <v>47501</v>
      </c>
    </row>
    <row r="24" spans="2:21">
      <c r="B24" s="153">
        <v>6</v>
      </c>
      <c r="C24">
        <f t="shared" si="16"/>
        <v>0</v>
      </c>
      <c r="D24">
        <f>SUMIFS(עסק!$AA:$AA,עסק!$Z:$Z,$B24,עסק!$AB:$AB,"כן")</f>
        <v>0</v>
      </c>
      <c r="E24">
        <f t="shared" ca="1" si="14"/>
        <v>0</v>
      </c>
      <c r="F24">
        <f t="shared" ca="1" si="17"/>
        <v>0</v>
      </c>
      <c r="G24">
        <f t="shared" ca="1" si="15"/>
        <v>0</v>
      </c>
      <c r="H24" s="166">
        <f t="shared" ca="1" si="18"/>
        <v>0</v>
      </c>
      <c r="K24" s="153">
        <v>3</v>
      </c>
      <c r="L24" s="174">
        <f t="shared" si="27"/>
        <v>700</v>
      </c>
      <c r="M24" s="79">
        <f t="shared" ca="1" si="19"/>
        <v>0</v>
      </c>
      <c r="N24" s="79">
        <f t="shared" ca="1" si="25"/>
        <v>0</v>
      </c>
      <c r="O24" s="79">
        <f t="shared" ca="1" si="20"/>
        <v>0</v>
      </c>
      <c r="P24" s="79">
        <f t="shared" ca="1" si="21"/>
        <v>0</v>
      </c>
      <c r="Q24" s="79">
        <f t="shared" ca="1" si="22"/>
        <v>0</v>
      </c>
      <c r="R24" s="79">
        <f t="shared" ca="1" si="28"/>
        <v>0</v>
      </c>
      <c r="S24" s="79">
        <f t="shared" ca="1" si="26"/>
        <v>0</v>
      </c>
      <c r="T24" s="79">
        <f t="shared" ca="1" si="23"/>
        <v>0</v>
      </c>
      <c r="U24" s="179">
        <f t="shared" ca="1" si="24"/>
        <v>700</v>
      </c>
    </row>
    <row r="25" spans="2:21">
      <c r="B25" s="153">
        <v>7</v>
      </c>
      <c r="C25">
        <f t="shared" si="16"/>
        <v>0</v>
      </c>
      <c r="D25">
        <f>SUMIFS(עסק!$AA:$AA,עסק!$Z:$Z,$B25,עסק!$AB:$AB,"כן")</f>
        <v>0</v>
      </c>
      <c r="E25">
        <f t="shared" ca="1" si="14"/>
        <v>0</v>
      </c>
      <c r="F25">
        <f t="shared" ca="1" si="17"/>
        <v>0</v>
      </c>
      <c r="G25">
        <f t="shared" ca="1" si="15"/>
        <v>0</v>
      </c>
      <c r="H25" s="166">
        <f t="shared" ca="1" si="18"/>
        <v>0</v>
      </c>
      <c r="K25" s="153">
        <v>4</v>
      </c>
      <c r="L25" s="174">
        <f t="shared" si="27"/>
        <v>0</v>
      </c>
      <c r="M25" s="79">
        <f t="shared" ca="1" si="19"/>
        <v>0</v>
      </c>
      <c r="N25" s="79">
        <f t="shared" ca="1" si="25"/>
        <v>0</v>
      </c>
      <c r="O25" s="79">
        <f t="shared" ca="1" si="20"/>
        <v>0</v>
      </c>
      <c r="P25" s="79">
        <f t="shared" ca="1" si="21"/>
        <v>0</v>
      </c>
      <c r="Q25" s="79">
        <f t="shared" ca="1" si="22"/>
        <v>0</v>
      </c>
      <c r="R25" s="79">
        <f t="shared" ca="1" si="28"/>
        <v>0</v>
      </c>
      <c r="S25" s="79">
        <f t="shared" ca="1" si="26"/>
        <v>0</v>
      </c>
      <c r="T25" s="79">
        <f t="shared" ca="1" si="23"/>
        <v>0</v>
      </c>
      <c r="U25" s="179">
        <f t="shared" ca="1" si="24"/>
        <v>0</v>
      </c>
    </row>
    <row r="26" spans="2:21">
      <c r="B26" s="153">
        <v>8</v>
      </c>
      <c r="C26">
        <f t="shared" si="16"/>
        <v>0</v>
      </c>
      <c r="D26">
        <f>SUMIFS(עסק!$AA:$AA,עסק!$Z:$Z,$B26,עסק!$AB:$AB,"כן")</f>
        <v>0</v>
      </c>
      <c r="E26">
        <f t="shared" ca="1" si="14"/>
        <v>0</v>
      </c>
      <c r="F26">
        <f t="shared" ca="1" si="17"/>
        <v>0</v>
      </c>
      <c r="G26">
        <f t="shared" ca="1" si="15"/>
        <v>0</v>
      </c>
      <c r="H26" s="166">
        <f t="shared" ca="1" si="18"/>
        <v>0</v>
      </c>
      <c r="K26" s="153">
        <v>5</v>
      </c>
      <c r="L26" s="174">
        <f t="shared" si="27"/>
        <v>1500</v>
      </c>
      <c r="M26" s="79">
        <f t="shared" ca="1" si="19"/>
        <v>0</v>
      </c>
      <c r="N26" s="79">
        <f t="shared" ca="1" si="25"/>
        <v>0</v>
      </c>
      <c r="O26" s="79">
        <f t="shared" ca="1" si="20"/>
        <v>0</v>
      </c>
      <c r="P26" s="79">
        <f t="shared" ca="1" si="21"/>
        <v>0</v>
      </c>
      <c r="Q26" s="79">
        <f t="shared" ca="1" si="22"/>
        <v>0</v>
      </c>
      <c r="R26" s="79">
        <f t="shared" ca="1" si="28"/>
        <v>0</v>
      </c>
      <c r="S26" s="79">
        <f t="shared" ca="1" si="26"/>
        <v>0</v>
      </c>
      <c r="T26" s="177">
        <f t="shared" ca="1" si="23"/>
        <v>0</v>
      </c>
      <c r="U26" s="179">
        <f t="shared" ca="1" si="24"/>
        <v>1500</v>
      </c>
    </row>
    <row r="27" spans="2:21">
      <c r="B27" s="153">
        <v>9</v>
      </c>
      <c r="C27">
        <f t="shared" si="16"/>
        <v>0</v>
      </c>
      <c r="D27">
        <f>SUMIFS(עסק!$AA:$AA,עסק!$Z:$Z,$B27,עסק!$AB:$AB,"כן")</f>
        <v>0</v>
      </c>
      <c r="E27">
        <f t="shared" ca="1" si="14"/>
        <v>0</v>
      </c>
      <c r="F27">
        <f t="shared" ca="1" si="17"/>
        <v>0</v>
      </c>
      <c r="G27">
        <f t="shared" ca="1" si="15"/>
        <v>0</v>
      </c>
      <c r="H27" s="166">
        <f t="shared" ca="1" si="18"/>
        <v>0</v>
      </c>
      <c r="K27" s="153">
        <v>6</v>
      </c>
      <c r="L27" s="174">
        <f t="shared" si="27"/>
        <v>0</v>
      </c>
      <c r="M27" s="79">
        <f t="shared" ca="1" si="19"/>
        <v>0</v>
      </c>
      <c r="N27" s="79">
        <f t="shared" ca="1" si="25"/>
        <v>0</v>
      </c>
      <c r="O27" s="79">
        <f t="shared" ca="1" si="20"/>
        <v>0</v>
      </c>
      <c r="P27" s="79">
        <f t="shared" ca="1" si="21"/>
        <v>0</v>
      </c>
      <c r="Q27" s="79">
        <f t="shared" ca="1" si="22"/>
        <v>0</v>
      </c>
      <c r="R27" s="79">
        <f t="shared" ca="1" si="28"/>
        <v>0</v>
      </c>
      <c r="S27" s="79">
        <f t="shared" ca="1" si="26"/>
        <v>0</v>
      </c>
      <c r="T27" s="79">
        <f t="shared" ca="1" si="23"/>
        <v>0</v>
      </c>
      <c r="U27" s="179">
        <f t="shared" ca="1" si="24"/>
        <v>0</v>
      </c>
    </row>
    <row r="28" spans="2:21">
      <c r="B28" s="153">
        <v>10</v>
      </c>
      <c r="C28">
        <f t="shared" si="16"/>
        <v>0</v>
      </c>
      <c r="D28">
        <f>SUMIFS(עסק!$AA:$AA,עסק!$Z:$Z,$B28,עסק!$AB:$AB,"כן")</f>
        <v>0</v>
      </c>
      <c r="E28">
        <f t="shared" ca="1" si="14"/>
        <v>0</v>
      </c>
      <c r="F28">
        <f t="shared" ca="1" si="17"/>
        <v>0</v>
      </c>
      <c r="G28">
        <f t="shared" ca="1" si="15"/>
        <v>0</v>
      </c>
      <c r="H28" s="166">
        <f t="shared" ca="1" si="18"/>
        <v>0</v>
      </c>
      <c r="K28" s="153">
        <v>7</v>
      </c>
      <c r="L28" s="174">
        <f t="shared" si="27"/>
        <v>0</v>
      </c>
      <c r="M28" s="79">
        <f t="shared" ca="1" si="19"/>
        <v>0</v>
      </c>
      <c r="N28" s="79">
        <f t="shared" ca="1" si="25"/>
        <v>0</v>
      </c>
      <c r="O28" s="79">
        <f t="shared" ca="1" si="20"/>
        <v>0</v>
      </c>
      <c r="P28" s="79">
        <f t="shared" ca="1" si="21"/>
        <v>0</v>
      </c>
      <c r="Q28" s="79">
        <f t="shared" ca="1" si="22"/>
        <v>0</v>
      </c>
      <c r="R28" s="79">
        <f t="shared" ca="1" si="28"/>
        <v>0</v>
      </c>
      <c r="S28" s="79">
        <f t="shared" ca="1" si="26"/>
        <v>0</v>
      </c>
      <c r="T28" s="79">
        <f t="shared" ca="1" si="23"/>
        <v>0</v>
      </c>
      <c r="U28" s="179">
        <f t="shared" ca="1" si="24"/>
        <v>0</v>
      </c>
    </row>
    <row r="29" spans="2:21">
      <c r="B29" s="153">
        <v>11</v>
      </c>
      <c r="C29">
        <f t="shared" si="16"/>
        <v>0</v>
      </c>
      <c r="D29">
        <f>SUMIFS(עסק!$AA:$AA,עסק!$Z:$Z,$B29,עסק!$AB:$AB,"כן")</f>
        <v>0</v>
      </c>
      <c r="E29">
        <f t="shared" ca="1" si="14"/>
        <v>0</v>
      </c>
      <c r="F29">
        <f t="shared" ca="1" si="17"/>
        <v>0</v>
      </c>
      <c r="G29">
        <f t="shared" ca="1" si="15"/>
        <v>0</v>
      </c>
      <c r="H29" s="166">
        <f t="shared" ca="1" si="18"/>
        <v>0</v>
      </c>
      <c r="K29" s="153">
        <v>8</v>
      </c>
      <c r="L29" s="174">
        <f t="shared" si="27"/>
        <v>0</v>
      </c>
      <c r="M29" s="79">
        <f t="shared" ca="1" si="19"/>
        <v>0</v>
      </c>
      <c r="N29" s="79">
        <f t="shared" ca="1" si="25"/>
        <v>0</v>
      </c>
      <c r="O29" s="79">
        <f t="shared" ca="1" si="20"/>
        <v>0</v>
      </c>
      <c r="P29" s="79">
        <f t="shared" ca="1" si="21"/>
        <v>0</v>
      </c>
      <c r="Q29" s="79">
        <f t="shared" ca="1" si="22"/>
        <v>0</v>
      </c>
      <c r="R29" s="79">
        <f t="shared" ca="1" si="28"/>
        <v>0</v>
      </c>
      <c r="S29" s="79">
        <f t="shared" ca="1" si="26"/>
        <v>0</v>
      </c>
      <c r="T29" s="79">
        <f t="shared" ca="1" si="23"/>
        <v>0</v>
      </c>
      <c r="U29" s="179">
        <f t="shared" ca="1" si="24"/>
        <v>0</v>
      </c>
    </row>
    <row r="30" spans="2:21" ht="13.5" thickBot="1">
      <c r="B30" s="154">
        <v>12</v>
      </c>
      <c r="C30" s="167">
        <f t="shared" si="16"/>
        <v>0</v>
      </c>
      <c r="D30">
        <f>SUMIFS(עסק!$AA:$AA,עסק!$Z:$Z,$B30,עסק!$AB:$AB,"כן")</f>
        <v>0</v>
      </c>
      <c r="E30" s="167">
        <f t="shared" ca="1" si="14"/>
        <v>0</v>
      </c>
      <c r="F30">
        <f t="shared" ca="1" si="17"/>
        <v>0</v>
      </c>
      <c r="G30" s="167">
        <f t="shared" ca="1" si="15"/>
        <v>0</v>
      </c>
      <c r="H30" s="168">
        <f t="shared" ca="1" si="18"/>
        <v>0</v>
      </c>
      <c r="K30" s="153">
        <v>9</v>
      </c>
      <c r="L30" s="174">
        <f t="shared" si="27"/>
        <v>0</v>
      </c>
      <c r="M30" s="79">
        <f t="shared" ca="1" si="19"/>
        <v>0</v>
      </c>
      <c r="N30" s="79">
        <f t="shared" ca="1" si="25"/>
        <v>0</v>
      </c>
      <c r="O30" s="79">
        <f t="shared" ca="1" si="20"/>
        <v>0</v>
      </c>
      <c r="P30" s="79">
        <f t="shared" ca="1" si="21"/>
        <v>0</v>
      </c>
      <c r="Q30" s="79">
        <f t="shared" ca="1" si="22"/>
        <v>0</v>
      </c>
      <c r="R30" s="79">
        <f t="shared" ca="1" si="28"/>
        <v>0</v>
      </c>
      <c r="S30" s="79">
        <f t="shared" ca="1" si="26"/>
        <v>0</v>
      </c>
      <c r="T30" s="79">
        <f t="shared" ca="1" si="23"/>
        <v>0</v>
      </c>
      <c r="U30" s="179">
        <f t="shared" ca="1" si="24"/>
        <v>0</v>
      </c>
    </row>
    <row r="31" spans="2:21" ht="13.5" thickBot="1">
      <c r="B31" s="162"/>
      <c r="C31" s="160">
        <f t="shared" ref="C31:H31" si="29">SUM(C19:C30)</f>
        <v>91938</v>
      </c>
      <c r="D31" s="160">
        <f t="shared" si="29"/>
        <v>1254</v>
      </c>
      <c r="E31" s="160">
        <f t="shared" ca="1" si="29"/>
        <v>0</v>
      </c>
      <c r="F31" s="160">
        <f t="shared" ca="1" si="29"/>
        <v>93192</v>
      </c>
      <c r="G31" s="160">
        <f t="shared" ca="1" si="29"/>
        <v>3620</v>
      </c>
      <c r="H31" s="161">
        <f t="shared" ca="1" si="29"/>
        <v>89572</v>
      </c>
      <c r="K31" s="153">
        <v>10</v>
      </c>
      <c r="L31" s="174">
        <f t="shared" si="27"/>
        <v>0</v>
      </c>
      <c r="M31" s="79">
        <f t="shared" ca="1" si="19"/>
        <v>0</v>
      </c>
      <c r="N31" s="79">
        <f t="shared" ca="1" si="25"/>
        <v>0</v>
      </c>
      <c r="O31" s="79">
        <f t="shared" ca="1" si="20"/>
        <v>0</v>
      </c>
      <c r="P31" s="79">
        <f t="shared" ca="1" si="21"/>
        <v>0</v>
      </c>
      <c r="Q31" s="79">
        <f t="shared" ca="1" si="22"/>
        <v>0</v>
      </c>
      <c r="R31" s="79">
        <f t="shared" ca="1" si="28"/>
        <v>0</v>
      </c>
      <c r="S31" s="79">
        <f t="shared" ca="1" si="26"/>
        <v>0</v>
      </c>
      <c r="T31" s="79">
        <f t="shared" ca="1" si="23"/>
        <v>0</v>
      </c>
      <c r="U31" s="179">
        <f t="shared" ca="1" si="24"/>
        <v>0</v>
      </c>
    </row>
    <row r="32" spans="2:21">
      <c r="K32" s="153">
        <v>11</v>
      </c>
      <c r="L32" s="174">
        <f t="shared" si="27"/>
        <v>0</v>
      </c>
      <c r="M32" s="79" t="e">
        <f t="shared" ca="1" si="19"/>
        <v>#REF!</v>
      </c>
      <c r="N32" s="79">
        <f t="shared" ca="1" si="25"/>
        <v>0</v>
      </c>
      <c r="O32" s="79">
        <f t="shared" ca="1" si="20"/>
        <v>0</v>
      </c>
      <c r="P32" s="79">
        <f t="shared" ca="1" si="21"/>
        <v>0</v>
      </c>
      <c r="Q32" s="79" t="e">
        <f t="shared" ca="1" si="22"/>
        <v>#REF!</v>
      </c>
      <c r="R32" s="79" t="e">
        <f t="shared" ca="1" si="28"/>
        <v>#REF!</v>
      </c>
      <c r="S32" s="79">
        <f t="shared" ca="1" si="26"/>
        <v>0</v>
      </c>
      <c r="T32" s="79" t="e">
        <f t="shared" ca="1" si="23"/>
        <v>#REF!</v>
      </c>
      <c r="U32" s="179" t="e">
        <f t="shared" ca="1" si="24"/>
        <v>#REF!</v>
      </c>
    </row>
    <row r="33" spans="11:21" ht="13.5" thickBot="1">
      <c r="K33" s="153">
        <v>12</v>
      </c>
      <c r="L33" s="174">
        <f t="shared" si="27"/>
        <v>0</v>
      </c>
      <c r="M33" s="79" t="e">
        <f t="shared" ca="1" si="19"/>
        <v>#REF!</v>
      </c>
      <c r="N33" s="79">
        <f t="shared" ca="1" si="25"/>
        <v>0</v>
      </c>
      <c r="O33" s="79" t="e">
        <f t="shared" ca="1" si="20"/>
        <v>#REF!</v>
      </c>
      <c r="P33" s="79">
        <f t="shared" ca="1" si="21"/>
        <v>0</v>
      </c>
      <c r="Q33" s="79" t="e">
        <f t="shared" ca="1" si="22"/>
        <v>#REF!</v>
      </c>
      <c r="R33" s="79" t="e">
        <f t="shared" ca="1" si="28"/>
        <v>#REF!</v>
      </c>
      <c r="S33" s="79" t="e">
        <f t="shared" ca="1" si="26"/>
        <v>#REF!</v>
      </c>
      <c r="T33" s="79" t="e">
        <f t="shared" ca="1" si="23"/>
        <v>#REF!</v>
      </c>
      <c r="U33" s="179" t="e">
        <f t="shared" ca="1" si="24"/>
        <v>#REF!</v>
      </c>
    </row>
    <row r="34" spans="11:21" ht="13.5" thickBot="1">
      <c r="K34" s="159"/>
      <c r="L34" s="159"/>
      <c r="M34" s="160" t="e">
        <f ca="1">SUM(M22:M33)</f>
        <v>#REF!</v>
      </c>
      <c r="N34" s="160">
        <f ca="1">SUM(N22:N33)</f>
        <v>0</v>
      </c>
      <c r="O34" s="160" t="e">
        <f ca="1">SUM(O22:O33)</f>
        <v>#REF!</v>
      </c>
      <c r="P34" s="160">
        <f ca="1">SUM(P22:P33)</f>
        <v>0</v>
      </c>
      <c r="Q34" s="160" t="e">
        <f ca="1">SUM(Q22:Q33)</f>
        <v>#REF!</v>
      </c>
      <c r="R34" s="160"/>
      <c r="S34" s="160"/>
      <c r="T34" s="160" t="e">
        <f ca="1">SUM(T22:T33)</f>
        <v>#REF!</v>
      </c>
      <c r="U34" s="180"/>
    </row>
  </sheetData>
  <mergeCells count="4">
    <mergeCell ref="C2:F2"/>
    <mergeCell ref="L2:S2"/>
    <mergeCell ref="M18:T18"/>
    <mergeCell ref="G2:J2"/>
  </mergeCells>
  <conditionalFormatting sqref="H4:H15">
    <cfRule type="cellIs" dxfId="20" priority="1" operator="greaterThan">
      <formula>2500</formula>
    </cfRule>
  </conditionalFormatting>
  <conditionalFormatting sqref="I4:I15">
    <cfRule type="cellIs" dxfId="19" priority="2" operator="greaterThan">
      <formula>1477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5"/>
  <dimension ref="A1:U165"/>
  <sheetViews>
    <sheetView rightToLeft="1" zoomScale="80" zoomScaleNormal="80" zoomScaleSheetLayoutView="100" zoomScalePageLayoutView="55" workbookViewId="0">
      <pane xSplit="1" topLeftCell="D1" activePane="topRight" state="frozen"/>
      <selection pane="topRight" activeCell="Q26" sqref="Q26"/>
    </sheetView>
  </sheetViews>
  <sheetFormatPr defaultColWidth="9.28515625" defaultRowHeight="12.75"/>
  <cols>
    <col min="1" max="1" width="30.7109375" style="136" bestFit="1" customWidth="1"/>
    <col min="2" max="6" width="13.42578125" style="136" bestFit="1" customWidth="1"/>
    <col min="7" max="13" width="13.42578125" style="136" customWidth="1"/>
    <col min="14" max="14" width="13.28515625" style="136" customWidth="1"/>
    <col min="15" max="15" width="11.42578125" style="52" bestFit="1" customWidth="1"/>
    <col min="16" max="17" width="13.42578125" style="136" customWidth="1"/>
    <col min="18" max="18" width="3.85546875" style="193" customWidth="1"/>
    <col min="19" max="20" width="13.42578125" style="136" customWidth="1"/>
    <col min="21" max="16384" width="9.28515625" style="52"/>
  </cols>
  <sheetData>
    <row r="1" spans="1:21">
      <c r="A1" s="404" t="s">
        <v>65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05"/>
      <c r="R1" s="413"/>
      <c r="S1" s="405"/>
      <c r="T1" s="406"/>
      <c r="U1" s="84"/>
    </row>
    <row r="2" spans="1:21">
      <c r="A2" s="414" t="s">
        <v>67</v>
      </c>
      <c r="B2" s="415">
        <v>1</v>
      </c>
      <c r="C2" s="415">
        <v>2</v>
      </c>
      <c r="D2" s="415">
        <v>3</v>
      </c>
      <c r="E2" s="415">
        <v>4</v>
      </c>
      <c r="F2" s="415">
        <v>5</v>
      </c>
      <c r="G2" s="415">
        <v>6</v>
      </c>
      <c r="H2" s="415">
        <v>7</v>
      </c>
      <c r="I2" s="415">
        <v>8</v>
      </c>
      <c r="J2" s="415">
        <v>9</v>
      </c>
      <c r="K2" s="415">
        <v>10</v>
      </c>
      <c r="L2" s="415">
        <v>11</v>
      </c>
      <c r="M2" s="415">
        <v>12</v>
      </c>
      <c r="N2" s="416" t="s">
        <v>53</v>
      </c>
      <c r="O2" s="416" t="s">
        <v>181</v>
      </c>
      <c r="P2" s="415" t="s">
        <v>53</v>
      </c>
      <c r="Q2" s="415" t="s">
        <v>322</v>
      </c>
      <c r="R2" s="417"/>
      <c r="S2" s="415" t="s">
        <v>323</v>
      </c>
      <c r="T2" s="416" t="s">
        <v>316</v>
      </c>
      <c r="U2" s="84"/>
    </row>
    <row r="3" spans="1:21">
      <c r="A3" t="s">
        <v>68</v>
      </c>
      <c r="B3" s="54">
        <f t="shared" ref="B3:B19" ca="1" si="0">SUMIF((INDIRECT("'"&amp;B$2&amp;"'!"&amp;"H:H")),$A3,(INDIRECT("'"&amp;B$2&amp;"'!"&amp;"G:G")))</f>
        <v>1464.3799999999999</v>
      </c>
      <c r="C3" s="54">
        <f t="shared" ref="C3:M18" ca="1" si="1">SUMIF((INDIRECT("'"&amp;C$2&amp;"'!"&amp;"H:H")),$A3,(INDIRECT("'"&amp;C$2&amp;"'!"&amp;"G:G")))</f>
        <v>3388.38</v>
      </c>
      <c r="D3" s="54">
        <f t="shared" ca="1" si="1"/>
        <v>4062.86</v>
      </c>
      <c r="E3" s="54">
        <f t="shared" ca="1" si="1"/>
        <v>4854.04</v>
      </c>
      <c r="F3" s="54">
        <f t="shared" ca="1" si="1"/>
        <v>8500</v>
      </c>
      <c r="G3" s="54">
        <f t="shared" ca="1" si="1"/>
        <v>8500</v>
      </c>
      <c r="H3" s="54">
        <f t="shared" ca="1" si="1"/>
        <v>8500</v>
      </c>
      <c r="I3" s="54">
        <f t="shared" ca="1" si="1"/>
        <v>8500</v>
      </c>
      <c r="J3" s="54">
        <f t="shared" ca="1" si="1"/>
        <v>8500</v>
      </c>
      <c r="K3" s="54">
        <f t="shared" ca="1" si="1"/>
        <v>8500</v>
      </c>
      <c r="L3" s="54">
        <f t="shared" ca="1" si="1"/>
        <v>8500</v>
      </c>
      <c r="M3" s="54">
        <f t="shared" ca="1" si="1"/>
        <v>8500</v>
      </c>
      <c r="N3" s="429">
        <f ca="1">AVERAGE(B3:M3)</f>
        <v>6814.1383333333333</v>
      </c>
      <c r="O3" s="429">
        <f>'ממוצע ורצוי'!N3</f>
        <v>7500</v>
      </c>
      <c r="P3" s="54">
        <f t="shared" ref="P3:P21" ca="1" si="2">AVERAGE(B3:I3)</f>
        <v>5971.2075000000004</v>
      </c>
      <c r="Q3" s="54">
        <v>4700</v>
      </c>
      <c r="R3" s="192">
        <f ca="1">Q3-P3</f>
        <v>-1271.2075000000004</v>
      </c>
      <c r="S3" s="54" t="s">
        <v>156</v>
      </c>
      <c r="T3" s="57"/>
      <c r="U3" s="84"/>
    </row>
    <row r="4" spans="1:21">
      <c r="A4" t="s">
        <v>69</v>
      </c>
      <c r="B4" s="54">
        <f t="shared" ca="1" si="0"/>
        <v>0</v>
      </c>
      <c r="C4" s="54">
        <f t="shared" ca="1" si="1"/>
        <v>0</v>
      </c>
      <c r="D4" s="54">
        <f t="shared" ca="1" si="1"/>
        <v>0</v>
      </c>
      <c r="E4" s="54">
        <f t="shared" ca="1" si="1"/>
        <v>0</v>
      </c>
      <c r="F4" s="54">
        <f t="shared" ca="1" si="1"/>
        <v>0</v>
      </c>
      <c r="G4" s="54">
        <f t="shared" ca="1" si="1"/>
        <v>0</v>
      </c>
      <c r="H4" s="54">
        <f t="shared" ca="1" si="1"/>
        <v>0</v>
      </c>
      <c r="I4" s="54">
        <f t="shared" ca="1" si="1"/>
        <v>0</v>
      </c>
      <c r="J4" s="54">
        <f t="shared" ca="1" si="1"/>
        <v>0</v>
      </c>
      <c r="K4" s="54">
        <f t="shared" ca="1" si="1"/>
        <v>0</v>
      </c>
      <c r="L4" s="54">
        <f t="shared" ca="1" si="1"/>
        <v>0</v>
      </c>
      <c r="M4" s="54">
        <f t="shared" ca="1" si="1"/>
        <v>0</v>
      </c>
      <c r="N4" s="429">
        <f t="shared" ref="N4:N17" ca="1" si="3">AVERAGE(B4:M4)</f>
        <v>0</v>
      </c>
      <c r="O4" s="429">
        <f>'ממוצע ורצוי'!N4</f>
        <v>0</v>
      </c>
      <c r="P4" s="54">
        <f t="shared" ca="1" si="2"/>
        <v>0</v>
      </c>
      <c r="Q4" s="54">
        <v>0</v>
      </c>
      <c r="R4" s="192">
        <f t="shared" ref="R4:R21" ca="1" si="4">Q4-P4</f>
        <v>0</v>
      </c>
      <c r="S4" s="54"/>
      <c r="T4" s="57"/>
      <c r="U4" s="84"/>
    </row>
    <row r="5" spans="1:21">
      <c r="A5" t="s">
        <v>70</v>
      </c>
      <c r="B5" s="54">
        <f t="shared" ca="1" si="0"/>
        <v>0</v>
      </c>
      <c r="C5" s="54">
        <f t="shared" ca="1" si="1"/>
        <v>690.2</v>
      </c>
      <c r="D5" s="54">
        <f t="shared" ca="1" si="1"/>
        <v>0</v>
      </c>
      <c r="E5" s="54">
        <f t="shared" ca="1" si="1"/>
        <v>710.1</v>
      </c>
      <c r="F5" s="54">
        <f t="shared" ca="1" si="1"/>
        <v>0</v>
      </c>
      <c r="G5" s="54">
        <f t="shared" ca="1" si="1"/>
        <v>650</v>
      </c>
      <c r="H5" s="54">
        <f t="shared" ca="1" si="1"/>
        <v>0</v>
      </c>
      <c r="I5" s="54">
        <f t="shared" ca="1" si="1"/>
        <v>650</v>
      </c>
      <c r="J5" s="54">
        <f t="shared" ca="1" si="1"/>
        <v>0</v>
      </c>
      <c r="K5" s="54">
        <f t="shared" ca="1" si="1"/>
        <v>650</v>
      </c>
      <c r="L5" s="54">
        <f t="shared" ca="1" si="1"/>
        <v>0</v>
      </c>
      <c r="M5" s="54">
        <f t="shared" ca="1" si="1"/>
        <v>650</v>
      </c>
      <c r="N5" s="429">
        <f t="shared" ca="1" si="3"/>
        <v>333.35833333333335</v>
      </c>
      <c r="O5" s="429">
        <f>'ממוצע ורצוי'!N5</f>
        <v>600</v>
      </c>
      <c r="P5" s="54">
        <f t="shared" ca="1" si="2"/>
        <v>337.53750000000002</v>
      </c>
      <c r="Q5" s="54">
        <v>320</v>
      </c>
      <c r="R5" s="192">
        <f t="shared" ca="1" si="4"/>
        <v>-17.537500000000023</v>
      </c>
      <c r="S5" s="54" t="s">
        <v>156</v>
      </c>
      <c r="T5" s="57"/>
      <c r="U5" s="84"/>
    </row>
    <row r="6" spans="1:21">
      <c r="A6" t="s">
        <v>71</v>
      </c>
      <c r="B6" s="54">
        <f t="shared" ca="1" si="0"/>
        <v>600</v>
      </c>
      <c r="C6" s="54">
        <f t="shared" ca="1" si="1"/>
        <v>1119</v>
      </c>
      <c r="D6" s="54">
        <f t="shared" ca="1" si="1"/>
        <v>0</v>
      </c>
      <c r="E6" s="54">
        <f t="shared" ca="1" si="1"/>
        <v>600</v>
      </c>
      <c r="F6" s="54">
        <f t="shared" ca="1" si="1"/>
        <v>600</v>
      </c>
      <c r="G6" s="54">
        <f t="shared" ca="1" si="1"/>
        <v>600</v>
      </c>
      <c r="H6" s="54">
        <f t="shared" ca="1" si="1"/>
        <v>600</v>
      </c>
      <c r="I6" s="54">
        <f t="shared" ca="1" si="1"/>
        <v>600</v>
      </c>
      <c r="J6" s="54">
        <f t="shared" ca="1" si="1"/>
        <v>600</v>
      </c>
      <c r="K6" s="54">
        <f t="shared" ca="1" si="1"/>
        <v>600</v>
      </c>
      <c r="L6" s="54">
        <f t="shared" ca="1" si="1"/>
        <v>600</v>
      </c>
      <c r="M6" s="54">
        <f t="shared" ca="1" si="1"/>
        <v>600</v>
      </c>
      <c r="N6" s="429">
        <f t="shared" ca="1" si="3"/>
        <v>593.25</v>
      </c>
      <c r="O6" s="429">
        <f>'ממוצע ורצוי'!N6</f>
        <v>400</v>
      </c>
      <c r="P6" s="54">
        <f t="shared" ca="1" si="2"/>
        <v>589.875</v>
      </c>
      <c r="Q6" s="54">
        <v>320</v>
      </c>
      <c r="R6" s="192">
        <f t="shared" ca="1" si="4"/>
        <v>-269.875</v>
      </c>
      <c r="S6" s="54" t="s">
        <v>156</v>
      </c>
      <c r="T6" s="57"/>
      <c r="U6" s="84"/>
    </row>
    <row r="7" spans="1:21">
      <c r="A7" t="s">
        <v>73</v>
      </c>
      <c r="B7" s="54">
        <f t="shared" ca="1" si="0"/>
        <v>1046.08</v>
      </c>
      <c r="C7" s="54">
        <f t="shared" ca="1" si="1"/>
        <v>1166.05</v>
      </c>
      <c r="D7" s="54">
        <f t="shared" ca="1" si="1"/>
        <v>975.62</v>
      </c>
      <c r="E7" s="54">
        <f t="shared" ca="1" si="1"/>
        <v>839.26</v>
      </c>
      <c r="F7" s="54">
        <f t="shared" ca="1" si="1"/>
        <v>800</v>
      </c>
      <c r="G7" s="54">
        <f t="shared" ca="1" si="1"/>
        <v>800</v>
      </c>
      <c r="H7" s="54">
        <f t="shared" ca="1" si="1"/>
        <v>800</v>
      </c>
      <c r="I7" s="54">
        <f t="shared" ca="1" si="1"/>
        <v>800</v>
      </c>
      <c r="J7" s="54">
        <f t="shared" ca="1" si="1"/>
        <v>800</v>
      </c>
      <c r="K7" s="54">
        <f t="shared" ca="1" si="1"/>
        <v>800</v>
      </c>
      <c r="L7" s="54">
        <f t="shared" ca="1" si="1"/>
        <v>800</v>
      </c>
      <c r="M7" s="54">
        <f t="shared" ca="1" si="1"/>
        <v>800</v>
      </c>
      <c r="N7" s="429">
        <f t="shared" ca="1" si="3"/>
        <v>868.91750000000002</v>
      </c>
      <c r="O7" s="429">
        <f>'ממוצע ורצוי'!N7</f>
        <v>1000</v>
      </c>
      <c r="P7" s="54">
        <f t="shared" ca="1" si="2"/>
        <v>903.37625000000003</v>
      </c>
      <c r="Q7" s="54">
        <v>900</v>
      </c>
      <c r="R7" s="192">
        <f t="shared" ca="1" si="4"/>
        <v>-3.3762500000000273</v>
      </c>
      <c r="S7" s="54" t="s">
        <v>156</v>
      </c>
      <c r="T7" s="57"/>
      <c r="U7" s="84"/>
    </row>
    <row r="8" spans="1:21">
      <c r="A8" t="s">
        <v>74</v>
      </c>
      <c r="B8" s="54">
        <f t="shared" ca="1" si="0"/>
        <v>0</v>
      </c>
      <c r="C8" s="54">
        <f t="shared" ca="1" si="1"/>
        <v>0</v>
      </c>
      <c r="D8" s="54">
        <f t="shared" ca="1" si="1"/>
        <v>0</v>
      </c>
      <c r="E8" s="54">
        <f t="shared" ca="1" si="1"/>
        <v>0</v>
      </c>
      <c r="F8" s="54">
        <f t="shared" ca="1" si="1"/>
        <v>0</v>
      </c>
      <c r="G8" s="54">
        <f t="shared" ca="1" si="1"/>
        <v>0</v>
      </c>
      <c r="H8" s="54">
        <f t="shared" ca="1" si="1"/>
        <v>0</v>
      </c>
      <c r="I8" s="54">
        <f t="shared" ca="1" si="1"/>
        <v>0</v>
      </c>
      <c r="J8" s="54">
        <f t="shared" ca="1" si="1"/>
        <v>0</v>
      </c>
      <c r="K8" s="54">
        <f t="shared" ca="1" si="1"/>
        <v>0</v>
      </c>
      <c r="L8" s="54">
        <f t="shared" ca="1" si="1"/>
        <v>0</v>
      </c>
      <c r="M8" s="54">
        <f t="shared" ca="1" si="1"/>
        <v>0</v>
      </c>
      <c r="N8" s="429">
        <f t="shared" ca="1" si="3"/>
        <v>0</v>
      </c>
      <c r="O8" s="429">
        <f>'ממוצע ורצוי'!N8</f>
        <v>0</v>
      </c>
      <c r="P8" s="54">
        <f t="shared" ca="1" si="2"/>
        <v>0</v>
      </c>
      <c r="Q8" s="54">
        <v>0</v>
      </c>
      <c r="R8" s="192">
        <f t="shared" ca="1" si="4"/>
        <v>0</v>
      </c>
      <c r="S8" s="54"/>
      <c r="T8" s="57"/>
      <c r="U8" s="84"/>
    </row>
    <row r="9" spans="1:21">
      <c r="A9" t="s">
        <v>75</v>
      </c>
      <c r="B9" s="54">
        <f t="shared" ca="1" si="0"/>
        <v>0</v>
      </c>
      <c r="C9" s="54">
        <f t="shared" ca="1" si="1"/>
        <v>0</v>
      </c>
      <c r="D9" s="54">
        <f t="shared" ca="1" si="1"/>
        <v>0</v>
      </c>
      <c r="E9" s="54">
        <f t="shared" ca="1" si="1"/>
        <v>0</v>
      </c>
      <c r="F9" s="54">
        <f t="shared" ca="1" si="1"/>
        <v>0</v>
      </c>
      <c r="G9" s="54">
        <f t="shared" ca="1" si="1"/>
        <v>0</v>
      </c>
      <c r="H9" s="54">
        <f t="shared" ca="1" si="1"/>
        <v>0</v>
      </c>
      <c r="I9" s="54">
        <f t="shared" ca="1" si="1"/>
        <v>0</v>
      </c>
      <c r="J9" s="54">
        <f t="shared" ca="1" si="1"/>
        <v>0</v>
      </c>
      <c r="K9" s="54">
        <f t="shared" ca="1" si="1"/>
        <v>0</v>
      </c>
      <c r="L9" s="54">
        <f t="shared" ca="1" si="1"/>
        <v>0</v>
      </c>
      <c r="M9" s="54">
        <f t="shared" ca="1" si="1"/>
        <v>0</v>
      </c>
      <c r="N9" s="429">
        <f t="shared" ca="1" si="3"/>
        <v>0</v>
      </c>
      <c r="O9" s="429">
        <f>'ממוצע ורצוי'!N9</f>
        <v>0</v>
      </c>
      <c r="P9" s="54">
        <f t="shared" ca="1" si="2"/>
        <v>0</v>
      </c>
      <c r="Q9" s="54">
        <v>25</v>
      </c>
      <c r="R9" s="192">
        <f t="shared" ca="1" si="4"/>
        <v>25</v>
      </c>
      <c r="S9" s="54" t="s">
        <v>156</v>
      </c>
      <c r="T9" s="57"/>
      <c r="U9" s="84"/>
    </row>
    <row r="10" spans="1:21">
      <c r="A10" t="s">
        <v>76</v>
      </c>
      <c r="B10" s="54">
        <f t="shared" ca="1" si="0"/>
        <v>132.4</v>
      </c>
      <c r="C10" s="54">
        <f t="shared" ca="1" si="1"/>
        <v>138.30000000000001</v>
      </c>
      <c r="D10" s="54">
        <f t="shared" ca="1" si="1"/>
        <v>132.4</v>
      </c>
      <c r="E10" s="54">
        <f t="shared" ca="1" si="1"/>
        <v>132.4</v>
      </c>
      <c r="F10" s="54">
        <f t="shared" ca="1" si="1"/>
        <v>272.3</v>
      </c>
      <c r="G10" s="54">
        <f t="shared" ca="1" si="1"/>
        <v>272.3</v>
      </c>
      <c r="H10" s="54">
        <f t="shared" ca="1" si="1"/>
        <v>272.3</v>
      </c>
      <c r="I10" s="54">
        <f t="shared" ca="1" si="1"/>
        <v>272.3</v>
      </c>
      <c r="J10" s="54">
        <f t="shared" ca="1" si="1"/>
        <v>272.3</v>
      </c>
      <c r="K10" s="54">
        <f t="shared" ca="1" si="1"/>
        <v>272.3</v>
      </c>
      <c r="L10" s="54">
        <f t="shared" ca="1" si="1"/>
        <v>272.3</v>
      </c>
      <c r="M10" s="54">
        <f t="shared" ca="1" si="1"/>
        <v>272.3</v>
      </c>
      <c r="N10" s="429">
        <f t="shared" ca="1" si="3"/>
        <v>226.15833333333333</v>
      </c>
      <c r="O10" s="429">
        <f>'ממוצע ורצוי'!N10</f>
        <v>135</v>
      </c>
      <c r="P10" s="54">
        <f t="shared" ca="1" si="2"/>
        <v>203.08749999999998</v>
      </c>
      <c r="Q10" s="54">
        <v>150</v>
      </c>
      <c r="R10" s="192">
        <f t="shared" ca="1" si="4"/>
        <v>-53.087499999999977</v>
      </c>
      <c r="S10" s="54" t="s">
        <v>156</v>
      </c>
      <c r="T10" s="57"/>
      <c r="U10" s="84"/>
    </row>
    <row r="11" spans="1:21">
      <c r="A11" t="s">
        <v>298</v>
      </c>
      <c r="B11" s="54">
        <f t="shared" ca="1" si="0"/>
        <v>0</v>
      </c>
      <c r="C11" s="54">
        <f t="shared" ca="1" si="1"/>
        <v>369.5</v>
      </c>
      <c r="D11" s="54">
        <f t="shared" ca="1" si="1"/>
        <v>0</v>
      </c>
      <c r="E11" s="54">
        <f t="shared" ca="1" si="1"/>
        <v>342.2</v>
      </c>
      <c r="F11" s="54">
        <f t="shared" ca="1" si="1"/>
        <v>0</v>
      </c>
      <c r="G11" s="54">
        <f t="shared" ca="1" si="1"/>
        <v>400</v>
      </c>
      <c r="H11" s="54">
        <f t="shared" ca="1" si="1"/>
        <v>0</v>
      </c>
      <c r="I11" s="54">
        <f t="shared" ca="1" si="1"/>
        <v>400</v>
      </c>
      <c r="J11" s="54">
        <f t="shared" ca="1" si="1"/>
        <v>0</v>
      </c>
      <c r="K11" s="54">
        <f t="shared" ca="1" si="1"/>
        <v>400</v>
      </c>
      <c r="L11" s="54">
        <f t="shared" ca="1" si="1"/>
        <v>0</v>
      </c>
      <c r="M11" s="54">
        <f t="shared" ca="1" si="1"/>
        <v>400</v>
      </c>
      <c r="N11" s="429">
        <f t="shared" ca="1" si="3"/>
        <v>192.64166666666665</v>
      </c>
      <c r="O11" s="429">
        <f>'ממוצע ורצוי'!N11</f>
        <v>300</v>
      </c>
      <c r="P11" s="54">
        <f t="shared" ca="1" si="2"/>
        <v>188.96250000000001</v>
      </c>
      <c r="Q11" s="54">
        <v>150</v>
      </c>
      <c r="R11" s="192">
        <f t="shared" ca="1" si="4"/>
        <v>-38.962500000000006</v>
      </c>
      <c r="S11" s="54" t="s">
        <v>156</v>
      </c>
      <c r="T11" s="57"/>
      <c r="U11" s="84"/>
    </row>
    <row r="12" spans="1:21">
      <c r="A12" t="s">
        <v>77</v>
      </c>
      <c r="B12" s="54">
        <f t="shared" ca="1" si="0"/>
        <v>219.62</v>
      </c>
      <c r="C12" s="54">
        <f t="shared" ca="1" si="1"/>
        <v>219.62</v>
      </c>
      <c r="D12" s="54">
        <f t="shared" ca="1" si="1"/>
        <v>219.62</v>
      </c>
      <c r="E12" s="54">
        <f t="shared" ca="1" si="1"/>
        <v>219.62</v>
      </c>
      <c r="F12" s="54">
        <f t="shared" ca="1" si="1"/>
        <v>218.8</v>
      </c>
      <c r="G12" s="54">
        <f t="shared" ca="1" si="1"/>
        <v>218.8</v>
      </c>
      <c r="H12" s="54">
        <f t="shared" ca="1" si="1"/>
        <v>218.8</v>
      </c>
      <c r="I12" s="54">
        <f t="shared" ca="1" si="1"/>
        <v>218.8</v>
      </c>
      <c r="J12" s="54">
        <f t="shared" ca="1" si="1"/>
        <v>218.8</v>
      </c>
      <c r="K12" s="54">
        <f t="shared" ca="1" si="1"/>
        <v>218.8</v>
      </c>
      <c r="L12" s="54">
        <f t="shared" ca="1" si="1"/>
        <v>218.8</v>
      </c>
      <c r="M12" s="54">
        <f t="shared" ca="1" si="1"/>
        <v>218.8</v>
      </c>
      <c r="N12" s="429">
        <f t="shared" ca="1" si="3"/>
        <v>219.07333333333335</v>
      </c>
      <c r="O12" s="429">
        <f>'ממוצע ורצוי'!N12</f>
        <v>220</v>
      </c>
      <c r="P12" s="54">
        <f t="shared" ca="1" si="2"/>
        <v>219.20999999999998</v>
      </c>
      <c r="Q12" s="54">
        <v>180</v>
      </c>
      <c r="R12" s="192">
        <f t="shared" ca="1" si="4"/>
        <v>-39.20999999999998</v>
      </c>
      <c r="S12" s="54" t="s">
        <v>156</v>
      </c>
      <c r="T12" s="57"/>
      <c r="U12" s="84"/>
    </row>
    <row r="13" spans="1:21">
      <c r="A13" t="s">
        <v>79</v>
      </c>
      <c r="B13" s="54">
        <f t="shared" ca="1" si="0"/>
        <v>95</v>
      </c>
      <c r="C13" s="54">
        <f t="shared" ca="1" si="1"/>
        <v>95</v>
      </c>
      <c r="D13" s="54">
        <f t="shared" ca="1" si="1"/>
        <v>95</v>
      </c>
      <c r="E13" s="54">
        <f t="shared" ca="1" si="1"/>
        <v>95</v>
      </c>
      <c r="F13" s="54">
        <f t="shared" ca="1" si="1"/>
        <v>95</v>
      </c>
      <c r="G13" s="54">
        <f t="shared" ca="1" si="1"/>
        <v>95</v>
      </c>
      <c r="H13" s="54">
        <f t="shared" ca="1" si="1"/>
        <v>95</v>
      </c>
      <c r="I13" s="54">
        <f t="shared" ca="1" si="1"/>
        <v>95</v>
      </c>
      <c r="J13" s="54">
        <f t="shared" ca="1" si="1"/>
        <v>95</v>
      </c>
      <c r="K13" s="54">
        <f t="shared" ca="1" si="1"/>
        <v>95</v>
      </c>
      <c r="L13" s="54">
        <f t="shared" ca="1" si="1"/>
        <v>95</v>
      </c>
      <c r="M13" s="54">
        <f t="shared" ca="1" si="1"/>
        <v>95</v>
      </c>
      <c r="N13" s="429">
        <f t="shared" ca="1" si="3"/>
        <v>95</v>
      </c>
      <c r="O13" s="429">
        <f>'ממוצע ורצוי'!N13</f>
        <v>95</v>
      </c>
      <c r="P13" s="54">
        <f t="shared" ca="1" si="2"/>
        <v>95</v>
      </c>
      <c r="Q13" s="54">
        <v>90</v>
      </c>
      <c r="R13" s="192">
        <f t="shared" ca="1" si="4"/>
        <v>-5</v>
      </c>
      <c r="S13" s="54" t="s">
        <v>156</v>
      </c>
      <c r="T13" s="57"/>
      <c r="U13" s="84"/>
    </row>
    <row r="14" spans="1:21">
      <c r="A14" t="s">
        <v>81</v>
      </c>
      <c r="B14" s="54">
        <f t="shared" ca="1" si="0"/>
        <v>1709.26</v>
      </c>
      <c r="C14" s="54">
        <f t="shared" ca="1" si="1"/>
        <v>1795.18</v>
      </c>
      <c r="D14" s="54">
        <f t="shared" ca="1" si="1"/>
        <v>1795.18</v>
      </c>
      <c r="E14" s="54">
        <f t="shared" ca="1" si="1"/>
        <v>1709.26</v>
      </c>
      <c r="F14" s="54">
        <f t="shared" ca="1" si="1"/>
        <v>1709.26</v>
      </c>
      <c r="G14" s="54">
        <f t="shared" ca="1" si="1"/>
        <v>1709.26</v>
      </c>
      <c r="H14" s="54">
        <f t="shared" ca="1" si="1"/>
        <v>1709.26</v>
      </c>
      <c r="I14" s="54">
        <f t="shared" ca="1" si="1"/>
        <v>1709.26</v>
      </c>
      <c r="J14" s="54">
        <f t="shared" ca="1" si="1"/>
        <v>1709.26</v>
      </c>
      <c r="K14" s="54">
        <f t="shared" ca="1" si="1"/>
        <v>1709.26</v>
      </c>
      <c r="L14" s="54">
        <f t="shared" ca="1" si="1"/>
        <v>1709.26</v>
      </c>
      <c r="M14" s="54">
        <f t="shared" ca="1" si="1"/>
        <v>1709.26</v>
      </c>
      <c r="N14" s="429">
        <f t="shared" ca="1" si="3"/>
        <v>1723.5799999999997</v>
      </c>
      <c r="O14" s="429">
        <f>'ממוצע ורצוי'!N14</f>
        <v>1760</v>
      </c>
      <c r="P14" s="54">
        <f t="shared" ca="1" si="2"/>
        <v>1730.74</v>
      </c>
      <c r="Q14" s="54">
        <v>1700</v>
      </c>
      <c r="R14" s="192">
        <f t="shared" ca="1" si="4"/>
        <v>-30.740000000000009</v>
      </c>
      <c r="S14" s="54" t="s">
        <v>156</v>
      </c>
      <c r="T14" s="57"/>
      <c r="U14" s="84"/>
    </row>
    <row r="15" spans="1:21">
      <c r="A15" t="s">
        <v>83</v>
      </c>
      <c r="B15" s="54">
        <f t="shared" ca="1" si="0"/>
        <v>454.3</v>
      </c>
      <c r="C15" s="54">
        <f t="shared" ca="1" si="1"/>
        <v>0</v>
      </c>
      <c r="D15" s="54">
        <f t="shared" ca="1" si="1"/>
        <v>0</v>
      </c>
      <c r="E15" s="54">
        <f t="shared" ca="1" si="1"/>
        <v>0</v>
      </c>
      <c r="F15" s="54">
        <f t="shared" ca="1" si="1"/>
        <v>908.6</v>
      </c>
      <c r="G15" s="54">
        <f t="shared" ca="1" si="1"/>
        <v>908.6</v>
      </c>
      <c r="H15" s="54">
        <f t="shared" ca="1" si="1"/>
        <v>908.6</v>
      </c>
      <c r="I15" s="54">
        <f t="shared" ca="1" si="1"/>
        <v>908.6</v>
      </c>
      <c r="J15" s="54">
        <f t="shared" ca="1" si="1"/>
        <v>908.6</v>
      </c>
      <c r="K15" s="54">
        <f t="shared" ca="1" si="1"/>
        <v>908.6</v>
      </c>
      <c r="L15" s="54">
        <f t="shared" ca="1" si="1"/>
        <v>908.6</v>
      </c>
      <c r="M15" s="54">
        <f t="shared" ca="1" si="1"/>
        <v>908.6</v>
      </c>
      <c r="N15" s="429">
        <f t="shared" ca="1" si="3"/>
        <v>643.59166666666681</v>
      </c>
      <c r="O15" s="429">
        <f>'ממוצע ורצוי'!N15</f>
        <v>0</v>
      </c>
      <c r="P15" s="54">
        <f t="shared" ca="1" si="2"/>
        <v>511.08749999999998</v>
      </c>
      <c r="Q15" s="54">
        <f>427*2</f>
        <v>854</v>
      </c>
      <c r="R15" s="192">
        <f t="shared" ca="1" si="4"/>
        <v>342.91250000000002</v>
      </c>
      <c r="S15" s="54"/>
      <c r="T15" s="57"/>
      <c r="U15" s="84"/>
    </row>
    <row r="16" spans="1:21">
      <c r="A16" t="s">
        <v>85</v>
      </c>
      <c r="B16" s="54">
        <f t="shared" ca="1" si="0"/>
        <v>0</v>
      </c>
      <c r="C16" s="54">
        <f t="shared" ca="1" si="1"/>
        <v>0</v>
      </c>
      <c r="D16" s="54">
        <f t="shared" ca="1" si="1"/>
        <v>0</v>
      </c>
      <c r="E16" s="54">
        <f t="shared" ca="1" si="1"/>
        <v>0</v>
      </c>
      <c r="F16" s="54">
        <f t="shared" ca="1" si="1"/>
        <v>0</v>
      </c>
      <c r="G16" s="54">
        <f t="shared" ca="1" si="1"/>
        <v>0</v>
      </c>
      <c r="H16" s="54">
        <f t="shared" ca="1" si="1"/>
        <v>0</v>
      </c>
      <c r="I16" s="54">
        <f t="shared" ca="1" si="1"/>
        <v>0</v>
      </c>
      <c r="J16" s="54">
        <f t="shared" ca="1" si="1"/>
        <v>0</v>
      </c>
      <c r="K16" s="54">
        <f t="shared" ca="1" si="1"/>
        <v>0</v>
      </c>
      <c r="L16" s="54">
        <f t="shared" ca="1" si="1"/>
        <v>0</v>
      </c>
      <c r="M16" s="54">
        <f t="shared" ca="1" si="1"/>
        <v>0</v>
      </c>
      <c r="N16" s="429">
        <f t="shared" ca="1" si="3"/>
        <v>0</v>
      </c>
      <c r="O16" s="429">
        <f>'ממוצע ורצוי'!N16</f>
        <v>0</v>
      </c>
      <c r="P16" s="54">
        <f t="shared" ca="1" si="2"/>
        <v>0</v>
      </c>
      <c r="Q16" s="54">
        <v>0</v>
      </c>
      <c r="R16" s="192">
        <f t="shared" ca="1" si="4"/>
        <v>0</v>
      </c>
      <c r="S16" s="54"/>
      <c r="T16" s="57"/>
      <c r="U16" s="84"/>
    </row>
    <row r="17" spans="1:21">
      <c r="A17" t="s">
        <v>86</v>
      </c>
      <c r="B17" s="54">
        <f t="shared" ca="1" si="0"/>
        <v>100</v>
      </c>
      <c r="C17" s="54">
        <f t="shared" ca="1" si="1"/>
        <v>0</v>
      </c>
      <c r="D17" s="54">
        <f t="shared" ca="1" si="1"/>
        <v>100</v>
      </c>
      <c r="E17" s="54">
        <f t="shared" ca="1" si="1"/>
        <v>-100</v>
      </c>
      <c r="F17" s="54">
        <f t="shared" ca="1" si="1"/>
        <v>100</v>
      </c>
      <c r="G17" s="54">
        <f t="shared" ca="1" si="1"/>
        <v>100</v>
      </c>
      <c r="H17" s="54">
        <f t="shared" ca="1" si="1"/>
        <v>100</v>
      </c>
      <c r="I17" s="54">
        <f t="shared" ca="1" si="1"/>
        <v>100</v>
      </c>
      <c r="J17" s="54">
        <f t="shared" ca="1" si="1"/>
        <v>100</v>
      </c>
      <c r="K17" s="54">
        <f t="shared" ca="1" si="1"/>
        <v>100</v>
      </c>
      <c r="L17" s="54">
        <f t="shared" ca="1" si="1"/>
        <v>100</v>
      </c>
      <c r="M17" s="54">
        <f t="shared" ca="1" si="1"/>
        <v>100</v>
      </c>
      <c r="N17" s="429">
        <f t="shared" ca="1" si="3"/>
        <v>75</v>
      </c>
      <c r="O17" s="429">
        <f>'ממוצע ורצוי'!N17</f>
        <v>112</v>
      </c>
      <c r="P17" s="54">
        <f t="shared" ca="1" si="2"/>
        <v>62.5</v>
      </c>
      <c r="Q17" s="54">
        <v>100</v>
      </c>
      <c r="R17" s="192">
        <f t="shared" ca="1" si="4"/>
        <v>37.5</v>
      </c>
      <c r="S17" s="54" t="s">
        <v>156</v>
      </c>
      <c r="T17" s="57"/>
      <c r="U17" s="84"/>
    </row>
    <row r="18" spans="1:21">
      <c r="A18" t="s">
        <v>87</v>
      </c>
      <c r="B18" s="54">
        <f t="shared" ca="1" si="0"/>
        <v>603.6</v>
      </c>
      <c r="C18" s="54">
        <f t="shared" ca="1" si="1"/>
        <v>590</v>
      </c>
      <c r="D18" s="54">
        <f t="shared" ca="1" si="1"/>
        <v>788.87</v>
      </c>
      <c r="E18" s="54">
        <f t="shared" ca="1" si="1"/>
        <v>3380.6</v>
      </c>
      <c r="F18" s="54">
        <f t="shared" ca="1" si="1"/>
        <v>0</v>
      </c>
      <c r="G18" s="54">
        <f t="shared" ca="1" si="1"/>
        <v>0</v>
      </c>
      <c r="H18" s="54">
        <f t="shared" ca="1" si="1"/>
        <v>0</v>
      </c>
      <c r="I18" s="54">
        <f t="shared" ca="1" si="1"/>
        <v>0</v>
      </c>
      <c r="J18" s="54">
        <f t="shared" ca="1" si="1"/>
        <v>0</v>
      </c>
      <c r="K18" s="54">
        <f t="shared" ca="1" si="1"/>
        <v>0</v>
      </c>
      <c r="L18" s="54">
        <f t="shared" ca="1" si="1"/>
        <v>0</v>
      </c>
      <c r="M18" s="54">
        <f t="shared" ca="1" si="1"/>
        <v>0</v>
      </c>
      <c r="N18" s="429">
        <f ca="1">AVERAGE(B18:M18)</f>
        <v>446.92249999999996</v>
      </c>
      <c r="O18" s="429">
        <f>'ממוצע ורצוי'!N18</f>
        <v>700</v>
      </c>
      <c r="P18" s="54">
        <f t="shared" ca="1" si="2"/>
        <v>670.38374999999996</v>
      </c>
      <c r="Q18" s="54">
        <v>200</v>
      </c>
      <c r="R18" s="192">
        <f t="shared" ca="1" si="4"/>
        <v>-470.38374999999996</v>
      </c>
      <c r="S18" s="54" t="s">
        <v>150</v>
      </c>
      <c r="T18" s="57" t="s">
        <v>324</v>
      </c>
      <c r="U18" s="84"/>
    </row>
    <row r="19" spans="1:21">
      <c r="A19" t="s">
        <v>306</v>
      </c>
      <c r="B19" s="54">
        <f t="shared" ca="1" si="0"/>
        <v>0</v>
      </c>
      <c r="C19" s="54">
        <f t="shared" ref="C19:M19" ca="1" si="5">SUMIF((INDIRECT("'"&amp;C$2&amp;"'!"&amp;"H:H")),$A19,(INDIRECT("'"&amp;C$2&amp;"'!"&amp;"G:G")))</f>
        <v>0</v>
      </c>
      <c r="D19" s="54">
        <f t="shared" ca="1" si="5"/>
        <v>0</v>
      </c>
      <c r="E19" s="54">
        <f t="shared" ca="1" si="5"/>
        <v>0</v>
      </c>
      <c r="F19" s="54">
        <f t="shared" ca="1" si="5"/>
        <v>0</v>
      </c>
      <c r="G19" s="54">
        <f t="shared" ca="1" si="5"/>
        <v>0</v>
      </c>
      <c r="H19" s="54">
        <f t="shared" ca="1" si="5"/>
        <v>0</v>
      </c>
      <c r="I19" s="54">
        <f t="shared" ca="1" si="5"/>
        <v>0</v>
      </c>
      <c r="J19" s="54">
        <f t="shared" ca="1" si="5"/>
        <v>0</v>
      </c>
      <c r="K19" s="54">
        <f t="shared" ca="1" si="5"/>
        <v>0</v>
      </c>
      <c r="L19" s="54">
        <f t="shared" ca="1" si="5"/>
        <v>0</v>
      </c>
      <c r="M19" s="54">
        <f t="shared" ca="1" si="5"/>
        <v>0</v>
      </c>
      <c r="N19" s="429">
        <f ca="1">AVERAGE(B19:M19)</f>
        <v>0</v>
      </c>
      <c r="O19" s="429">
        <f>'ממוצע ורצוי'!N19</f>
        <v>0</v>
      </c>
      <c r="P19" s="54">
        <f t="shared" ca="1" si="2"/>
        <v>0</v>
      </c>
      <c r="Q19" s="54">
        <v>250</v>
      </c>
      <c r="R19" s="192">
        <f t="shared" ca="1" si="4"/>
        <v>250</v>
      </c>
      <c r="S19" s="54" t="s">
        <v>150</v>
      </c>
      <c r="T19" s="57"/>
      <c r="U19" s="84"/>
    </row>
    <row r="20" spans="1:21">
      <c r="A20" t="s">
        <v>307</v>
      </c>
      <c r="B20" s="54">
        <f t="shared" ref="B20:M21" ca="1" si="6">SUMIF((INDIRECT("'"&amp;B$2&amp;"'!"&amp;"H:H")),$A20,(INDIRECT("'"&amp;B$2&amp;"'!"&amp;"G:G")))</f>
        <v>0</v>
      </c>
      <c r="C20" s="54">
        <f t="shared" ca="1" si="6"/>
        <v>0</v>
      </c>
      <c r="D20" s="54">
        <f t="shared" ca="1" si="6"/>
        <v>0</v>
      </c>
      <c r="E20" s="54">
        <f t="shared" ca="1" si="6"/>
        <v>0</v>
      </c>
      <c r="F20" s="54">
        <f t="shared" ca="1" si="6"/>
        <v>0</v>
      </c>
      <c r="G20" s="54">
        <f t="shared" ca="1" si="6"/>
        <v>0</v>
      </c>
      <c r="H20" s="54">
        <f t="shared" ca="1" si="6"/>
        <v>0</v>
      </c>
      <c r="I20" s="54">
        <f t="shared" ca="1" si="6"/>
        <v>0</v>
      </c>
      <c r="J20" s="54">
        <f t="shared" ca="1" si="6"/>
        <v>0</v>
      </c>
      <c r="K20" s="54">
        <f t="shared" ca="1" si="6"/>
        <v>0</v>
      </c>
      <c r="L20" s="54">
        <f t="shared" ca="1" si="6"/>
        <v>0</v>
      </c>
      <c r="M20" s="54">
        <f t="shared" ca="1" si="6"/>
        <v>0</v>
      </c>
      <c r="N20" s="429">
        <f ca="1">AVERAGE(B20:M20)</f>
        <v>0</v>
      </c>
      <c r="O20" s="429">
        <f>'ממוצע ורצוי'!N20</f>
        <v>0</v>
      </c>
      <c r="P20" s="54">
        <f t="shared" ca="1" si="2"/>
        <v>0</v>
      </c>
      <c r="Q20" s="54">
        <v>0</v>
      </c>
      <c r="R20" s="192">
        <f t="shared" ca="1" si="4"/>
        <v>0</v>
      </c>
      <c r="S20" s="54"/>
      <c r="T20" s="57"/>
      <c r="U20" s="84"/>
    </row>
    <row r="21" spans="1:21">
      <c r="A21" t="s">
        <v>8</v>
      </c>
      <c r="B21" s="54">
        <f t="shared" ca="1" si="6"/>
        <v>0</v>
      </c>
      <c r="C21" s="54">
        <f t="shared" ca="1" si="6"/>
        <v>0</v>
      </c>
      <c r="D21" s="54">
        <f t="shared" ca="1" si="6"/>
        <v>0</v>
      </c>
      <c r="E21" s="54">
        <f t="shared" ca="1" si="6"/>
        <v>0</v>
      </c>
      <c r="F21" s="54">
        <f t="shared" ca="1" si="6"/>
        <v>0</v>
      </c>
      <c r="G21" s="54">
        <f t="shared" ca="1" si="6"/>
        <v>0</v>
      </c>
      <c r="H21" s="54">
        <f t="shared" ca="1" si="6"/>
        <v>0</v>
      </c>
      <c r="I21" s="54">
        <f t="shared" ca="1" si="6"/>
        <v>0</v>
      </c>
      <c r="J21" s="54">
        <f t="shared" ca="1" si="6"/>
        <v>0</v>
      </c>
      <c r="K21" s="54">
        <f t="shared" ca="1" si="6"/>
        <v>0</v>
      </c>
      <c r="L21" s="54">
        <f t="shared" ca="1" si="6"/>
        <v>0</v>
      </c>
      <c r="M21" s="54">
        <f t="shared" ca="1" si="6"/>
        <v>0</v>
      </c>
      <c r="N21" s="429">
        <f ca="1">AVERAGE(B21:M21)</f>
        <v>0</v>
      </c>
      <c r="O21" s="429">
        <f>'ממוצע ורצוי'!N21</f>
        <v>0</v>
      </c>
      <c r="P21" s="54">
        <f t="shared" ca="1" si="2"/>
        <v>0</v>
      </c>
      <c r="Q21" s="54">
        <v>0</v>
      </c>
      <c r="R21" s="192">
        <f t="shared" ca="1" si="4"/>
        <v>0</v>
      </c>
      <c r="S21" s="54"/>
      <c r="T21" s="57"/>
      <c r="U21" s="84"/>
    </row>
    <row r="22" spans="1:21" ht="13.5" thickBot="1">
      <c r="A22" s="430" t="s">
        <v>254</v>
      </c>
      <c r="B22" s="431">
        <f t="shared" ref="B22:L22" ca="1" si="7">SUM(B3:B21)</f>
        <v>6424.64</v>
      </c>
      <c r="C22" s="431">
        <f t="shared" ca="1" si="7"/>
        <v>9571.23</v>
      </c>
      <c r="D22" s="431">
        <f t="shared" ca="1" si="7"/>
        <v>8169.55</v>
      </c>
      <c r="E22" s="431">
        <f t="shared" ca="1" si="7"/>
        <v>12782.48</v>
      </c>
      <c r="F22" s="431">
        <f t="shared" ca="1" si="7"/>
        <v>13203.96</v>
      </c>
      <c r="G22" s="431">
        <f t="shared" ca="1" si="7"/>
        <v>14253.96</v>
      </c>
      <c r="H22" s="431">
        <f t="shared" ca="1" si="7"/>
        <v>13203.96</v>
      </c>
      <c r="I22" s="431">
        <f t="shared" ca="1" si="7"/>
        <v>14253.96</v>
      </c>
      <c r="J22" s="431">
        <f t="shared" ca="1" si="7"/>
        <v>13203.96</v>
      </c>
      <c r="K22" s="431">
        <f t="shared" ca="1" si="7"/>
        <v>14253.96</v>
      </c>
      <c r="L22" s="431">
        <f t="shared" ca="1" si="7"/>
        <v>13203.96</v>
      </c>
      <c r="M22" s="431">
        <f ca="1">SUM(M3:M21)</f>
        <v>14253.96</v>
      </c>
      <c r="N22" s="432">
        <f ca="1">SUM(N3:N18)</f>
        <v>12231.631666666668</v>
      </c>
      <c r="O22" s="432">
        <f>'ממוצע ורצוי'!N22</f>
        <v>12822</v>
      </c>
      <c r="P22" s="431">
        <f ca="1">SUM(P3:P21)</f>
        <v>11482.967499999999</v>
      </c>
      <c r="Q22" s="431">
        <f>SUM(Q3:Q21)</f>
        <v>9939</v>
      </c>
      <c r="R22" s="433"/>
      <c r="S22" s="431"/>
      <c r="T22" s="432"/>
      <c r="U22" s="84"/>
    </row>
    <row r="23" spans="1:21" ht="13.5" thickBot="1">
      <c r="A23" s="434" t="s">
        <v>305</v>
      </c>
      <c r="B23" s="435">
        <f ca="1">B22-$O22</f>
        <v>-6397.36</v>
      </c>
      <c r="C23" s="435">
        <f t="shared" ref="C23:M23" ca="1" si="8">C22-$O22</f>
        <v>-3250.7700000000004</v>
      </c>
      <c r="D23" s="435">
        <f t="shared" ca="1" si="8"/>
        <v>-4652.45</v>
      </c>
      <c r="E23" s="435">
        <f t="shared" ca="1" si="8"/>
        <v>-39.520000000000437</v>
      </c>
      <c r="F23" s="435">
        <f t="shared" ca="1" si="8"/>
        <v>381.95999999999913</v>
      </c>
      <c r="G23" s="435">
        <f t="shared" ca="1" si="8"/>
        <v>1431.9599999999991</v>
      </c>
      <c r="H23" s="435">
        <f t="shared" ca="1" si="8"/>
        <v>381.95999999999913</v>
      </c>
      <c r="I23" s="435">
        <f t="shared" ca="1" si="8"/>
        <v>1431.9599999999991</v>
      </c>
      <c r="J23" s="435">
        <f t="shared" ca="1" si="8"/>
        <v>381.95999999999913</v>
      </c>
      <c r="K23" s="435">
        <f t="shared" ca="1" si="8"/>
        <v>1431.9599999999991</v>
      </c>
      <c r="L23" s="435">
        <f t="shared" ca="1" si="8"/>
        <v>381.95999999999913</v>
      </c>
      <c r="M23" s="435">
        <f t="shared" ca="1" si="8"/>
        <v>1431.9599999999991</v>
      </c>
      <c r="N23" s="436"/>
      <c r="O23" s="436"/>
      <c r="P23" s="435"/>
      <c r="Q23" s="435"/>
      <c r="R23" s="437"/>
      <c r="S23" s="435"/>
      <c r="T23" s="438"/>
      <c r="U23" s="84"/>
    </row>
    <row r="24" spans="1:21">
      <c r="A24" s="404" t="s">
        <v>89</v>
      </c>
      <c r="B24" s="405"/>
      <c r="C24" s="405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6"/>
      <c r="O24" s="406"/>
      <c r="P24" s="405"/>
      <c r="Q24" s="405"/>
      <c r="R24" s="413"/>
      <c r="S24" s="405"/>
      <c r="T24" s="406"/>
      <c r="U24" s="84"/>
    </row>
    <row r="25" spans="1:21">
      <c r="A25" s="408" t="s">
        <v>67</v>
      </c>
      <c r="B25" s="409">
        <v>1</v>
      </c>
      <c r="C25" s="409">
        <v>2</v>
      </c>
      <c r="D25" s="409">
        <v>3</v>
      </c>
      <c r="E25" s="409">
        <v>4</v>
      </c>
      <c r="F25" s="409">
        <v>5</v>
      </c>
      <c r="G25" s="409">
        <v>6</v>
      </c>
      <c r="H25" s="409">
        <v>7</v>
      </c>
      <c r="I25" s="409">
        <v>8</v>
      </c>
      <c r="J25" s="409">
        <v>9</v>
      </c>
      <c r="K25" s="409">
        <v>10</v>
      </c>
      <c r="L25" s="409">
        <v>11</v>
      </c>
      <c r="M25" s="409">
        <v>12</v>
      </c>
      <c r="N25" s="410" t="s">
        <v>53</v>
      </c>
      <c r="O25" s="416" t="s">
        <v>181</v>
      </c>
      <c r="P25" s="409"/>
      <c r="Q25" s="409"/>
      <c r="R25" s="418"/>
      <c r="S25" s="409"/>
      <c r="T25" s="410"/>
      <c r="U25" s="84"/>
    </row>
    <row r="26" spans="1:21">
      <c r="A26" t="s">
        <v>91</v>
      </c>
      <c r="B26" s="54">
        <f t="shared" ref="B26:M37" ca="1" si="9">SUMIF((INDIRECT("'"&amp;B$2&amp;"'!"&amp;"H:H")),$A26,(INDIRECT("'"&amp;B$2&amp;"'!"&amp;"G:G")))</f>
        <v>7918.380000000001</v>
      </c>
      <c r="C26" s="54">
        <f t="shared" ca="1" si="9"/>
        <v>7716.4000000000005</v>
      </c>
      <c r="D26" s="54">
        <f t="shared" ca="1" si="9"/>
        <v>10737.499999999998</v>
      </c>
      <c r="E26" s="54">
        <f t="shared" ca="1" si="9"/>
        <v>7905.6200000000026</v>
      </c>
      <c r="F26" s="54">
        <f t="shared" ca="1" si="9"/>
        <v>4000</v>
      </c>
      <c r="G26" s="54">
        <f t="shared" ca="1" si="9"/>
        <v>4000</v>
      </c>
      <c r="H26" s="54">
        <f t="shared" ca="1" si="9"/>
        <v>4000</v>
      </c>
      <c r="I26" s="54">
        <f t="shared" ca="1" si="9"/>
        <v>4000</v>
      </c>
      <c r="J26" s="54">
        <f t="shared" ca="1" si="9"/>
        <v>4000</v>
      </c>
      <c r="K26" s="54">
        <f t="shared" ca="1" si="9"/>
        <v>4000</v>
      </c>
      <c r="L26" s="54">
        <f t="shared" ca="1" si="9"/>
        <v>4000</v>
      </c>
      <c r="M26" s="54">
        <f t="shared" ca="1" si="9"/>
        <v>4000</v>
      </c>
      <c r="N26" s="429">
        <f t="shared" ref="N26:N37" ca="1" si="10">AVERAGE(B26:M26)</f>
        <v>5523.1583333333328</v>
      </c>
      <c r="O26" s="429">
        <f>'ממוצע ורצוי'!N26</f>
        <v>6000</v>
      </c>
      <c r="P26" s="54">
        <f t="shared" ref="P26:P37" ca="1" si="11">AVERAGE(B26:I26)</f>
        <v>6284.7375000000002</v>
      </c>
      <c r="Q26" s="439">
        <v>7500</v>
      </c>
      <c r="R26" s="192">
        <f t="shared" ref="R26:R37" ca="1" si="12">Q26-P26</f>
        <v>1215.2624999999998</v>
      </c>
      <c r="S26" s="54" t="s">
        <v>150</v>
      </c>
      <c r="T26" s="57" t="s">
        <v>378</v>
      </c>
      <c r="U26" s="84"/>
    </row>
    <row r="27" spans="1:21">
      <c r="A27" t="s">
        <v>92</v>
      </c>
      <c r="B27" s="54">
        <f t="shared" ca="1" si="9"/>
        <v>0</v>
      </c>
      <c r="C27" s="54">
        <f t="shared" ca="1" si="9"/>
        <v>0</v>
      </c>
      <c r="D27" s="54">
        <f t="shared" ca="1" si="9"/>
        <v>0</v>
      </c>
      <c r="E27" s="54">
        <f t="shared" ca="1" si="9"/>
        <v>0</v>
      </c>
      <c r="F27" s="54">
        <f t="shared" ca="1" si="9"/>
        <v>0</v>
      </c>
      <c r="G27" s="54">
        <f t="shared" ca="1" si="9"/>
        <v>0</v>
      </c>
      <c r="H27" s="54">
        <f t="shared" ca="1" si="9"/>
        <v>0</v>
      </c>
      <c r="I27" s="54">
        <f t="shared" ca="1" si="9"/>
        <v>0</v>
      </c>
      <c r="J27" s="54">
        <f t="shared" ca="1" si="9"/>
        <v>0</v>
      </c>
      <c r="K27" s="54">
        <f t="shared" ca="1" si="9"/>
        <v>0</v>
      </c>
      <c r="L27" s="54">
        <f t="shared" ca="1" si="9"/>
        <v>0</v>
      </c>
      <c r="M27" s="54">
        <f t="shared" ca="1" si="9"/>
        <v>0</v>
      </c>
      <c r="N27" s="429">
        <f t="shared" ca="1" si="10"/>
        <v>0</v>
      </c>
      <c r="O27" s="429">
        <f>'ממוצע ורצוי'!N27</f>
        <v>0</v>
      </c>
      <c r="P27" s="54">
        <f t="shared" ca="1" si="11"/>
        <v>0</v>
      </c>
      <c r="Q27" s="54">
        <v>0</v>
      </c>
      <c r="R27" s="192">
        <f t="shared" ca="1" si="12"/>
        <v>0</v>
      </c>
      <c r="S27" s="54"/>
      <c r="T27" s="57"/>
      <c r="U27" s="84"/>
    </row>
    <row r="28" spans="1:21">
      <c r="A28" t="s">
        <v>93</v>
      </c>
      <c r="B28" s="54">
        <f t="shared" ca="1" si="9"/>
        <v>430</v>
      </c>
      <c r="C28" s="54">
        <f t="shared" ca="1" si="9"/>
        <v>0</v>
      </c>
      <c r="D28" s="54">
        <f t="shared" ca="1" si="9"/>
        <v>0</v>
      </c>
      <c r="E28" s="54">
        <f t="shared" ca="1" si="9"/>
        <v>710</v>
      </c>
      <c r="F28" s="54">
        <f t="shared" ca="1" si="9"/>
        <v>0</v>
      </c>
      <c r="G28" s="54">
        <f t="shared" ca="1" si="9"/>
        <v>0</v>
      </c>
      <c r="H28" s="54">
        <f t="shared" ca="1" si="9"/>
        <v>0</v>
      </c>
      <c r="I28" s="54">
        <f t="shared" ca="1" si="9"/>
        <v>0</v>
      </c>
      <c r="J28" s="54">
        <f t="shared" ca="1" si="9"/>
        <v>0</v>
      </c>
      <c r="K28" s="54">
        <f t="shared" ca="1" si="9"/>
        <v>0</v>
      </c>
      <c r="L28" s="54">
        <f t="shared" ca="1" si="9"/>
        <v>0</v>
      </c>
      <c r="M28" s="54">
        <f t="shared" ca="1" si="9"/>
        <v>0</v>
      </c>
      <c r="N28" s="429">
        <f t="shared" ca="1" si="10"/>
        <v>95</v>
      </c>
      <c r="O28" s="429">
        <f>'ממוצע ורצוי'!N28</f>
        <v>300</v>
      </c>
      <c r="P28" s="54">
        <f t="shared" ca="1" si="11"/>
        <v>142.5</v>
      </c>
      <c r="Q28" s="439">
        <v>450</v>
      </c>
      <c r="R28" s="192">
        <f t="shared" ca="1" si="12"/>
        <v>307.5</v>
      </c>
      <c r="S28" s="54" t="s">
        <v>150</v>
      </c>
      <c r="T28" s="57" t="s">
        <v>378</v>
      </c>
      <c r="U28" s="84"/>
    </row>
    <row r="29" spans="1:21">
      <c r="A29" t="s">
        <v>94</v>
      </c>
      <c r="B29" s="54">
        <f t="shared" ca="1" si="9"/>
        <v>0</v>
      </c>
      <c r="C29" s="54">
        <f t="shared" ca="1" si="9"/>
        <v>0</v>
      </c>
      <c r="D29" s="54">
        <f t="shared" ca="1" si="9"/>
        <v>0</v>
      </c>
      <c r="E29" s="54">
        <f t="shared" ca="1" si="9"/>
        <v>0</v>
      </c>
      <c r="F29" s="54">
        <f t="shared" ca="1" si="9"/>
        <v>0</v>
      </c>
      <c r="G29" s="54">
        <f t="shared" ca="1" si="9"/>
        <v>0</v>
      </c>
      <c r="H29" s="54">
        <f t="shared" ca="1" si="9"/>
        <v>0</v>
      </c>
      <c r="I29" s="54">
        <f t="shared" ca="1" si="9"/>
        <v>0</v>
      </c>
      <c r="J29" s="54">
        <f t="shared" ca="1" si="9"/>
        <v>0</v>
      </c>
      <c r="K29" s="54">
        <f t="shared" ca="1" si="9"/>
        <v>0</v>
      </c>
      <c r="L29" s="54">
        <f t="shared" ca="1" si="9"/>
        <v>0</v>
      </c>
      <c r="M29" s="54">
        <f t="shared" ca="1" si="9"/>
        <v>0</v>
      </c>
      <c r="N29" s="429">
        <f t="shared" ca="1" si="10"/>
        <v>0</v>
      </c>
      <c r="O29" s="429">
        <f>'ממוצע ורצוי'!N29</f>
        <v>0</v>
      </c>
      <c r="P29" s="54">
        <f t="shared" ca="1" si="11"/>
        <v>0</v>
      </c>
      <c r="Q29" s="54">
        <v>0</v>
      </c>
      <c r="R29" s="192">
        <f t="shared" ca="1" si="12"/>
        <v>0</v>
      </c>
      <c r="S29" s="54"/>
      <c r="T29" s="57"/>
      <c r="U29" s="84"/>
    </row>
    <row r="30" spans="1:21">
      <c r="A30" t="s">
        <v>95</v>
      </c>
      <c r="B30" s="54">
        <f t="shared" ca="1" si="9"/>
        <v>1038.5</v>
      </c>
      <c r="C30" s="54">
        <f t="shared" ca="1" si="9"/>
        <v>863.02</v>
      </c>
      <c r="D30" s="54">
        <f t="shared" ca="1" si="9"/>
        <v>1238.7899999999997</v>
      </c>
      <c r="E30" s="54">
        <f t="shared" ca="1" si="9"/>
        <v>654.54999999999995</v>
      </c>
      <c r="F30" s="54">
        <f t="shared" ca="1" si="9"/>
        <v>0</v>
      </c>
      <c r="G30" s="54">
        <f t="shared" ca="1" si="9"/>
        <v>0</v>
      </c>
      <c r="H30" s="54">
        <f t="shared" ca="1" si="9"/>
        <v>0</v>
      </c>
      <c r="I30" s="54">
        <f t="shared" ca="1" si="9"/>
        <v>0</v>
      </c>
      <c r="J30" s="54">
        <f t="shared" ca="1" si="9"/>
        <v>0</v>
      </c>
      <c r="K30" s="54">
        <f t="shared" ca="1" si="9"/>
        <v>0</v>
      </c>
      <c r="L30" s="54">
        <f t="shared" ca="1" si="9"/>
        <v>0</v>
      </c>
      <c r="M30" s="54">
        <f t="shared" ca="1" si="9"/>
        <v>0</v>
      </c>
      <c r="N30" s="429">
        <f t="shared" ca="1" si="10"/>
        <v>316.23833333333329</v>
      </c>
      <c r="O30" s="429">
        <f>'ממוצע ורצוי'!N30</f>
        <v>900</v>
      </c>
      <c r="P30" s="54">
        <f t="shared" ca="1" si="11"/>
        <v>474.35749999999996</v>
      </c>
      <c r="Q30" s="439">
        <v>650</v>
      </c>
      <c r="R30" s="192">
        <f t="shared" ca="1" si="12"/>
        <v>175.64250000000004</v>
      </c>
      <c r="S30" s="54" t="s">
        <v>150</v>
      </c>
      <c r="T30" s="57" t="s">
        <v>378</v>
      </c>
      <c r="U30" s="84"/>
    </row>
    <row r="31" spans="1:21">
      <c r="A31" t="s">
        <v>96</v>
      </c>
      <c r="B31" s="54">
        <f t="shared" ca="1" si="9"/>
        <v>3729.3399999999997</v>
      </c>
      <c r="C31" s="54">
        <f t="shared" ca="1" si="9"/>
        <v>1765.0600000000002</v>
      </c>
      <c r="D31" s="54">
        <f t="shared" ca="1" si="9"/>
        <v>2908.07</v>
      </c>
      <c r="E31" s="54">
        <f t="shared" ca="1" si="9"/>
        <v>1786.5300000000002</v>
      </c>
      <c r="F31" s="54">
        <f t="shared" ca="1" si="9"/>
        <v>0</v>
      </c>
      <c r="G31" s="54">
        <f t="shared" ca="1" si="9"/>
        <v>0</v>
      </c>
      <c r="H31" s="54">
        <f t="shared" ca="1" si="9"/>
        <v>0</v>
      </c>
      <c r="I31" s="54">
        <f t="shared" ca="1" si="9"/>
        <v>0</v>
      </c>
      <c r="J31" s="54">
        <f t="shared" ca="1" si="9"/>
        <v>0</v>
      </c>
      <c r="K31" s="54">
        <f t="shared" ca="1" si="9"/>
        <v>0</v>
      </c>
      <c r="L31" s="54">
        <f t="shared" ca="1" si="9"/>
        <v>0</v>
      </c>
      <c r="M31" s="54">
        <f t="shared" ca="1" si="9"/>
        <v>0</v>
      </c>
      <c r="N31" s="429">
        <f t="shared" ca="1" si="10"/>
        <v>849.08333333333337</v>
      </c>
      <c r="O31" s="429">
        <f>'ממוצע ורצוי'!N31</f>
        <v>1500</v>
      </c>
      <c r="P31" s="54">
        <f t="shared" ca="1" si="11"/>
        <v>1273.625</v>
      </c>
      <c r="Q31" s="439">
        <v>2100</v>
      </c>
      <c r="R31" s="192">
        <f t="shared" ca="1" si="12"/>
        <v>826.375</v>
      </c>
      <c r="S31" s="54" t="s">
        <v>150</v>
      </c>
      <c r="T31" s="57" t="s">
        <v>378</v>
      </c>
      <c r="U31" s="84"/>
    </row>
    <row r="32" spans="1:21">
      <c r="A32" t="s">
        <v>97</v>
      </c>
      <c r="B32" s="54">
        <f t="shared" ca="1" si="9"/>
        <v>0</v>
      </c>
      <c r="C32" s="54">
        <f t="shared" ca="1" si="9"/>
        <v>0</v>
      </c>
      <c r="D32" s="54">
        <f t="shared" ca="1" si="9"/>
        <v>0</v>
      </c>
      <c r="E32" s="54">
        <f t="shared" ca="1" si="9"/>
        <v>0</v>
      </c>
      <c r="F32" s="54">
        <f t="shared" ca="1" si="9"/>
        <v>0</v>
      </c>
      <c r="G32" s="54">
        <f t="shared" ca="1" si="9"/>
        <v>0</v>
      </c>
      <c r="H32" s="54">
        <f t="shared" ca="1" si="9"/>
        <v>0</v>
      </c>
      <c r="I32" s="54">
        <f t="shared" ca="1" si="9"/>
        <v>0</v>
      </c>
      <c r="J32" s="54">
        <f t="shared" ca="1" si="9"/>
        <v>0</v>
      </c>
      <c r="K32" s="54">
        <f t="shared" ca="1" si="9"/>
        <v>0</v>
      </c>
      <c r="L32" s="54">
        <f t="shared" ca="1" si="9"/>
        <v>0</v>
      </c>
      <c r="M32" s="54">
        <f t="shared" ca="1" si="9"/>
        <v>0</v>
      </c>
      <c r="N32" s="429">
        <f ca="1">AVERAGE(B32:M32)</f>
        <v>0</v>
      </c>
      <c r="O32" s="429">
        <f>'ממוצע ורצוי'!N32</f>
        <v>0</v>
      </c>
      <c r="P32" s="54">
        <f t="shared" ca="1" si="11"/>
        <v>0</v>
      </c>
      <c r="Q32" s="54">
        <v>0</v>
      </c>
      <c r="R32" s="192">
        <f t="shared" ca="1" si="12"/>
        <v>0</v>
      </c>
      <c r="S32" s="54"/>
      <c r="T32" s="57"/>
      <c r="U32" s="84"/>
    </row>
    <row r="33" spans="1:21">
      <c r="A33" t="s">
        <v>277</v>
      </c>
      <c r="B33" s="54">
        <f t="shared" ca="1" si="9"/>
        <v>0</v>
      </c>
      <c r="C33" s="54">
        <f t="shared" ca="1" si="9"/>
        <v>0</v>
      </c>
      <c r="D33" s="54">
        <f t="shared" ca="1" si="9"/>
        <v>0</v>
      </c>
      <c r="E33" s="54">
        <f t="shared" ca="1" si="9"/>
        <v>0</v>
      </c>
      <c r="F33" s="54">
        <f t="shared" ca="1" si="9"/>
        <v>0</v>
      </c>
      <c r="G33" s="54">
        <f t="shared" ca="1" si="9"/>
        <v>0</v>
      </c>
      <c r="H33" s="54">
        <f t="shared" ca="1" si="9"/>
        <v>0</v>
      </c>
      <c r="I33" s="54">
        <f t="shared" ca="1" si="9"/>
        <v>0</v>
      </c>
      <c r="J33" s="54">
        <f t="shared" ca="1" si="9"/>
        <v>0</v>
      </c>
      <c r="K33" s="54">
        <f t="shared" ca="1" si="9"/>
        <v>0</v>
      </c>
      <c r="L33" s="54">
        <f t="shared" ca="1" si="9"/>
        <v>0</v>
      </c>
      <c r="M33" s="54">
        <f t="shared" ca="1" si="9"/>
        <v>0</v>
      </c>
      <c r="N33" s="429">
        <f ca="1">AVERAGE(B33:M33)</f>
        <v>0</v>
      </c>
      <c r="O33" s="429">
        <f>'ממוצע ורצוי'!N33</f>
        <v>0</v>
      </c>
      <c r="P33" s="54">
        <f t="shared" ca="1" si="11"/>
        <v>0</v>
      </c>
      <c r="Q33" s="54">
        <v>0</v>
      </c>
      <c r="R33" s="192">
        <f t="shared" ca="1" si="12"/>
        <v>0</v>
      </c>
      <c r="S33" s="54"/>
      <c r="T33" s="57"/>
      <c r="U33" s="84"/>
    </row>
    <row r="34" spans="1:21">
      <c r="A34" t="s">
        <v>279</v>
      </c>
      <c r="B34" s="54">
        <f t="shared" ca="1" si="9"/>
        <v>2322.13</v>
      </c>
      <c r="C34" s="54">
        <f t="shared" ca="1" si="9"/>
        <v>1138.8</v>
      </c>
      <c r="D34" s="54">
        <f t="shared" ca="1" si="9"/>
        <v>2536.8000000000002</v>
      </c>
      <c r="E34" s="54">
        <f t="shared" ca="1" si="9"/>
        <v>300</v>
      </c>
      <c r="F34" s="54">
        <f t="shared" ca="1" si="9"/>
        <v>300</v>
      </c>
      <c r="G34" s="54">
        <f t="shared" ca="1" si="9"/>
        <v>0</v>
      </c>
      <c r="H34" s="54">
        <f t="shared" ca="1" si="9"/>
        <v>0</v>
      </c>
      <c r="I34" s="54">
        <f t="shared" ca="1" si="9"/>
        <v>0</v>
      </c>
      <c r="J34" s="54">
        <f t="shared" ca="1" si="9"/>
        <v>0</v>
      </c>
      <c r="K34" s="54">
        <f t="shared" ca="1" si="9"/>
        <v>0</v>
      </c>
      <c r="L34" s="54">
        <f t="shared" ca="1" si="9"/>
        <v>0</v>
      </c>
      <c r="M34" s="54">
        <f t="shared" ca="1" si="9"/>
        <v>0</v>
      </c>
      <c r="N34" s="429">
        <f ca="1">AVERAGE(B34:M34)</f>
        <v>549.81083333333333</v>
      </c>
      <c r="O34" s="429">
        <f>'ממוצע ורצוי'!N34</f>
        <v>300</v>
      </c>
      <c r="P34" s="54">
        <f t="shared" ca="1" si="11"/>
        <v>824.71625000000006</v>
      </c>
      <c r="Q34" s="439">
        <v>650</v>
      </c>
      <c r="R34" s="192">
        <f ca="1">Q34-P34</f>
        <v>-174.71625000000006</v>
      </c>
      <c r="S34" s="54" t="s">
        <v>150</v>
      </c>
      <c r="T34" s="57" t="s">
        <v>378</v>
      </c>
      <c r="U34" s="84"/>
    </row>
    <row r="35" spans="1:21">
      <c r="A35" t="s">
        <v>275</v>
      </c>
      <c r="B35" s="54">
        <f t="shared" ca="1" si="9"/>
        <v>0</v>
      </c>
      <c r="C35" s="54">
        <f t="shared" ca="1" si="9"/>
        <v>821.2</v>
      </c>
      <c r="D35" s="54">
        <f t="shared" ca="1" si="9"/>
        <v>0</v>
      </c>
      <c r="E35" s="54">
        <f t="shared" ca="1" si="9"/>
        <v>0</v>
      </c>
      <c r="F35" s="54">
        <f t="shared" ca="1" si="9"/>
        <v>0</v>
      </c>
      <c r="G35" s="54">
        <f t="shared" ca="1" si="9"/>
        <v>0</v>
      </c>
      <c r="H35" s="54">
        <f t="shared" ca="1" si="9"/>
        <v>0</v>
      </c>
      <c r="I35" s="54">
        <f t="shared" ca="1" si="9"/>
        <v>0</v>
      </c>
      <c r="J35" s="54">
        <f t="shared" ca="1" si="9"/>
        <v>0</v>
      </c>
      <c r="K35" s="54">
        <f t="shared" ca="1" si="9"/>
        <v>0</v>
      </c>
      <c r="L35" s="54">
        <f t="shared" ca="1" si="9"/>
        <v>0</v>
      </c>
      <c r="M35" s="54">
        <f t="shared" ca="1" si="9"/>
        <v>0</v>
      </c>
      <c r="N35" s="429">
        <f t="shared" ca="1" si="10"/>
        <v>68.433333333333337</v>
      </c>
      <c r="O35" s="429">
        <f>'ממוצע ורצוי'!N35</f>
        <v>0</v>
      </c>
      <c r="P35" s="54">
        <f t="shared" ca="1" si="11"/>
        <v>102.65</v>
      </c>
      <c r="Q35" s="54">
        <v>0</v>
      </c>
      <c r="R35" s="192">
        <f ca="1">Q35-P35</f>
        <v>-102.65</v>
      </c>
      <c r="S35" s="54" t="s">
        <v>150</v>
      </c>
      <c r="T35" s="57"/>
      <c r="U35" s="84"/>
    </row>
    <row r="36" spans="1:21">
      <c r="A36" t="s">
        <v>8</v>
      </c>
      <c r="B36" s="54">
        <f t="shared" ca="1" si="9"/>
        <v>0</v>
      </c>
      <c r="C36" s="54">
        <f t="shared" ca="1" si="9"/>
        <v>0</v>
      </c>
      <c r="D36" s="54">
        <f t="shared" ca="1" si="9"/>
        <v>0</v>
      </c>
      <c r="E36" s="54">
        <f t="shared" ca="1" si="9"/>
        <v>0</v>
      </c>
      <c r="F36" s="54">
        <f t="shared" ca="1" si="9"/>
        <v>0</v>
      </c>
      <c r="G36" s="54">
        <f t="shared" ca="1" si="9"/>
        <v>0</v>
      </c>
      <c r="H36" s="54">
        <f t="shared" ca="1" si="9"/>
        <v>0</v>
      </c>
      <c r="I36" s="54">
        <f t="shared" ca="1" si="9"/>
        <v>0</v>
      </c>
      <c r="J36" s="54">
        <f t="shared" ca="1" si="9"/>
        <v>0</v>
      </c>
      <c r="K36" s="54">
        <f t="shared" ca="1" si="9"/>
        <v>0</v>
      </c>
      <c r="L36" s="54">
        <f t="shared" ca="1" si="9"/>
        <v>0</v>
      </c>
      <c r="M36" s="54">
        <f t="shared" ca="1" si="9"/>
        <v>0</v>
      </c>
      <c r="N36" s="429">
        <f t="shared" ca="1" si="10"/>
        <v>0</v>
      </c>
      <c r="O36" s="429">
        <f>'ממוצע ורצוי'!N36</f>
        <v>0</v>
      </c>
      <c r="P36" s="54">
        <f t="shared" ca="1" si="11"/>
        <v>0</v>
      </c>
      <c r="Q36" s="54">
        <v>0</v>
      </c>
      <c r="R36" s="192">
        <f t="shared" ca="1" si="12"/>
        <v>0</v>
      </c>
      <c r="S36" s="54"/>
      <c r="T36" s="57"/>
      <c r="U36" s="84"/>
    </row>
    <row r="37" spans="1:21">
      <c r="A37" t="s">
        <v>8</v>
      </c>
      <c r="B37" s="54">
        <f t="shared" ca="1" si="9"/>
        <v>0</v>
      </c>
      <c r="C37" s="54">
        <f t="shared" ca="1" si="9"/>
        <v>0</v>
      </c>
      <c r="D37" s="54">
        <f t="shared" ca="1" si="9"/>
        <v>0</v>
      </c>
      <c r="E37" s="54">
        <f t="shared" ca="1" si="9"/>
        <v>0</v>
      </c>
      <c r="F37" s="54">
        <f t="shared" ca="1" si="9"/>
        <v>0</v>
      </c>
      <c r="G37" s="54">
        <f t="shared" ca="1" si="9"/>
        <v>0</v>
      </c>
      <c r="H37" s="54">
        <f t="shared" ca="1" si="9"/>
        <v>0</v>
      </c>
      <c r="I37" s="54">
        <f t="shared" ca="1" si="9"/>
        <v>0</v>
      </c>
      <c r="J37" s="54">
        <f t="shared" ca="1" si="9"/>
        <v>0</v>
      </c>
      <c r="K37" s="54">
        <f t="shared" ca="1" si="9"/>
        <v>0</v>
      </c>
      <c r="L37" s="54">
        <f t="shared" ca="1" si="9"/>
        <v>0</v>
      </c>
      <c r="M37" s="54">
        <f t="shared" ca="1" si="9"/>
        <v>0</v>
      </c>
      <c r="N37" s="429">
        <f t="shared" ca="1" si="10"/>
        <v>0</v>
      </c>
      <c r="O37" s="429">
        <f>'ממוצע ורצוי'!N37</f>
        <v>0</v>
      </c>
      <c r="P37" s="54">
        <f t="shared" ca="1" si="11"/>
        <v>0</v>
      </c>
      <c r="Q37" s="54">
        <v>0</v>
      </c>
      <c r="R37" s="192">
        <f t="shared" ca="1" si="12"/>
        <v>0</v>
      </c>
      <c r="S37" s="54"/>
      <c r="T37" s="57"/>
      <c r="U37" s="84"/>
    </row>
    <row r="38" spans="1:21" ht="13.5" thickBot="1">
      <c r="A38" s="430" t="s">
        <v>255</v>
      </c>
      <c r="B38" s="431">
        <f t="shared" ref="B38:N38" ca="1" si="13">SUM(B26:B37)</f>
        <v>15438.350000000002</v>
      </c>
      <c r="C38" s="431">
        <f t="shared" ca="1" si="13"/>
        <v>12304.48</v>
      </c>
      <c r="D38" s="431">
        <f t="shared" ca="1" si="13"/>
        <v>17421.159999999996</v>
      </c>
      <c r="E38" s="431">
        <f t="shared" ca="1" si="13"/>
        <v>11356.700000000003</v>
      </c>
      <c r="F38" s="431">
        <f t="shared" ca="1" si="13"/>
        <v>4300</v>
      </c>
      <c r="G38" s="431">
        <f ca="1">SUM(G26:G37)</f>
        <v>4000</v>
      </c>
      <c r="H38" s="431">
        <f t="shared" ca="1" si="13"/>
        <v>4000</v>
      </c>
      <c r="I38" s="431">
        <f t="shared" ca="1" si="13"/>
        <v>4000</v>
      </c>
      <c r="J38" s="431">
        <f t="shared" ca="1" si="13"/>
        <v>4000</v>
      </c>
      <c r="K38" s="431">
        <f t="shared" ca="1" si="13"/>
        <v>4000</v>
      </c>
      <c r="L38" s="431">
        <f t="shared" ca="1" si="13"/>
        <v>4000</v>
      </c>
      <c r="M38" s="431">
        <f t="shared" ca="1" si="13"/>
        <v>4000</v>
      </c>
      <c r="N38" s="432">
        <f t="shared" ca="1" si="13"/>
        <v>7401.724166666666</v>
      </c>
      <c r="O38" s="432">
        <f>'ממוצע ורצוי'!N38</f>
        <v>9000</v>
      </c>
      <c r="P38" s="431">
        <f ca="1">SUM(P26:P37)</f>
        <v>9102.5862500000003</v>
      </c>
      <c r="Q38" s="431">
        <f>SUM(Q26:Q37)</f>
        <v>11350</v>
      </c>
      <c r="R38" s="433"/>
      <c r="S38" s="431"/>
      <c r="T38" s="432"/>
      <c r="U38" s="84"/>
    </row>
    <row r="39" spans="1:21" ht="13.5" thickBot="1">
      <c r="A39" s="434" t="s">
        <v>305</v>
      </c>
      <c r="B39" s="435">
        <f t="shared" ref="B39:M39" ca="1" si="14">B38-$O38</f>
        <v>6438.3500000000022</v>
      </c>
      <c r="C39" s="435">
        <f t="shared" ca="1" si="14"/>
        <v>3304.4799999999996</v>
      </c>
      <c r="D39" s="435">
        <f t="shared" ca="1" si="14"/>
        <v>8421.1599999999962</v>
      </c>
      <c r="E39" s="435">
        <f t="shared" ca="1" si="14"/>
        <v>2356.7000000000025</v>
      </c>
      <c r="F39" s="435">
        <f t="shared" ca="1" si="14"/>
        <v>-4700</v>
      </c>
      <c r="G39" s="435">
        <f t="shared" ca="1" si="14"/>
        <v>-5000</v>
      </c>
      <c r="H39" s="435">
        <f t="shared" ca="1" si="14"/>
        <v>-5000</v>
      </c>
      <c r="I39" s="435">
        <f t="shared" ca="1" si="14"/>
        <v>-5000</v>
      </c>
      <c r="J39" s="435">
        <f t="shared" ca="1" si="14"/>
        <v>-5000</v>
      </c>
      <c r="K39" s="435">
        <f t="shared" ca="1" si="14"/>
        <v>-5000</v>
      </c>
      <c r="L39" s="435">
        <f t="shared" ca="1" si="14"/>
        <v>-5000</v>
      </c>
      <c r="M39" s="435">
        <f t="shared" ca="1" si="14"/>
        <v>-5000</v>
      </c>
      <c r="N39" s="436"/>
      <c r="O39" s="436"/>
      <c r="P39" s="435"/>
      <c r="Q39" s="435"/>
      <c r="R39" s="437"/>
      <c r="S39" s="435"/>
      <c r="T39" s="438"/>
      <c r="U39" s="84"/>
    </row>
    <row r="40" spans="1:21">
      <c r="A40" s="404" t="s">
        <v>98</v>
      </c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6"/>
      <c r="O40" s="406"/>
      <c r="P40" s="405"/>
      <c r="Q40" s="405"/>
      <c r="R40" s="413"/>
      <c r="S40" s="405"/>
      <c r="T40" s="406"/>
      <c r="U40" s="84"/>
    </row>
    <row r="41" spans="1:21">
      <c r="A41" s="408" t="s">
        <v>67</v>
      </c>
      <c r="B41" s="409">
        <v>1</v>
      </c>
      <c r="C41" s="409">
        <v>2</v>
      </c>
      <c r="D41" s="409">
        <v>3</v>
      </c>
      <c r="E41" s="409">
        <v>4</v>
      </c>
      <c r="F41" s="409">
        <v>5</v>
      </c>
      <c r="G41" s="409">
        <v>6</v>
      </c>
      <c r="H41" s="409">
        <v>7</v>
      </c>
      <c r="I41" s="409">
        <v>8</v>
      </c>
      <c r="J41" s="409">
        <v>9</v>
      </c>
      <c r="K41" s="409">
        <v>10</v>
      </c>
      <c r="L41" s="409">
        <v>11</v>
      </c>
      <c r="M41" s="409">
        <v>12</v>
      </c>
      <c r="N41" s="410" t="s">
        <v>53</v>
      </c>
      <c r="O41" s="416" t="s">
        <v>181</v>
      </c>
      <c r="P41" s="409"/>
      <c r="Q41" s="409"/>
      <c r="R41" s="418"/>
      <c r="S41" s="409"/>
      <c r="T41" s="410"/>
      <c r="U41" s="84"/>
    </row>
    <row r="42" spans="1:21">
      <c r="A42" t="s">
        <v>99</v>
      </c>
      <c r="B42" s="54">
        <f t="shared" ref="B42:M53" ca="1" si="15">SUMIF((INDIRECT("'"&amp;B$2&amp;"'!"&amp;"H:H")),$A42,(INDIRECT("'"&amp;B$2&amp;"'!"&amp;"G:G")))</f>
        <v>1299.8699999999999</v>
      </c>
      <c r="C42" s="54">
        <f t="shared" ca="1" si="15"/>
        <v>1317.02</v>
      </c>
      <c r="D42" s="54">
        <f t="shared" ca="1" si="15"/>
        <v>428.76</v>
      </c>
      <c r="E42" s="54">
        <f t="shared" ca="1" si="15"/>
        <v>1343.7800000000002</v>
      </c>
      <c r="F42" s="54">
        <f t="shared" ca="1" si="15"/>
        <v>0</v>
      </c>
      <c r="G42" s="54">
        <f t="shared" ca="1" si="15"/>
        <v>0</v>
      </c>
      <c r="H42" s="54">
        <f t="shared" ca="1" si="15"/>
        <v>0</v>
      </c>
      <c r="I42" s="54">
        <f t="shared" ca="1" si="15"/>
        <v>0</v>
      </c>
      <c r="J42" s="54">
        <f t="shared" ca="1" si="15"/>
        <v>0</v>
      </c>
      <c r="K42" s="54">
        <f t="shared" ca="1" si="15"/>
        <v>0</v>
      </c>
      <c r="L42" s="54">
        <f t="shared" ca="1" si="15"/>
        <v>0</v>
      </c>
      <c r="M42" s="54">
        <f t="shared" ca="1" si="15"/>
        <v>0</v>
      </c>
      <c r="N42" s="429">
        <f t="shared" ref="N42:N53" ca="1" si="16">AVERAGE(B42:M42)</f>
        <v>365.78583333333336</v>
      </c>
      <c r="O42" s="429">
        <f>'ממוצע ורצוי'!N42</f>
        <v>1400</v>
      </c>
      <c r="P42" s="54">
        <f t="shared" ref="P42:P53" ca="1" si="17">AVERAGE(B42:I42)</f>
        <v>548.67875000000004</v>
      </c>
      <c r="Q42" s="54">
        <v>1300</v>
      </c>
      <c r="R42" s="192">
        <f t="shared" ref="R42:R53" ca="1" si="18">Q42-P42</f>
        <v>751.32124999999996</v>
      </c>
      <c r="S42" s="54" t="s">
        <v>150</v>
      </c>
      <c r="T42" s="57"/>
      <c r="U42" s="84"/>
    </row>
    <row r="43" spans="1:21">
      <c r="A43" t="s">
        <v>100</v>
      </c>
      <c r="B43" s="54">
        <f t="shared" ca="1" si="15"/>
        <v>0</v>
      </c>
      <c r="C43" s="54">
        <f t="shared" ca="1" si="15"/>
        <v>0</v>
      </c>
      <c r="D43" s="54">
        <f t="shared" ca="1" si="15"/>
        <v>0</v>
      </c>
      <c r="E43" s="54">
        <f t="shared" ca="1" si="15"/>
        <v>600</v>
      </c>
      <c r="F43" s="54">
        <f t="shared" ca="1" si="15"/>
        <v>600</v>
      </c>
      <c r="G43" s="54">
        <f t="shared" ca="1" si="15"/>
        <v>0</v>
      </c>
      <c r="H43" s="54">
        <f t="shared" ca="1" si="15"/>
        <v>0</v>
      </c>
      <c r="I43" s="54">
        <f t="shared" ca="1" si="15"/>
        <v>0</v>
      </c>
      <c r="J43" s="54">
        <f t="shared" ca="1" si="15"/>
        <v>0</v>
      </c>
      <c r="K43" s="54">
        <f t="shared" ca="1" si="15"/>
        <v>0</v>
      </c>
      <c r="L43" s="54">
        <f t="shared" ca="1" si="15"/>
        <v>0</v>
      </c>
      <c r="M43" s="54">
        <f t="shared" ca="1" si="15"/>
        <v>0</v>
      </c>
      <c r="N43" s="429">
        <f t="shared" ca="1" si="16"/>
        <v>100</v>
      </c>
      <c r="O43" s="429">
        <f>'ממוצע ורצוי'!N43</f>
        <v>200</v>
      </c>
      <c r="P43" s="54">
        <f t="shared" ca="1" si="17"/>
        <v>150</v>
      </c>
      <c r="Q43" s="54">
        <v>500</v>
      </c>
      <c r="R43" s="192">
        <f t="shared" ca="1" si="18"/>
        <v>350</v>
      </c>
      <c r="S43" s="54" t="s">
        <v>150</v>
      </c>
      <c r="T43" s="57"/>
      <c r="U43" s="84"/>
    </row>
    <row r="44" spans="1:21">
      <c r="A44" t="s">
        <v>101</v>
      </c>
      <c r="B44" s="54">
        <f t="shared" ca="1" si="15"/>
        <v>0</v>
      </c>
      <c r="C44" s="54">
        <f t="shared" ca="1" si="15"/>
        <v>0</v>
      </c>
      <c r="D44" s="54">
        <f t="shared" ca="1" si="15"/>
        <v>0</v>
      </c>
      <c r="E44" s="54">
        <f t="shared" ca="1" si="15"/>
        <v>0</v>
      </c>
      <c r="F44" s="54">
        <f t="shared" ca="1" si="15"/>
        <v>0</v>
      </c>
      <c r="G44" s="54">
        <f t="shared" ca="1" si="15"/>
        <v>0</v>
      </c>
      <c r="H44" s="54">
        <f t="shared" ca="1" si="15"/>
        <v>0</v>
      </c>
      <c r="I44" s="54">
        <f t="shared" ca="1" si="15"/>
        <v>1187</v>
      </c>
      <c r="J44" s="54">
        <f t="shared" ca="1" si="15"/>
        <v>0</v>
      </c>
      <c r="K44" s="54">
        <f t="shared" ca="1" si="15"/>
        <v>0</v>
      </c>
      <c r="L44" s="54">
        <f t="shared" ca="1" si="15"/>
        <v>1588</v>
      </c>
      <c r="M44" s="54">
        <f t="shared" ca="1" si="15"/>
        <v>0</v>
      </c>
      <c r="N44" s="429">
        <f ca="1">AVERAGE(B44:M44)</f>
        <v>231.25</v>
      </c>
      <c r="O44" s="429">
        <f>'ממוצע ורצוי'!N44</f>
        <v>300</v>
      </c>
      <c r="P44" s="54">
        <f t="shared" ca="1" si="17"/>
        <v>148.375</v>
      </c>
      <c r="Q44" s="54">
        <v>300</v>
      </c>
      <c r="R44" s="192">
        <f t="shared" ca="1" si="18"/>
        <v>151.625</v>
      </c>
      <c r="S44" s="54" t="s">
        <v>150</v>
      </c>
      <c r="T44" s="57"/>
      <c r="U44" s="84"/>
    </row>
    <row r="45" spans="1:21">
      <c r="A45" t="s">
        <v>102</v>
      </c>
      <c r="B45" s="54">
        <f t="shared" ca="1" si="15"/>
        <v>0</v>
      </c>
      <c r="C45" s="54">
        <f t="shared" ca="1" si="15"/>
        <v>0</v>
      </c>
      <c r="D45" s="54">
        <f t="shared" ca="1" si="15"/>
        <v>1184.75</v>
      </c>
      <c r="E45" s="54">
        <f t="shared" ca="1" si="15"/>
        <v>1187.58</v>
      </c>
      <c r="F45" s="54">
        <f t="shared" ca="1" si="15"/>
        <v>1184.75</v>
      </c>
      <c r="G45" s="54">
        <f t="shared" ca="1" si="15"/>
        <v>1184.75</v>
      </c>
      <c r="H45" s="54">
        <f t="shared" ca="1" si="15"/>
        <v>0</v>
      </c>
      <c r="I45" s="54">
        <f t="shared" ca="1" si="15"/>
        <v>0</v>
      </c>
      <c r="J45" s="54">
        <f t="shared" ca="1" si="15"/>
        <v>0</v>
      </c>
      <c r="K45" s="54">
        <f t="shared" ca="1" si="15"/>
        <v>4147</v>
      </c>
      <c r="L45" s="54">
        <f t="shared" ca="1" si="15"/>
        <v>0</v>
      </c>
      <c r="M45" s="54">
        <f t="shared" ca="1" si="15"/>
        <v>0</v>
      </c>
      <c r="N45" s="429">
        <f ca="1">AVERAGE(B45:M45)</f>
        <v>740.73583333333329</v>
      </c>
      <c r="O45" s="429">
        <f>'ממוצע ורצוי'!N45</f>
        <v>710</v>
      </c>
      <c r="P45" s="54">
        <f t="shared" ca="1" si="17"/>
        <v>592.72874999999999</v>
      </c>
      <c r="Q45" s="54">
        <v>720</v>
      </c>
      <c r="R45" s="192">
        <f t="shared" ca="1" si="18"/>
        <v>127.27125000000001</v>
      </c>
      <c r="S45" s="54" t="s">
        <v>156</v>
      </c>
      <c r="T45" s="57"/>
      <c r="U45" s="84"/>
    </row>
    <row r="46" spans="1:21">
      <c r="A46" t="s">
        <v>103</v>
      </c>
      <c r="B46" s="54">
        <f t="shared" ca="1" si="15"/>
        <v>410.25</v>
      </c>
      <c r="C46" s="54">
        <f t="shared" ca="1" si="15"/>
        <v>544.87</v>
      </c>
      <c r="D46" s="54">
        <f t="shared" ca="1" si="15"/>
        <v>70.400000000000006</v>
      </c>
      <c r="E46" s="54">
        <f t="shared" ca="1" si="15"/>
        <v>229.18</v>
      </c>
      <c r="F46" s="54">
        <f t="shared" ca="1" si="15"/>
        <v>0</v>
      </c>
      <c r="G46" s="54">
        <f t="shared" ca="1" si="15"/>
        <v>0</v>
      </c>
      <c r="H46" s="54">
        <f t="shared" ca="1" si="15"/>
        <v>0</v>
      </c>
      <c r="I46" s="54">
        <f t="shared" ca="1" si="15"/>
        <v>0</v>
      </c>
      <c r="J46" s="54">
        <f t="shared" ca="1" si="15"/>
        <v>0</v>
      </c>
      <c r="K46" s="54">
        <f t="shared" ca="1" si="15"/>
        <v>0</v>
      </c>
      <c r="L46" s="54">
        <f t="shared" ca="1" si="15"/>
        <v>0</v>
      </c>
      <c r="M46" s="54">
        <f t="shared" ca="1" si="15"/>
        <v>0</v>
      </c>
      <c r="N46" s="429">
        <f ca="1">AVERAGE(B46:M46)</f>
        <v>104.55833333333334</v>
      </c>
      <c r="O46" s="429">
        <f>'ממוצע ורצוי'!N46</f>
        <v>500</v>
      </c>
      <c r="P46" s="54">
        <f t="shared" ca="1" si="17"/>
        <v>156.83750000000001</v>
      </c>
      <c r="Q46" s="54">
        <v>410</v>
      </c>
      <c r="R46" s="192">
        <f t="shared" ca="1" si="18"/>
        <v>253.16249999999999</v>
      </c>
      <c r="S46" s="54" t="s">
        <v>150</v>
      </c>
      <c r="T46" s="57"/>
      <c r="U46" s="84"/>
    </row>
    <row r="47" spans="1:21">
      <c r="A47" t="s">
        <v>138</v>
      </c>
      <c r="B47" s="54">
        <f t="shared" ca="1" si="15"/>
        <v>245.06</v>
      </c>
      <c r="C47" s="54">
        <f t="shared" ca="1" si="15"/>
        <v>93.800000000000011</v>
      </c>
      <c r="D47" s="54">
        <f t="shared" ca="1" si="15"/>
        <v>0</v>
      </c>
      <c r="E47" s="54">
        <f t="shared" ca="1" si="15"/>
        <v>62.1</v>
      </c>
      <c r="F47" s="54">
        <f t="shared" ca="1" si="15"/>
        <v>0</v>
      </c>
      <c r="G47" s="54">
        <f t="shared" ca="1" si="15"/>
        <v>0</v>
      </c>
      <c r="H47" s="54">
        <f t="shared" ca="1" si="15"/>
        <v>0</v>
      </c>
      <c r="I47" s="54">
        <f t="shared" ca="1" si="15"/>
        <v>0</v>
      </c>
      <c r="J47" s="54">
        <f t="shared" ca="1" si="15"/>
        <v>0</v>
      </c>
      <c r="K47" s="54">
        <f t="shared" ca="1" si="15"/>
        <v>0</v>
      </c>
      <c r="L47" s="54">
        <f t="shared" ca="1" si="15"/>
        <v>0</v>
      </c>
      <c r="M47" s="54">
        <f t="shared" ca="1" si="15"/>
        <v>0</v>
      </c>
      <c r="N47" s="429">
        <f ca="1">AVERAGE(B47:M47)</f>
        <v>33.413333333333334</v>
      </c>
      <c r="O47" s="429">
        <f>'ממוצע ורצוי'!N47</f>
        <v>30</v>
      </c>
      <c r="P47" s="54">
        <f t="shared" ca="1" si="17"/>
        <v>50.120000000000005</v>
      </c>
      <c r="Q47" s="54">
        <v>0</v>
      </c>
      <c r="R47" s="192">
        <f t="shared" ca="1" si="18"/>
        <v>-50.120000000000005</v>
      </c>
      <c r="S47" s="54"/>
      <c r="T47" s="57"/>
      <c r="U47" s="84"/>
    </row>
    <row r="48" spans="1:21">
      <c r="A48" t="s">
        <v>104</v>
      </c>
      <c r="B48" s="54">
        <f t="shared" ca="1" si="15"/>
        <v>0</v>
      </c>
      <c r="C48" s="54">
        <f t="shared" ca="1" si="15"/>
        <v>0</v>
      </c>
      <c r="D48" s="54">
        <f t="shared" ca="1" si="15"/>
        <v>0</v>
      </c>
      <c r="E48" s="54">
        <f t="shared" ca="1" si="15"/>
        <v>0</v>
      </c>
      <c r="F48" s="54">
        <f t="shared" ca="1" si="15"/>
        <v>0</v>
      </c>
      <c r="G48" s="54">
        <f t="shared" ca="1" si="15"/>
        <v>0</v>
      </c>
      <c r="H48" s="54">
        <f t="shared" ca="1" si="15"/>
        <v>0</v>
      </c>
      <c r="I48" s="54">
        <f t="shared" ca="1" si="15"/>
        <v>0</v>
      </c>
      <c r="J48" s="54">
        <f t="shared" ca="1" si="15"/>
        <v>0</v>
      </c>
      <c r="K48" s="54">
        <f t="shared" ca="1" si="15"/>
        <v>0</v>
      </c>
      <c r="L48" s="54">
        <f t="shared" ca="1" si="15"/>
        <v>0</v>
      </c>
      <c r="M48" s="54">
        <f t="shared" ca="1" si="15"/>
        <v>0</v>
      </c>
      <c r="N48" s="429">
        <f ca="1">AVERAGE(B48:M48)</f>
        <v>0</v>
      </c>
      <c r="O48" s="429">
        <f>'ממוצע ורצוי'!N48</f>
        <v>100</v>
      </c>
      <c r="P48" s="54">
        <f t="shared" ca="1" si="17"/>
        <v>0</v>
      </c>
      <c r="Q48" s="54">
        <v>0</v>
      </c>
      <c r="R48" s="192">
        <f t="shared" ca="1" si="18"/>
        <v>0</v>
      </c>
      <c r="S48" s="54"/>
      <c r="T48" s="57"/>
      <c r="U48" s="84"/>
    </row>
    <row r="49" spans="1:21">
      <c r="A49" t="s">
        <v>278</v>
      </c>
      <c r="B49" s="54">
        <f t="shared" ca="1" si="15"/>
        <v>0</v>
      </c>
      <c r="C49" s="54">
        <f t="shared" ca="1" si="15"/>
        <v>0</v>
      </c>
      <c r="D49" s="54">
        <f t="shared" ca="1" si="15"/>
        <v>0</v>
      </c>
      <c r="E49" s="54">
        <f t="shared" ca="1" si="15"/>
        <v>600</v>
      </c>
      <c r="F49" s="54">
        <f t="shared" ca="1" si="15"/>
        <v>0</v>
      </c>
      <c r="G49" s="54">
        <f t="shared" ca="1" si="15"/>
        <v>0</v>
      </c>
      <c r="H49" s="54">
        <f t="shared" ca="1" si="15"/>
        <v>0</v>
      </c>
      <c r="I49" s="54">
        <f t="shared" ca="1" si="15"/>
        <v>0</v>
      </c>
      <c r="J49" s="54">
        <f t="shared" ca="1" si="15"/>
        <v>0</v>
      </c>
      <c r="K49" s="54">
        <f t="shared" ca="1" si="15"/>
        <v>0</v>
      </c>
      <c r="L49" s="54">
        <f t="shared" ca="1" si="15"/>
        <v>0</v>
      </c>
      <c r="M49" s="54">
        <f t="shared" ca="1" si="15"/>
        <v>0</v>
      </c>
      <c r="N49" s="429">
        <f t="shared" ca="1" si="16"/>
        <v>50</v>
      </c>
      <c r="O49" s="429">
        <f>'ממוצע ורצוי'!N49</f>
        <v>0</v>
      </c>
      <c r="P49" s="54">
        <f t="shared" ca="1" si="17"/>
        <v>75</v>
      </c>
      <c r="Q49" s="54">
        <v>0</v>
      </c>
      <c r="R49" s="192">
        <f t="shared" ca="1" si="18"/>
        <v>-75</v>
      </c>
      <c r="S49" s="54"/>
      <c r="T49" s="57"/>
      <c r="U49" s="84"/>
    </row>
    <row r="50" spans="1:21">
      <c r="A50" t="s">
        <v>280</v>
      </c>
      <c r="B50" s="54">
        <f t="shared" ca="1" si="15"/>
        <v>0</v>
      </c>
      <c r="C50" s="54">
        <f t="shared" ca="1" si="15"/>
        <v>0</v>
      </c>
      <c r="D50" s="54">
        <f t="shared" ca="1" si="15"/>
        <v>0</v>
      </c>
      <c r="E50" s="54">
        <f t="shared" ca="1" si="15"/>
        <v>0</v>
      </c>
      <c r="F50" s="54">
        <f t="shared" ca="1" si="15"/>
        <v>0</v>
      </c>
      <c r="G50" s="54">
        <f t="shared" ca="1" si="15"/>
        <v>0</v>
      </c>
      <c r="H50" s="54">
        <f t="shared" ca="1" si="15"/>
        <v>0</v>
      </c>
      <c r="I50" s="54">
        <f t="shared" ca="1" si="15"/>
        <v>0</v>
      </c>
      <c r="J50" s="54">
        <f t="shared" ca="1" si="15"/>
        <v>0</v>
      </c>
      <c r="K50" s="54">
        <f t="shared" ca="1" si="15"/>
        <v>0</v>
      </c>
      <c r="L50" s="54">
        <f t="shared" ca="1" si="15"/>
        <v>0</v>
      </c>
      <c r="M50" s="54">
        <f t="shared" ca="1" si="15"/>
        <v>0</v>
      </c>
      <c r="N50" s="429">
        <f t="shared" ca="1" si="16"/>
        <v>0</v>
      </c>
      <c r="O50" s="429">
        <f>'ממוצע ורצוי'!N50</f>
        <v>0</v>
      </c>
      <c r="P50" s="54">
        <f t="shared" ca="1" si="17"/>
        <v>0</v>
      </c>
      <c r="Q50" s="54">
        <v>0</v>
      </c>
      <c r="R50" s="192">
        <f t="shared" ca="1" si="18"/>
        <v>0</v>
      </c>
      <c r="S50" s="54"/>
      <c r="T50" s="57"/>
      <c r="U50" s="84"/>
    </row>
    <row r="51" spans="1:21">
      <c r="A51" t="s">
        <v>281</v>
      </c>
      <c r="B51" s="54">
        <f t="shared" ca="1" si="15"/>
        <v>25.36</v>
      </c>
      <c r="C51" s="54">
        <f t="shared" ca="1" si="15"/>
        <v>47</v>
      </c>
      <c r="D51" s="54">
        <f t="shared" ca="1" si="15"/>
        <v>0</v>
      </c>
      <c r="E51" s="54">
        <f t="shared" ca="1" si="15"/>
        <v>0</v>
      </c>
      <c r="F51" s="54">
        <f t="shared" ca="1" si="15"/>
        <v>0</v>
      </c>
      <c r="G51" s="54">
        <f t="shared" ca="1" si="15"/>
        <v>0</v>
      </c>
      <c r="H51" s="54">
        <f t="shared" ca="1" si="15"/>
        <v>0</v>
      </c>
      <c r="I51" s="54">
        <f t="shared" ca="1" si="15"/>
        <v>0</v>
      </c>
      <c r="J51" s="54">
        <f t="shared" ca="1" si="15"/>
        <v>0</v>
      </c>
      <c r="K51" s="54">
        <f t="shared" ca="1" si="15"/>
        <v>0</v>
      </c>
      <c r="L51" s="54">
        <f t="shared" ca="1" si="15"/>
        <v>0</v>
      </c>
      <c r="M51" s="54">
        <f t="shared" ca="1" si="15"/>
        <v>0</v>
      </c>
      <c r="N51" s="429">
        <f t="shared" ca="1" si="16"/>
        <v>6.03</v>
      </c>
      <c r="O51" s="429">
        <f>'ממוצע ורצוי'!N51</f>
        <v>0</v>
      </c>
      <c r="P51" s="54">
        <f t="shared" ca="1" si="17"/>
        <v>9.0449999999999999</v>
      </c>
      <c r="Q51" s="54">
        <v>0</v>
      </c>
      <c r="R51" s="192">
        <f t="shared" ca="1" si="18"/>
        <v>-9.0449999999999999</v>
      </c>
      <c r="S51" s="54"/>
      <c r="T51" s="57"/>
      <c r="U51" s="84"/>
    </row>
    <row r="52" spans="1:21">
      <c r="A52" t="s">
        <v>310</v>
      </c>
      <c r="B52" s="54">
        <f t="shared" ca="1" si="15"/>
        <v>0</v>
      </c>
      <c r="C52" s="54">
        <f t="shared" ca="1" si="15"/>
        <v>0</v>
      </c>
      <c r="D52" s="54">
        <f t="shared" ca="1" si="15"/>
        <v>0</v>
      </c>
      <c r="E52" s="54">
        <f t="shared" ca="1" si="15"/>
        <v>0</v>
      </c>
      <c r="F52" s="54">
        <f t="shared" ca="1" si="15"/>
        <v>0</v>
      </c>
      <c r="G52" s="54">
        <f t="shared" ca="1" si="15"/>
        <v>0</v>
      </c>
      <c r="H52" s="54">
        <f t="shared" ca="1" si="15"/>
        <v>0</v>
      </c>
      <c r="I52" s="54">
        <f t="shared" ca="1" si="15"/>
        <v>0</v>
      </c>
      <c r="J52" s="54">
        <f t="shared" ca="1" si="15"/>
        <v>0</v>
      </c>
      <c r="K52" s="54">
        <f t="shared" ca="1" si="15"/>
        <v>0</v>
      </c>
      <c r="L52" s="54">
        <f t="shared" ca="1" si="15"/>
        <v>0</v>
      </c>
      <c r="M52" s="54">
        <f t="shared" ca="1" si="15"/>
        <v>0</v>
      </c>
      <c r="N52" s="429">
        <f ca="1">AVERAGE(B52:M52)</f>
        <v>0</v>
      </c>
      <c r="O52" s="429">
        <f>'ממוצע ורצוי'!N52</f>
        <v>0</v>
      </c>
      <c r="P52" s="54">
        <f t="shared" ca="1" si="17"/>
        <v>0</v>
      </c>
      <c r="Q52" s="54">
        <v>20</v>
      </c>
      <c r="R52" s="192">
        <f t="shared" ca="1" si="18"/>
        <v>20</v>
      </c>
      <c r="S52" s="54" t="s">
        <v>150</v>
      </c>
      <c r="T52" s="57"/>
      <c r="U52" s="84"/>
    </row>
    <row r="53" spans="1:21">
      <c r="A53" t="s">
        <v>8</v>
      </c>
      <c r="B53" s="54">
        <f t="shared" ca="1" si="15"/>
        <v>0</v>
      </c>
      <c r="C53" s="54">
        <f t="shared" ca="1" si="15"/>
        <v>0</v>
      </c>
      <c r="D53" s="54">
        <f t="shared" ca="1" si="15"/>
        <v>0</v>
      </c>
      <c r="E53" s="54">
        <f t="shared" ca="1" si="15"/>
        <v>0</v>
      </c>
      <c r="F53" s="54">
        <f t="shared" ca="1" si="15"/>
        <v>0</v>
      </c>
      <c r="G53" s="54">
        <f t="shared" ca="1" si="15"/>
        <v>0</v>
      </c>
      <c r="H53" s="54">
        <f t="shared" ca="1" si="15"/>
        <v>0</v>
      </c>
      <c r="I53" s="54">
        <f t="shared" ca="1" si="15"/>
        <v>0</v>
      </c>
      <c r="J53" s="54">
        <f t="shared" ca="1" si="15"/>
        <v>0</v>
      </c>
      <c r="K53" s="54">
        <f t="shared" ca="1" si="15"/>
        <v>0</v>
      </c>
      <c r="L53" s="54">
        <f t="shared" ca="1" si="15"/>
        <v>0</v>
      </c>
      <c r="M53" s="54">
        <f t="shared" ca="1" si="15"/>
        <v>0</v>
      </c>
      <c r="N53" s="429">
        <f t="shared" ca="1" si="16"/>
        <v>0</v>
      </c>
      <c r="O53" s="429">
        <f>'ממוצע ורצוי'!N53</f>
        <v>0</v>
      </c>
      <c r="P53" s="54">
        <f t="shared" ca="1" si="17"/>
        <v>0</v>
      </c>
      <c r="Q53" s="54">
        <v>0</v>
      </c>
      <c r="R53" s="192">
        <f t="shared" ca="1" si="18"/>
        <v>0</v>
      </c>
      <c r="S53" s="54"/>
      <c r="T53" s="57"/>
      <c r="U53" s="84"/>
    </row>
    <row r="54" spans="1:21" ht="13.5" thickBot="1">
      <c r="A54" s="440" t="s">
        <v>256</v>
      </c>
      <c r="B54" s="431">
        <f t="shared" ref="B54:N54" ca="1" si="19">SUM(B42:B53)</f>
        <v>1980.5399999999997</v>
      </c>
      <c r="C54" s="431">
        <f t="shared" ca="1" si="19"/>
        <v>2002.6899999999998</v>
      </c>
      <c r="D54" s="431">
        <f t="shared" ca="1" si="19"/>
        <v>1683.91</v>
      </c>
      <c r="E54" s="431">
        <f t="shared" ca="1" si="19"/>
        <v>4022.64</v>
      </c>
      <c r="F54" s="431">
        <f t="shared" ca="1" si="19"/>
        <v>1784.75</v>
      </c>
      <c r="G54" s="431">
        <f t="shared" ca="1" si="19"/>
        <v>1184.75</v>
      </c>
      <c r="H54" s="431">
        <f t="shared" ca="1" si="19"/>
        <v>0</v>
      </c>
      <c r="I54" s="431">
        <f t="shared" ca="1" si="19"/>
        <v>1187</v>
      </c>
      <c r="J54" s="431">
        <f t="shared" ca="1" si="19"/>
        <v>0</v>
      </c>
      <c r="K54" s="431">
        <f t="shared" ca="1" si="19"/>
        <v>4147</v>
      </c>
      <c r="L54" s="431">
        <f t="shared" ca="1" si="19"/>
        <v>1588</v>
      </c>
      <c r="M54" s="431">
        <f t="shared" ca="1" si="19"/>
        <v>0</v>
      </c>
      <c r="N54" s="441">
        <f t="shared" ca="1" si="19"/>
        <v>1631.7733333333333</v>
      </c>
      <c r="O54" s="441">
        <f>'ממוצע ורצוי'!N54</f>
        <v>3240</v>
      </c>
      <c r="P54" s="431">
        <f ca="1">SUM(P42:P53)</f>
        <v>1730.7850000000003</v>
      </c>
      <c r="Q54" s="431">
        <f>SUM(Q42:Q53)</f>
        <v>3250</v>
      </c>
      <c r="R54" s="433"/>
      <c r="S54" s="431"/>
      <c r="T54" s="432"/>
      <c r="U54" s="84"/>
    </row>
    <row r="55" spans="1:21" ht="13.5" thickBot="1">
      <c r="A55" s="434" t="s">
        <v>305</v>
      </c>
      <c r="B55" s="435">
        <f t="shared" ref="B55:M55" ca="1" si="20">B54-$O54</f>
        <v>-1259.4600000000003</v>
      </c>
      <c r="C55" s="435">
        <f t="shared" ca="1" si="20"/>
        <v>-1237.3100000000002</v>
      </c>
      <c r="D55" s="435">
        <f t="shared" ca="1" si="20"/>
        <v>-1556.09</v>
      </c>
      <c r="E55" s="435">
        <f t="shared" ca="1" si="20"/>
        <v>782.63999999999987</v>
      </c>
      <c r="F55" s="435">
        <f t="shared" ca="1" si="20"/>
        <v>-1455.25</v>
      </c>
      <c r="G55" s="435">
        <f t="shared" ca="1" si="20"/>
        <v>-2055.25</v>
      </c>
      <c r="H55" s="435">
        <f t="shared" ca="1" si="20"/>
        <v>-3240</v>
      </c>
      <c r="I55" s="435">
        <f t="shared" ca="1" si="20"/>
        <v>-2053</v>
      </c>
      <c r="J55" s="435">
        <f t="shared" ca="1" si="20"/>
        <v>-3240</v>
      </c>
      <c r="K55" s="435">
        <f t="shared" ca="1" si="20"/>
        <v>907</v>
      </c>
      <c r="L55" s="435">
        <f t="shared" ca="1" si="20"/>
        <v>-1652</v>
      </c>
      <c r="M55" s="435">
        <f t="shared" ca="1" si="20"/>
        <v>-3240</v>
      </c>
      <c r="N55" s="436"/>
      <c r="O55" s="436"/>
      <c r="P55" s="435"/>
      <c r="Q55" s="435"/>
      <c r="R55" s="437"/>
      <c r="S55" s="435"/>
      <c r="T55" s="438"/>
      <c r="U55" s="84"/>
    </row>
    <row r="56" spans="1:21">
      <c r="A56" s="404" t="s">
        <v>105</v>
      </c>
      <c r="B56" s="405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6"/>
      <c r="O56" s="406"/>
      <c r="P56" s="405"/>
      <c r="Q56" s="405"/>
      <c r="R56" s="413"/>
      <c r="S56" s="405"/>
      <c r="T56" s="406"/>
      <c r="U56" s="84"/>
    </row>
    <row r="57" spans="1:21" s="138" customFormat="1">
      <c r="A57" s="408" t="s">
        <v>67</v>
      </c>
      <c r="B57" s="409">
        <v>1</v>
      </c>
      <c r="C57" s="409">
        <v>2</v>
      </c>
      <c r="D57" s="409">
        <v>3</v>
      </c>
      <c r="E57" s="409">
        <v>4</v>
      </c>
      <c r="F57" s="409">
        <v>5</v>
      </c>
      <c r="G57" s="409">
        <v>6</v>
      </c>
      <c r="H57" s="409">
        <v>7</v>
      </c>
      <c r="I57" s="409">
        <v>8</v>
      </c>
      <c r="J57" s="409">
        <v>9</v>
      </c>
      <c r="K57" s="409">
        <v>10</v>
      </c>
      <c r="L57" s="409">
        <v>11</v>
      </c>
      <c r="M57" s="409">
        <v>12</v>
      </c>
      <c r="N57" s="410" t="s">
        <v>53</v>
      </c>
      <c r="O57" s="416" t="s">
        <v>181</v>
      </c>
      <c r="P57" s="409"/>
      <c r="Q57" s="409"/>
      <c r="R57" s="418"/>
      <c r="S57" s="409"/>
      <c r="T57" s="410"/>
      <c r="U57" s="191"/>
    </row>
    <row r="58" spans="1:21">
      <c r="A58" t="s">
        <v>106</v>
      </c>
      <c r="B58" s="54">
        <f t="shared" ref="B58:M70" ca="1" si="21">SUMIF((INDIRECT("'"&amp;B$2&amp;"'!"&amp;"H:H")),$A58,(INDIRECT("'"&amp;B$2&amp;"'!"&amp;"G:G")))</f>
        <v>0</v>
      </c>
      <c r="C58" s="54">
        <f t="shared" ca="1" si="21"/>
        <v>0</v>
      </c>
      <c r="D58" s="54">
        <f t="shared" ca="1" si="21"/>
        <v>0</v>
      </c>
      <c r="E58" s="54">
        <f t="shared" ca="1" si="21"/>
        <v>0</v>
      </c>
      <c r="F58" s="54">
        <f t="shared" ca="1" si="21"/>
        <v>0</v>
      </c>
      <c r="G58" s="54">
        <f t="shared" ca="1" si="21"/>
        <v>0</v>
      </c>
      <c r="H58" s="54">
        <f t="shared" ca="1" si="21"/>
        <v>0</v>
      </c>
      <c r="I58" s="54">
        <f t="shared" ca="1" si="21"/>
        <v>0</v>
      </c>
      <c r="J58" s="54">
        <f t="shared" ca="1" si="21"/>
        <v>0</v>
      </c>
      <c r="K58" s="54">
        <f t="shared" ca="1" si="21"/>
        <v>0</v>
      </c>
      <c r="L58" s="54">
        <f t="shared" ca="1" si="21"/>
        <v>0</v>
      </c>
      <c r="M58" s="54">
        <f t="shared" ca="1" si="21"/>
        <v>0</v>
      </c>
      <c r="N58" s="429">
        <f t="shared" ref="N58:N70" ca="1" si="22">AVERAGE(B58:M58)</f>
        <v>0</v>
      </c>
      <c r="O58" s="429">
        <f>'ממוצע ורצוי'!N58</f>
        <v>0</v>
      </c>
      <c r="P58" s="54">
        <f t="shared" ref="P58:P70" ca="1" si="23">AVERAGE(B58:I58)</f>
        <v>0</v>
      </c>
      <c r="Q58" s="54">
        <v>0</v>
      </c>
      <c r="R58" s="192">
        <f t="shared" ref="R58:R70" ca="1" si="24">Q58-P58</f>
        <v>0</v>
      </c>
      <c r="S58" s="54" t="s">
        <v>156</v>
      </c>
      <c r="T58" s="57"/>
      <c r="U58" s="84"/>
    </row>
    <row r="59" spans="1:21">
      <c r="A59" t="s">
        <v>107</v>
      </c>
      <c r="B59" s="54">
        <f t="shared" ca="1" si="21"/>
        <v>628</v>
      </c>
      <c r="C59" s="54">
        <f t="shared" ca="1" si="21"/>
        <v>628</v>
      </c>
      <c r="D59" s="54">
        <f t="shared" ca="1" si="21"/>
        <v>0</v>
      </c>
      <c r="E59" s="54">
        <f t="shared" ca="1" si="21"/>
        <v>0</v>
      </c>
      <c r="F59" s="54">
        <f t="shared" ca="1" si="21"/>
        <v>0</v>
      </c>
      <c r="G59" s="54">
        <f t="shared" ca="1" si="21"/>
        <v>0</v>
      </c>
      <c r="H59" s="54">
        <f t="shared" ca="1" si="21"/>
        <v>0</v>
      </c>
      <c r="I59" s="54">
        <f t="shared" ca="1" si="21"/>
        <v>0</v>
      </c>
      <c r="J59" s="54">
        <f t="shared" ca="1" si="21"/>
        <v>0</v>
      </c>
      <c r="K59" s="54">
        <f t="shared" ca="1" si="21"/>
        <v>0</v>
      </c>
      <c r="L59" s="54">
        <f t="shared" ca="1" si="21"/>
        <v>0</v>
      </c>
      <c r="M59" s="54">
        <f t="shared" ca="1" si="21"/>
        <v>0</v>
      </c>
      <c r="N59" s="429">
        <f t="shared" ca="1" si="22"/>
        <v>104.66666666666667</v>
      </c>
      <c r="O59" s="429">
        <f>'ממוצע ורצוי'!N59</f>
        <v>650</v>
      </c>
      <c r="P59" s="54">
        <f t="shared" ca="1" si="23"/>
        <v>157</v>
      </c>
      <c r="Q59" s="54">
        <v>0</v>
      </c>
      <c r="R59" s="192">
        <f t="shared" ca="1" si="24"/>
        <v>-157</v>
      </c>
      <c r="S59" s="54" t="s">
        <v>156</v>
      </c>
      <c r="T59" s="57"/>
      <c r="U59" s="84"/>
    </row>
    <row r="60" spans="1:21">
      <c r="A60" t="s">
        <v>311</v>
      </c>
      <c r="B60" s="54">
        <f t="shared" ca="1" si="21"/>
        <v>0</v>
      </c>
      <c r="C60" s="54">
        <f t="shared" ca="1" si="21"/>
        <v>0</v>
      </c>
      <c r="D60" s="54">
        <f t="shared" ca="1" si="21"/>
        <v>0</v>
      </c>
      <c r="E60" s="54">
        <f t="shared" ca="1" si="21"/>
        <v>0</v>
      </c>
      <c r="F60" s="54">
        <f t="shared" ca="1" si="21"/>
        <v>0</v>
      </c>
      <c r="G60" s="54">
        <f t="shared" ca="1" si="21"/>
        <v>0</v>
      </c>
      <c r="H60" s="54">
        <f t="shared" ca="1" si="21"/>
        <v>0</v>
      </c>
      <c r="I60" s="54">
        <f t="shared" ca="1" si="21"/>
        <v>0</v>
      </c>
      <c r="J60" s="54">
        <f t="shared" ca="1" si="21"/>
        <v>0</v>
      </c>
      <c r="K60" s="54">
        <f t="shared" ca="1" si="21"/>
        <v>0</v>
      </c>
      <c r="L60" s="54">
        <f t="shared" ca="1" si="21"/>
        <v>0</v>
      </c>
      <c r="M60" s="54">
        <f t="shared" ca="1" si="21"/>
        <v>0</v>
      </c>
      <c r="N60" s="429">
        <f t="shared" ca="1" si="22"/>
        <v>0</v>
      </c>
      <c r="O60" s="429">
        <f>'ממוצע ורצוי'!N60</f>
        <v>0</v>
      </c>
      <c r="P60" s="54">
        <f t="shared" ca="1" si="23"/>
        <v>0</v>
      </c>
      <c r="Q60" s="54">
        <v>0</v>
      </c>
      <c r="R60" s="192">
        <f t="shared" ca="1" si="24"/>
        <v>0</v>
      </c>
      <c r="S60" s="54"/>
      <c r="T60" s="57"/>
      <c r="U60" s="84"/>
    </row>
    <row r="61" spans="1:21">
      <c r="A61" t="s">
        <v>108</v>
      </c>
      <c r="B61" s="54">
        <f t="shared" ca="1" si="21"/>
        <v>44</v>
      </c>
      <c r="C61" s="54">
        <f t="shared" ca="1" si="21"/>
        <v>0</v>
      </c>
      <c r="D61" s="54">
        <f t="shared" ca="1" si="21"/>
        <v>0</v>
      </c>
      <c r="E61" s="54">
        <f t="shared" ca="1" si="21"/>
        <v>0</v>
      </c>
      <c r="F61" s="54">
        <f t="shared" ca="1" si="21"/>
        <v>0</v>
      </c>
      <c r="G61" s="54">
        <f t="shared" ca="1" si="21"/>
        <v>0</v>
      </c>
      <c r="H61" s="54">
        <f t="shared" ca="1" si="21"/>
        <v>0</v>
      </c>
      <c r="I61" s="54">
        <f t="shared" ca="1" si="21"/>
        <v>0</v>
      </c>
      <c r="J61" s="54">
        <f t="shared" ca="1" si="21"/>
        <v>0</v>
      </c>
      <c r="K61" s="54">
        <f t="shared" ca="1" si="21"/>
        <v>0</v>
      </c>
      <c r="L61" s="54">
        <f t="shared" ca="1" si="21"/>
        <v>0</v>
      </c>
      <c r="M61" s="54">
        <f t="shared" ca="1" si="21"/>
        <v>0</v>
      </c>
      <c r="N61" s="429">
        <f t="shared" ca="1" si="22"/>
        <v>3.6666666666666665</v>
      </c>
      <c r="O61" s="429">
        <f>'ממוצע ורצוי'!N61</f>
        <v>0</v>
      </c>
      <c r="P61" s="54">
        <f t="shared" ca="1" si="23"/>
        <v>5.5</v>
      </c>
      <c r="Q61" s="54">
        <v>160</v>
      </c>
      <c r="R61" s="192">
        <f t="shared" ca="1" si="24"/>
        <v>154.5</v>
      </c>
      <c r="S61" s="54" t="s">
        <v>150</v>
      </c>
      <c r="T61" s="57"/>
      <c r="U61" s="84"/>
    </row>
    <row r="62" spans="1:21">
      <c r="A62" t="s">
        <v>109</v>
      </c>
      <c r="B62" s="54">
        <f t="shared" ca="1" si="21"/>
        <v>450</v>
      </c>
      <c r="C62" s="54">
        <f t="shared" ca="1" si="21"/>
        <v>150</v>
      </c>
      <c r="D62" s="54">
        <f t="shared" ca="1" si="21"/>
        <v>450</v>
      </c>
      <c r="E62" s="54">
        <f t="shared" ca="1" si="21"/>
        <v>1048</v>
      </c>
      <c r="F62" s="54">
        <f t="shared" ca="1" si="21"/>
        <v>0</v>
      </c>
      <c r="G62" s="54">
        <f t="shared" ca="1" si="21"/>
        <v>0</v>
      </c>
      <c r="H62" s="54">
        <f t="shared" ca="1" si="21"/>
        <v>0</v>
      </c>
      <c r="I62" s="54">
        <f t="shared" ca="1" si="21"/>
        <v>0</v>
      </c>
      <c r="J62" s="54">
        <f t="shared" ca="1" si="21"/>
        <v>0</v>
      </c>
      <c r="K62" s="54">
        <f t="shared" ca="1" si="21"/>
        <v>0</v>
      </c>
      <c r="L62" s="54">
        <f t="shared" ca="1" si="21"/>
        <v>0</v>
      </c>
      <c r="M62" s="54">
        <f t="shared" ca="1" si="21"/>
        <v>0</v>
      </c>
      <c r="N62" s="429">
        <f t="shared" ca="1" si="22"/>
        <v>174.83333333333334</v>
      </c>
      <c r="O62" s="429">
        <f>'ממוצע ורצוי'!N62</f>
        <v>600</v>
      </c>
      <c r="P62" s="54">
        <f t="shared" ca="1" si="23"/>
        <v>262.25</v>
      </c>
      <c r="Q62" s="54">
        <v>0</v>
      </c>
      <c r="R62" s="192">
        <f t="shared" ca="1" si="24"/>
        <v>-262.25</v>
      </c>
      <c r="S62" s="54"/>
      <c r="T62" s="57"/>
      <c r="U62" s="84"/>
    </row>
    <row r="63" spans="1:21">
      <c r="A63" t="s">
        <v>110</v>
      </c>
      <c r="B63" s="54">
        <f t="shared" ca="1" si="21"/>
        <v>0</v>
      </c>
      <c r="C63" s="54">
        <f t="shared" ca="1" si="21"/>
        <v>0</v>
      </c>
      <c r="D63" s="54">
        <f t="shared" ca="1" si="21"/>
        <v>0</v>
      </c>
      <c r="E63" s="54">
        <f t="shared" ca="1" si="21"/>
        <v>0</v>
      </c>
      <c r="F63" s="54">
        <f t="shared" ca="1" si="21"/>
        <v>0</v>
      </c>
      <c r="G63" s="54">
        <f t="shared" ca="1" si="21"/>
        <v>0</v>
      </c>
      <c r="H63" s="54">
        <f t="shared" ca="1" si="21"/>
        <v>0</v>
      </c>
      <c r="I63" s="54">
        <f t="shared" ca="1" si="21"/>
        <v>0</v>
      </c>
      <c r="J63" s="54">
        <f t="shared" ca="1" si="21"/>
        <v>0</v>
      </c>
      <c r="K63" s="54">
        <f t="shared" ca="1" si="21"/>
        <v>0</v>
      </c>
      <c r="L63" s="54">
        <f t="shared" ca="1" si="21"/>
        <v>0</v>
      </c>
      <c r="M63" s="54">
        <f t="shared" ca="1" si="21"/>
        <v>0</v>
      </c>
      <c r="N63" s="429">
        <f t="shared" ca="1" si="22"/>
        <v>0</v>
      </c>
      <c r="O63" s="429">
        <f>'ממוצע ורצוי'!N63</f>
        <v>0</v>
      </c>
      <c r="P63" s="54">
        <f t="shared" ca="1" si="23"/>
        <v>0</v>
      </c>
      <c r="Q63" s="54">
        <v>0</v>
      </c>
      <c r="R63" s="192">
        <f t="shared" ca="1" si="24"/>
        <v>0</v>
      </c>
      <c r="S63" s="54"/>
      <c r="T63" s="57"/>
      <c r="U63" s="84"/>
    </row>
    <row r="64" spans="1:21" s="138" customFormat="1">
      <c r="A64" t="s">
        <v>111</v>
      </c>
      <c r="B64" s="54">
        <f t="shared" ca="1" si="21"/>
        <v>3257.7200000000003</v>
      </c>
      <c r="C64" s="54">
        <f t="shared" ca="1" si="21"/>
        <v>3457.7200000000003</v>
      </c>
      <c r="D64" s="54">
        <f t="shared" ca="1" si="21"/>
        <v>3257.7200000000003</v>
      </c>
      <c r="E64" s="54">
        <f t="shared" ca="1" si="21"/>
        <v>2587.7200000000003</v>
      </c>
      <c r="F64" s="54">
        <f t="shared" ca="1" si="21"/>
        <v>3257.7200000000003</v>
      </c>
      <c r="G64" s="54">
        <f t="shared" ca="1" si="21"/>
        <v>3257.7200000000003</v>
      </c>
      <c r="H64" s="54">
        <f t="shared" ca="1" si="21"/>
        <v>3257.7200000000003</v>
      </c>
      <c r="I64" s="54">
        <f t="shared" ca="1" si="21"/>
        <v>2670</v>
      </c>
      <c r="J64" s="54">
        <f t="shared" ca="1" si="21"/>
        <v>2670</v>
      </c>
      <c r="K64" s="54">
        <f t="shared" ca="1" si="21"/>
        <v>2670</v>
      </c>
      <c r="L64" s="54">
        <f t="shared" ca="1" si="21"/>
        <v>2670</v>
      </c>
      <c r="M64" s="54">
        <f t="shared" ca="1" si="21"/>
        <v>2670</v>
      </c>
      <c r="N64" s="429">
        <f t="shared" ca="1" si="22"/>
        <v>2973.6700000000005</v>
      </c>
      <c r="O64" s="429">
        <f>'ממוצע ורצוי'!N64</f>
        <v>3500</v>
      </c>
      <c r="P64" s="54">
        <f t="shared" ca="1" si="23"/>
        <v>3125.5050000000006</v>
      </c>
      <c r="Q64" s="439">
        <v>2000</v>
      </c>
      <c r="R64" s="192">
        <f t="shared" ca="1" si="24"/>
        <v>-1125.5050000000006</v>
      </c>
      <c r="S64" s="54" t="s">
        <v>156</v>
      </c>
      <c r="T64" s="57" t="s">
        <v>378</v>
      </c>
      <c r="U64" s="191"/>
    </row>
    <row r="65" spans="1:21">
      <c r="A65" t="s">
        <v>112</v>
      </c>
      <c r="B65" s="54">
        <f t="shared" ca="1" si="21"/>
        <v>0</v>
      </c>
      <c r="C65" s="54">
        <f t="shared" ca="1" si="21"/>
        <v>0</v>
      </c>
      <c r="D65" s="54">
        <f t="shared" ca="1" si="21"/>
        <v>0</v>
      </c>
      <c r="E65" s="54">
        <f t="shared" ca="1" si="21"/>
        <v>0</v>
      </c>
      <c r="F65" s="54">
        <f t="shared" ca="1" si="21"/>
        <v>0</v>
      </c>
      <c r="G65" s="54">
        <f t="shared" ca="1" si="21"/>
        <v>0</v>
      </c>
      <c r="H65" s="54">
        <f t="shared" ca="1" si="21"/>
        <v>0</v>
      </c>
      <c r="I65" s="54">
        <f t="shared" ca="1" si="21"/>
        <v>0</v>
      </c>
      <c r="J65" s="54">
        <f t="shared" ca="1" si="21"/>
        <v>0</v>
      </c>
      <c r="K65" s="54">
        <f t="shared" ca="1" si="21"/>
        <v>0</v>
      </c>
      <c r="L65" s="54">
        <f t="shared" ca="1" si="21"/>
        <v>0</v>
      </c>
      <c r="M65" s="54">
        <f t="shared" ca="1" si="21"/>
        <v>0</v>
      </c>
      <c r="N65" s="429">
        <f t="shared" ca="1" si="22"/>
        <v>0</v>
      </c>
      <c r="O65" s="429">
        <f>'ממוצע ורצוי'!N65</f>
        <v>0</v>
      </c>
      <c r="P65" s="54">
        <f t="shared" ca="1" si="23"/>
        <v>0</v>
      </c>
      <c r="Q65" s="54">
        <v>0</v>
      </c>
      <c r="R65" s="192">
        <f t="shared" ca="1" si="24"/>
        <v>0</v>
      </c>
      <c r="S65" s="54"/>
      <c r="T65" s="57"/>
      <c r="U65" s="84"/>
    </row>
    <row r="66" spans="1:21">
      <c r="A66" t="s">
        <v>113</v>
      </c>
      <c r="B66" s="54">
        <f t="shared" ca="1" si="21"/>
        <v>0</v>
      </c>
      <c r="C66" s="54">
        <f t="shared" ca="1" si="21"/>
        <v>247.70000000000002</v>
      </c>
      <c r="D66" s="54">
        <f t="shared" ca="1" si="21"/>
        <v>0</v>
      </c>
      <c r="E66" s="54">
        <f t="shared" ca="1" si="21"/>
        <v>0</v>
      </c>
      <c r="F66" s="54">
        <f t="shared" ca="1" si="21"/>
        <v>0</v>
      </c>
      <c r="G66" s="54">
        <f t="shared" ca="1" si="21"/>
        <v>0</v>
      </c>
      <c r="H66" s="54">
        <f t="shared" ca="1" si="21"/>
        <v>0</v>
      </c>
      <c r="I66" s="54">
        <f t="shared" ca="1" si="21"/>
        <v>0</v>
      </c>
      <c r="J66" s="54">
        <f t="shared" ca="1" si="21"/>
        <v>0</v>
      </c>
      <c r="K66" s="54">
        <f t="shared" ca="1" si="21"/>
        <v>0</v>
      </c>
      <c r="L66" s="54">
        <f t="shared" ca="1" si="21"/>
        <v>0</v>
      </c>
      <c r="M66" s="54">
        <f t="shared" ca="1" si="21"/>
        <v>0</v>
      </c>
      <c r="N66" s="429">
        <f t="shared" ca="1" si="22"/>
        <v>20.641666666666669</v>
      </c>
      <c r="O66" s="429">
        <f>'ממוצע ורצוי'!N66</f>
        <v>100</v>
      </c>
      <c r="P66" s="54">
        <f t="shared" ca="1" si="23"/>
        <v>30.962500000000002</v>
      </c>
      <c r="Q66" s="54">
        <v>300</v>
      </c>
      <c r="R66" s="192">
        <f t="shared" ca="1" si="24"/>
        <v>269.03750000000002</v>
      </c>
      <c r="S66" s="54"/>
      <c r="T66" s="57"/>
      <c r="U66" s="84"/>
    </row>
    <row r="67" spans="1:21">
      <c r="A67" t="s">
        <v>114</v>
      </c>
      <c r="B67" s="54">
        <f t="shared" ca="1" si="21"/>
        <v>0</v>
      </c>
      <c r="C67" s="54">
        <f t="shared" ca="1" si="21"/>
        <v>0</v>
      </c>
      <c r="D67" s="54">
        <f t="shared" ca="1" si="21"/>
        <v>0</v>
      </c>
      <c r="E67" s="54">
        <f t="shared" ca="1" si="21"/>
        <v>0</v>
      </c>
      <c r="F67" s="54">
        <f t="shared" ca="1" si="21"/>
        <v>0</v>
      </c>
      <c r="G67" s="54">
        <f t="shared" ca="1" si="21"/>
        <v>0</v>
      </c>
      <c r="H67" s="54">
        <f t="shared" ca="1" si="21"/>
        <v>0</v>
      </c>
      <c r="I67" s="54">
        <f t="shared" ca="1" si="21"/>
        <v>0</v>
      </c>
      <c r="J67" s="54">
        <f t="shared" ca="1" si="21"/>
        <v>0</v>
      </c>
      <c r="K67" s="54">
        <f t="shared" ca="1" si="21"/>
        <v>0</v>
      </c>
      <c r="L67" s="54">
        <f t="shared" ca="1" si="21"/>
        <v>0</v>
      </c>
      <c r="M67" s="54">
        <f t="shared" ca="1" si="21"/>
        <v>0</v>
      </c>
      <c r="N67" s="429">
        <f ca="1">AVERAGE(B67:M67)</f>
        <v>0</v>
      </c>
      <c r="O67" s="429">
        <f>'ממוצע ורצוי'!N67</f>
        <v>0</v>
      </c>
      <c r="P67" s="54">
        <f t="shared" ca="1" si="23"/>
        <v>0</v>
      </c>
      <c r="Q67" s="54">
        <v>0</v>
      </c>
      <c r="R67" s="192">
        <f t="shared" ca="1" si="24"/>
        <v>0</v>
      </c>
      <c r="S67" s="54"/>
      <c r="T67" s="57"/>
      <c r="U67" s="84"/>
    </row>
    <row r="68" spans="1:21">
      <c r="A68" t="s">
        <v>115</v>
      </c>
      <c r="B68" s="54">
        <f t="shared" ca="1" si="21"/>
        <v>0</v>
      </c>
      <c r="C68" s="54">
        <f t="shared" ca="1" si="21"/>
        <v>0</v>
      </c>
      <c r="D68" s="54">
        <f t="shared" ca="1" si="21"/>
        <v>0</v>
      </c>
      <c r="E68" s="54">
        <f t="shared" ca="1" si="21"/>
        <v>0</v>
      </c>
      <c r="F68" s="54">
        <f t="shared" ca="1" si="21"/>
        <v>0</v>
      </c>
      <c r="G68" s="54">
        <f t="shared" ca="1" si="21"/>
        <v>0</v>
      </c>
      <c r="H68" s="54">
        <f t="shared" ca="1" si="21"/>
        <v>0</v>
      </c>
      <c r="I68" s="54">
        <f t="shared" ca="1" si="21"/>
        <v>0</v>
      </c>
      <c r="J68" s="54">
        <f t="shared" ca="1" si="21"/>
        <v>0</v>
      </c>
      <c r="K68" s="54">
        <f t="shared" ca="1" si="21"/>
        <v>0</v>
      </c>
      <c r="L68" s="54">
        <f t="shared" ca="1" si="21"/>
        <v>0</v>
      </c>
      <c r="M68" s="54">
        <f t="shared" ca="1" si="21"/>
        <v>0</v>
      </c>
      <c r="N68" s="429">
        <f ca="1">AVERAGE(B68:M68)</f>
        <v>0</v>
      </c>
      <c r="O68" s="429">
        <f>'ממוצע ורצוי'!N68</f>
        <v>50</v>
      </c>
      <c r="P68" s="54">
        <f t="shared" ca="1" si="23"/>
        <v>0</v>
      </c>
      <c r="Q68" s="54">
        <v>0</v>
      </c>
      <c r="R68" s="192">
        <f t="shared" ca="1" si="24"/>
        <v>0</v>
      </c>
      <c r="S68" s="54"/>
      <c r="T68" s="57"/>
      <c r="U68" s="84"/>
    </row>
    <row r="69" spans="1:21">
      <c r="A69" t="s">
        <v>116</v>
      </c>
      <c r="B69" s="54">
        <f t="shared" ca="1" si="21"/>
        <v>0</v>
      </c>
      <c r="C69" s="54">
        <f t="shared" ca="1" si="21"/>
        <v>0</v>
      </c>
      <c r="D69" s="54">
        <f t="shared" ca="1" si="21"/>
        <v>0</v>
      </c>
      <c r="E69" s="54">
        <f t="shared" ca="1" si="21"/>
        <v>0</v>
      </c>
      <c r="F69" s="54">
        <f t="shared" ca="1" si="21"/>
        <v>0</v>
      </c>
      <c r="G69" s="54">
        <f t="shared" ca="1" si="21"/>
        <v>0</v>
      </c>
      <c r="H69" s="54">
        <f t="shared" ca="1" si="21"/>
        <v>0</v>
      </c>
      <c r="I69" s="54">
        <f t="shared" ca="1" si="21"/>
        <v>0</v>
      </c>
      <c r="J69" s="54">
        <f t="shared" ca="1" si="21"/>
        <v>0</v>
      </c>
      <c r="K69" s="54">
        <f t="shared" ca="1" si="21"/>
        <v>0</v>
      </c>
      <c r="L69" s="54">
        <f t="shared" ca="1" si="21"/>
        <v>0</v>
      </c>
      <c r="M69" s="54">
        <f t="shared" ca="1" si="21"/>
        <v>0</v>
      </c>
      <c r="N69" s="429">
        <f t="shared" ca="1" si="22"/>
        <v>0</v>
      </c>
      <c r="O69" s="429">
        <f>'ממוצע ורצוי'!N69</f>
        <v>0</v>
      </c>
      <c r="P69" s="54">
        <f t="shared" ca="1" si="23"/>
        <v>0</v>
      </c>
      <c r="Q69" s="54">
        <v>0</v>
      </c>
      <c r="R69" s="192">
        <f t="shared" ca="1" si="24"/>
        <v>0</v>
      </c>
      <c r="S69" s="54"/>
      <c r="T69" s="57"/>
      <c r="U69" s="84"/>
    </row>
    <row r="70" spans="1:21">
      <c r="A70" t="s">
        <v>8</v>
      </c>
      <c r="B70" s="54">
        <f t="shared" ca="1" si="21"/>
        <v>0</v>
      </c>
      <c r="C70" s="54">
        <f t="shared" ca="1" si="21"/>
        <v>0</v>
      </c>
      <c r="D70" s="54">
        <f t="shared" ca="1" si="21"/>
        <v>0</v>
      </c>
      <c r="E70" s="54">
        <f t="shared" ca="1" si="21"/>
        <v>0</v>
      </c>
      <c r="F70" s="54">
        <f t="shared" ca="1" si="21"/>
        <v>0</v>
      </c>
      <c r="G70" s="54">
        <f t="shared" ca="1" si="21"/>
        <v>0</v>
      </c>
      <c r="H70" s="54">
        <f t="shared" ca="1" si="21"/>
        <v>0</v>
      </c>
      <c r="I70" s="54">
        <f t="shared" ca="1" si="21"/>
        <v>0</v>
      </c>
      <c r="J70" s="54">
        <f t="shared" ca="1" si="21"/>
        <v>0</v>
      </c>
      <c r="K70" s="54">
        <f t="shared" ca="1" si="21"/>
        <v>0</v>
      </c>
      <c r="L70" s="54">
        <f t="shared" ca="1" si="21"/>
        <v>0</v>
      </c>
      <c r="M70" s="54">
        <f t="shared" ca="1" si="21"/>
        <v>0</v>
      </c>
      <c r="N70" s="429">
        <f t="shared" ca="1" si="22"/>
        <v>0</v>
      </c>
      <c r="O70" s="429">
        <f>'ממוצע ורצוי'!N70</f>
        <v>0</v>
      </c>
      <c r="P70" s="54">
        <f t="shared" ca="1" si="23"/>
        <v>0</v>
      </c>
      <c r="Q70" s="54">
        <v>0</v>
      </c>
      <c r="R70" s="192">
        <f t="shared" ca="1" si="24"/>
        <v>0</v>
      </c>
      <c r="S70" s="54"/>
      <c r="T70" s="57"/>
      <c r="U70" s="84"/>
    </row>
    <row r="71" spans="1:21" ht="13.5" thickBot="1">
      <c r="A71" s="440" t="s">
        <v>257</v>
      </c>
      <c r="B71" s="431">
        <f t="shared" ref="B71:N71" ca="1" si="25">SUM(B58:B70)</f>
        <v>4379.72</v>
      </c>
      <c r="C71" s="431">
        <f t="shared" ca="1" si="25"/>
        <v>4483.42</v>
      </c>
      <c r="D71" s="431">
        <f t="shared" ca="1" si="25"/>
        <v>3707.7200000000003</v>
      </c>
      <c r="E71" s="431">
        <f t="shared" ca="1" si="25"/>
        <v>3635.7200000000003</v>
      </c>
      <c r="F71" s="431">
        <f t="shared" ca="1" si="25"/>
        <v>3257.7200000000003</v>
      </c>
      <c r="G71" s="431">
        <f t="shared" ca="1" si="25"/>
        <v>3257.7200000000003</v>
      </c>
      <c r="H71" s="431">
        <f t="shared" ca="1" si="25"/>
        <v>3257.7200000000003</v>
      </c>
      <c r="I71" s="431">
        <f t="shared" ca="1" si="25"/>
        <v>2670</v>
      </c>
      <c r="J71" s="431">
        <f t="shared" ca="1" si="25"/>
        <v>2670</v>
      </c>
      <c r="K71" s="431">
        <f t="shared" ca="1" si="25"/>
        <v>2670</v>
      </c>
      <c r="L71" s="431">
        <f t="shared" ca="1" si="25"/>
        <v>2670</v>
      </c>
      <c r="M71" s="431">
        <f t="shared" ca="1" si="25"/>
        <v>2670</v>
      </c>
      <c r="N71" s="441">
        <f t="shared" ca="1" si="25"/>
        <v>3277.4783333333339</v>
      </c>
      <c r="O71" s="441">
        <f>'ממוצע ורצוי'!N71</f>
        <v>4900</v>
      </c>
      <c r="P71" s="431">
        <f ca="1">SUM(P58:P70)</f>
        <v>3581.2175000000007</v>
      </c>
      <c r="Q71" s="431">
        <f>SUM(Q58:Q70)</f>
        <v>2460</v>
      </c>
      <c r="R71" s="433"/>
      <c r="S71" s="431"/>
      <c r="T71" s="432"/>
      <c r="U71" s="84"/>
    </row>
    <row r="72" spans="1:21" ht="13.5" thickBot="1">
      <c r="A72" s="434" t="s">
        <v>305</v>
      </c>
      <c r="B72" s="435">
        <f t="shared" ref="B72:M72" ca="1" si="26">B71-$O71</f>
        <v>-520.27999999999975</v>
      </c>
      <c r="C72" s="435">
        <f t="shared" ca="1" si="26"/>
        <v>-416.57999999999993</v>
      </c>
      <c r="D72" s="435">
        <f t="shared" ca="1" si="26"/>
        <v>-1192.2799999999997</v>
      </c>
      <c r="E72" s="435">
        <f t="shared" ca="1" si="26"/>
        <v>-1264.2799999999997</v>
      </c>
      <c r="F72" s="435">
        <f t="shared" ca="1" si="26"/>
        <v>-1642.2799999999997</v>
      </c>
      <c r="G72" s="435">
        <f t="shared" ca="1" si="26"/>
        <v>-1642.2799999999997</v>
      </c>
      <c r="H72" s="435">
        <f t="shared" ca="1" si="26"/>
        <v>-1642.2799999999997</v>
      </c>
      <c r="I72" s="435">
        <f t="shared" ca="1" si="26"/>
        <v>-2230</v>
      </c>
      <c r="J72" s="435">
        <f t="shared" ca="1" si="26"/>
        <v>-2230</v>
      </c>
      <c r="K72" s="435">
        <f t="shared" ca="1" si="26"/>
        <v>-2230</v>
      </c>
      <c r="L72" s="435">
        <f t="shared" ca="1" si="26"/>
        <v>-2230</v>
      </c>
      <c r="M72" s="435">
        <f t="shared" ca="1" si="26"/>
        <v>-2230</v>
      </c>
      <c r="N72" s="436"/>
      <c r="O72" s="436"/>
      <c r="P72" s="435"/>
      <c r="Q72" s="435"/>
      <c r="R72" s="437"/>
      <c r="S72" s="435"/>
      <c r="T72" s="438"/>
      <c r="U72" s="84"/>
    </row>
    <row r="73" spans="1:21">
      <c r="A73" s="404" t="s">
        <v>117</v>
      </c>
      <c r="B73" s="405"/>
      <c r="C73" s="405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6"/>
      <c r="O73" s="406"/>
      <c r="P73" s="405"/>
      <c r="Q73" s="405"/>
      <c r="R73" s="413"/>
      <c r="S73" s="405"/>
      <c r="T73" s="406"/>
      <c r="U73" s="84"/>
    </row>
    <row r="74" spans="1:21">
      <c r="A74" s="408" t="s">
        <v>67</v>
      </c>
      <c r="B74" s="409">
        <v>1</v>
      </c>
      <c r="C74" s="409">
        <v>2</v>
      </c>
      <c r="D74" s="409">
        <v>3</v>
      </c>
      <c r="E74" s="409">
        <v>4</v>
      </c>
      <c r="F74" s="409">
        <v>5</v>
      </c>
      <c r="G74" s="409">
        <v>6</v>
      </c>
      <c r="H74" s="409">
        <v>7</v>
      </c>
      <c r="I74" s="409">
        <v>8</v>
      </c>
      <c r="J74" s="409">
        <v>9</v>
      </c>
      <c r="K74" s="409">
        <v>10</v>
      </c>
      <c r="L74" s="409">
        <v>11</v>
      </c>
      <c r="M74" s="409">
        <v>12</v>
      </c>
      <c r="N74" s="410" t="s">
        <v>53</v>
      </c>
      <c r="O74" s="416" t="s">
        <v>181</v>
      </c>
      <c r="P74" s="409"/>
      <c r="Q74" s="409"/>
      <c r="R74" s="418"/>
      <c r="S74" s="409"/>
      <c r="T74" s="410"/>
      <c r="U74" s="84"/>
    </row>
    <row r="75" spans="1:21">
      <c r="A75" t="s">
        <v>118</v>
      </c>
      <c r="B75" s="54">
        <f ca="1">SUMIF((INDIRECT("'"&amp;B$2&amp;"'!"&amp;"H:H")),$A75,(INDIRECT("'"&amp;B$2&amp;"'!"&amp;"G:G")))</f>
        <v>0</v>
      </c>
      <c r="C75" s="54">
        <f t="shared" ref="C75:M87" ca="1" si="27">SUMIF((INDIRECT("'"&amp;C$2&amp;"'!"&amp;"H:H")),$A75,(INDIRECT("'"&amp;C$2&amp;"'!"&amp;"G:G")))</f>
        <v>2836.7</v>
      </c>
      <c r="D75" s="54">
        <f t="shared" ca="1" si="27"/>
        <v>1500.99</v>
      </c>
      <c r="E75" s="54">
        <f t="shared" ca="1" si="27"/>
        <v>2580.6</v>
      </c>
      <c r="F75" s="54">
        <f t="shared" ca="1" si="27"/>
        <v>2580.6099999999997</v>
      </c>
      <c r="G75" s="54">
        <f t="shared" ca="1" si="27"/>
        <v>2580.6099999999997</v>
      </c>
      <c r="H75" s="54">
        <f t="shared" ca="1" si="27"/>
        <v>0</v>
      </c>
      <c r="I75" s="54">
        <f t="shared" ca="1" si="27"/>
        <v>0</v>
      </c>
      <c r="J75" s="54">
        <f t="shared" ca="1" si="27"/>
        <v>0</v>
      </c>
      <c r="K75" s="54">
        <f t="shared" ca="1" si="27"/>
        <v>0</v>
      </c>
      <c r="L75" s="54">
        <f t="shared" ca="1" si="27"/>
        <v>0</v>
      </c>
      <c r="M75" s="54">
        <f t="shared" ca="1" si="27"/>
        <v>0</v>
      </c>
      <c r="N75" s="429">
        <f ca="1">AVERAGE(B75:M75)</f>
        <v>1006.6258333333332</v>
      </c>
      <c r="O75" s="429">
        <f>'ממוצע ורצוי'!N75</f>
        <v>1000</v>
      </c>
      <c r="P75" s="54">
        <f t="shared" ref="P75:P87" ca="1" si="28">AVERAGE(B75:I75)</f>
        <v>1509.9387499999998</v>
      </c>
      <c r="Q75" s="54">
        <v>0</v>
      </c>
      <c r="R75" s="192">
        <f t="shared" ref="R75:R87" ca="1" si="29">Q75-P75</f>
        <v>-1509.9387499999998</v>
      </c>
      <c r="S75" s="54"/>
      <c r="T75" s="57"/>
      <c r="U75" s="84"/>
    </row>
    <row r="76" spans="1:21">
      <c r="A76" t="s">
        <v>119</v>
      </c>
      <c r="B76" s="54">
        <f t="shared" ref="B76:B87" ca="1" si="30">SUMIF((INDIRECT("'"&amp;B$2&amp;"'!"&amp;"H:H")),$A76,(INDIRECT("'"&amp;B$2&amp;"'!"&amp;"G:G")))</f>
        <v>0</v>
      </c>
      <c r="C76" s="54">
        <f t="shared" ca="1" si="27"/>
        <v>0</v>
      </c>
      <c r="D76" s="54">
        <f t="shared" ca="1" si="27"/>
        <v>0</v>
      </c>
      <c r="E76" s="54">
        <f t="shared" ca="1" si="27"/>
        <v>0</v>
      </c>
      <c r="F76" s="54">
        <f t="shared" ca="1" si="27"/>
        <v>0</v>
      </c>
      <c r="G76" s="54">
        <f t="shared" ca="1" si="27"/>
        <v>0</v>
      </c>
      <c r="H76" s="54">
        <f t="shared" ca="1" si="27"/>
        <v>0</v>
      </c>
      <c r="I76" s="54">
        <f t="shared" ca="1" si="27"/>
        <v>0</v>
      </c>
      <c r="J76" s="54">
        <f t="shared" ca="1" si="27"/>
        <v>0</v>
      </c>
      <c r="K76" s="54">
        <f t="shared" ca="1" si="27"/>
        <v>0</v>
      </c>
      <c r="L76" s="54">
        <f t="shared" ca="1" si="27"/>
        <v>0</v>
      </c>
      <c r="M76" s="54">
        <f t="shared" ca="1" si="27"/>
        <v>0</v>
      </c>
      <c r="N76" s="429">
        <f t="shared" ref="N76:N87" ca="1" si="31">AVERAGE(B76:M76)</f>
        <v>0</v>
      </c>
      <c r="O76" s="429">
        <f>'ממוצע ורצוי'!N76</f>
        <v>0</v>
      </c>
      <c r="P76" s="54">
        <f t="shared" ca="1" si="28"/>
        <v>0</v>
      </c>
      <c r="Q76" s="54">
        <v>0</v>
      </c>
      <c r="R76" s="192">
        <f t="shared" ca="1" si="29"/>
        <v>0</v>
      </c>
      <c r="S76" s="54"/>
      <c r="T76" s="57"/>
      <c r="U76" s="84"/>
    </row>
    <row r="77" spans="1:21">
      <c r="A77" t="s">
        <v>120</v>
      </c>
      <c r="B77" s="54">
        <f t="shared" ca="1" si="30"/>
        <v>0</v>
      </c>
      <c r="C77" s="54">
        <f t="shared" ca="1" si="27"/>
        <v>0</v>
      </c>
      <c r="D77" s="54">
        <f t="shared" ca="1" si="27"/>
        <v>249</v>
      </c>
      <c r="E77" s="54">
        <f t="shared" ca="1" si="27"/>
        <v>0</v>
      </c>
      <c r="F77" s="54">
        <f t="shared" ca="1" si="27"/>
        <v>0</v>
      </c>
      <c r="G77" s="54">
        <f t="shared" ca="1" si="27"/>
        <v>0</v>
      </c>
      <c r="H77" s="54">
        <f t="shared" ca="1" si="27"/>
        <v>0</v>
      </c>
      <c r="I77" s="54">
        <f t="shared" ca="1" si="27"/>
        <v>0</v>
      </c>
      <c r="J77" s="54">
        <f t="shared" ca="1" si="27"/>
        <v>0</v>
      </c>
      <c r="K77" s="54">
        <f t="shared" ca="1" si="27"/>
        <v>0</v>
      </c>
      <c r="L77" s="54">
        <f t="shared" ca="1" si="27"/>
        <v>0</v>
      </c>
      <c r="M77" s="54">
        <f t="shared" ca="1" si="27"/>
        <v>0</v>
      </c>
      <c r="N77" s="429">
        <f t="shared" ca="1" si="31"/>
        <v>20.75</v>
      </c>
      <c r="O77" s="429">
        <f>'ממוצע ורצוי'!N77</f>
        <v>0</v>
      </c>
      <c r="P77" s="54">
        <f t="shared" ca="1" si="28"/>
        <v>31.125</v>
      </c>
      <c r="Q77" s="54">
        <v>500</v>
      </c>
      <c r="R77" s="192">
        <f t="shared" ca="1" si="29"/>
        <v>468.875</v>
      </c>
      <c r="S77" s="54" t="s">
        <v>156</v>
      </c>
      <c r="T77" s="57"/>
      <c r="U77" s="84"/>
    </row>
    <row r="78" spans="1:21">
      <c r="A78" t="s">
        <v>276</v>
      </c>
      <c r="B78" s="54">
        <f t="shared" ca="1" si="30"/>
        <v>1193.5999999999999</v>
      </c>
      <c r="C78" s="54">
        <f t="shared" ca="1" si="27"/>
        <v>1472.93</v>
      </c>
      <c r="D78" s="54">
        <f t="shared" ca="1" si="27"/>
        <v>875.05</v>
      </c>
      <c r="E78" s="54">
        <f t="shared" ca="1" si="27"/>
        <v>2799.4</v>
      </c>
      <c r="F78" s="54">
        <f t="shared" ca="1" si="27"/>
        <v>0</v>
      </c>
      <c r="G78" s="54">
        <f t="shared" ca="1" si="27"/>
        <v>0</v>
      </c>
      <c r="H78" s="54">
        <f t="shared" ca="1" si="27"/>
        <v>0</v>
      </c>
      <c r="I78" s="54">
        <f t="shared" ca="1" si="27"/>
        <v>0</v>
      </c>
      <c r="J78" s="54">
        <f t="shared" ca="1" si="27"/>
        <v>0</v>
      </c>
      <c r="K78" s="54">
        <f t="shared" ca="1" si="27"/>
        <v>0</v>
      </c>
      <c r="L78" s="54">
        <f t="shared" ca="1" si="27"/>
        <v>0</v>
      </c>
      <c r="M78" s="54">
        <f t="shared" ca="1" si="27"/>
        <v>0</v>
      </c>
      <c r="N78" s="429">
        <f t="shared" ca="1" si="31"/>
        <v>528.41499999999996</v>
      </c>
      <c r="O78" s="429">
        <f>'ממוצע ורצוי'!N78</f>
        <v>500</v>
      </c>
      <c r="P78" s="54">
        <f t="shared" ca="1" si="28"/>
        <v>792.62249999999995</v>
      </c>
      <c r="Q78" s="439">
        <v>1000</v>
      </c>
      <c r="R78" s="192">
        <f t="shared" ca="1" si="29"/>
        <v>207.37750000000005</v>
      </c>
      <c r="S78" s="54" t="s">
        <v>150</v>
      </c>
      <c r="T78" s="57" t="s">
        <v>378</v>
      </c>
      <c r="U78" s="84"/>
    </row>
    <row r="79" spans="1:21">
      <c r="A79" t="s">
        <v>121</v>
      </c>
      <c r="B79" s="54">
        <f t="shared" ca="1" si="30"/>
        <v>320.40000000000003</v>
      </c>
      <c r="C79" s="54">
        <f t="shared" ca="1" si="27"/>
        <v>393</v>
      </c>
      <c r="D79" s="54">
        <f t="shared" ca="1" si="27"/>
        <v>225</v>
      </c>
      <c r="E79" s="54">
        <f t="shared" ca="1" si="27"/>
        <v>1129.5</v>
      </c>
      <c r="F79" s="54">
        <f t="shared" ca="1" si="27"/>
        <v>0</v>
      </c>
      <c r="G79" s="54">
        <f t="shared" ca="1" si="27"/>
        <v>0</v>
      </c>
      <c r="H79" s="54">
        <f t="shared" ca="1" si="27"/>
        <v>0</v>
      </c>
      <c r="I79" s="54">
        <f t="shared" ca="1" si="27"/>
        <v>0</v>
      </c>
      <c r="J79" s="54">
        <f t="shared" ca="1" si="27"/>
        <v>0</v>
      </c>
      <c r="K79" s="54">
        <f t="shared" ca="1" si="27"/>
        <v>0</v>
      </c>
      <c r="L79" s="54">
        <f t="shared" ca="1" si="27"/>
        <v>0</v>
      </c>
      <c r="M79" s="54">
        <f t="shared" ca="1" si="27"/>
        <v>0</v>
      </c>
      <c r="N79" s="429">
        <f t="shared" ca="1" si="31"/>
        <v>172.32500000000002</v>
      </c>
      <c r="O79" s="429">
        <f>'ממוצע ורצוי'!N79</f>
        <v>300</v>
      </c>
      <c r="P79" s="54">
        <f t="shared" ca="1" si="28"/>
        <v>258.48750000000001</v>
      </c>
      <c r="Q79" s="439">
        <v>350</v>
      </c>
      <c r="R79" s="192">
        <f t="shared" ca="1" si="29"/>
        <v>91.512499999999989</v>
      </c>
      <c r="S79" s="54" t="s">
        <v>150</v>
      </c>
      <c r="T79" s="57" t="s">
        <v>378</v>
      </c>
      <c r="U79" s="84"/>
    </row>
    <row r="80" spans="1:21">
      <c r="A80" t="s">
        <v>139</v>
      </c>
      <c r="B80" s="54">
        <f t="shared" ca="1" si="30"/>
        <v>877.43000000000006</v>
      </c>
      <c r="C80" s="54">
        <f t="shared" ca="1" si="27"/>
        <v>505.8</v>
      </c>
      <c r="D80" s="54">
        <f t="shared" ca="1" si="27"/>
        <v>0</v>
      </c>
      <c r="E80" s="54">
        <f t="shared" ca="1" si="27"/>
        <v>572</v>
      </c>
      <c r="F80" s="54">
        <f t="shared" ca="1" si="27"/>
        <v>0</v>
      </c>
      <c r="G80" s="54">
        <f t="shared" ca="1" si="27"/>
        <v>0</v>
      </c>
      <c r="H80" s="54">
        <f t="shared" ca="1" si="27"/>
        <v>0</v>
      </c>
      <c r="I80" s="54">
        <f t="shared" ca="1" si="27"/>
        <v>0</v>
      </c>
      <c r="J80" s="54">
        <f t="shared" ca="1" si="27"/>
        <v>0</v>
      </c>
      <c r="K80" s="54">
        <f t="shared" ca="1" si="27"/>
        <v>0</v>
      </c>
      <c r="L80" s="54">
        <f t="shared" ca="1" si="27"/>
        <v>0</v>
      </c>
      <c r="M80" s="54">
        <f t="shared" ca="1" si="27"/>
        <v>0</v>
      </c>
      <c r="N80" s="429">
        <f t="shared" ca="1" si="31"/>
        <v>162.93583333333333</v>
      </c>
      <c r="O80" s="429">
        <f>'ממוצע ורצוי'!N80</f>
        <v>100</v>
      </c>
      <c r="P80" s="54">
        <f t="shared" ca="1" si="28"/>
        <v>244.40375</v>
      </c>
      <c r="Q80" s="439">
        <v>120</v>
      </c>
      <c r="R80" s="192">
        <f t="shared" ca="1" si="29"/>
        <v>-124.40375</v>
      </c>
      <c r="S80" s="54" t="s">
        <v>150</v>
      </c>
      <c r="T80" s="57" t="s">
        <v>378</v>
      </c>
      <c r="U80" s="84"/>
    </row>
    <row r="81" spans="1:21">
      <c r="A81" t="s">
        <v>140</v>
      </c>
      <c r="B81" s="54">
        <f t="shared" ca="1" si="30"/>
        <v>95</v>
      </c>
      <c r="C81" s="54">
        <f t="shared" ca="1" si="27"/>
        <v>136</v>
      </c>
      <c r="D81" s="54">
        <f t="shared" ca="1" si="27"/>
        <v>118</v>
      </c>
      <c r="E81" s="54">
        <f t="shared" ca="1" si="27"/>
        <v>180</v>
      </c>
      <c r="F81" s="54">
        <f t="shared" ca="1" si="27"/>
        <v>0</v>
      </c>
      <c r="G81" s="54">
        <f t="shared" ca="1" si="27"/>
        <v>0</v>
      </c>
      <c r="H81" s="54">
        <f t="shared" ca="1" si="27"/>
        <v>0</v>
      </c>
      <c r="I81" s="54">
        <f t="shared" ca="1" si="27"/>
        <v>0</v>
      </c>
      <c r="J81" s="54">
        <f t="shared" ca="1" si="27"/>
        <v>0</v>
      </c>
      <c r="K81" s="54">
        <f t="shared" ca="1" si="27"/>
        <v>0</v>
      </c>
      <c r="L81" s="54">
        <f t="shared" ca="1" si="27"/>
        <v>0</v>
      </c>
      <c r="M81" s="54">
        <f t="shared" ca="1" si="27"/>
        <v>0</v>
      </c>
      <c r="N81" s="429">
        <f t="shared" ca="1" si="31"/>
        <v>44.083333333333336</v>
      </c>
      <c r="O81" s="429">
        <f>'ממוצע ורצוי'!N81</f>
        <v>500</v>
      </c>
      <c r="P81" s="54">
        <f t="shared" ca="1" si="28"/>
        <v>66.125</v>
      </c>
      <c r="Q81" s="439">
        <v>620</v>
      </c>
      <c r="R81" s="192">
        <f t="shared" ca="1" si="29"/>
        <v>553.875</v>
      </c>
      <c r="S81" s="54" t="s">
        <v>150</v>
      </c>
      <c r="T81" s="57" t="s">
        <v>378</v>
      </c>
      <c r="U81" s="84"/>
    </row>
    <row r="82" spans="1:21">
      <c r="A82" t="s">
        <v>122</v>
      </c>
      <c r="B82" s="54">
        <f t="shared" ca="1" si="30"/>
        <v>0</v>
      </c>
      <c r="C82" s="54">
        <f t="shared" ca="1" si="27"/>
        <v>0</v>
      </c>
      <c r="D82" s="54">
        <f t="shared" ca="1" si="27"/>
        <v>0</v>
      </c>
      <c r="E82" s="54">
        <f t="shared" ca="1" si="27"/>
        <v>0</v>
      </c>
      <c r="F82" s="54">
        <f t="shared" ca="1" si="27"/>
        <v>0</v>
      </c>
      <c r="G82" s="54">
        <f t="shared" ca="1" si="27"/>
        <v>0</v>
      </c>
      <c r="H82" s="54">
        <f t="shared" ca="1" si="27"/>
        <v>0</v>
      </c>
      <c r="I82" s="54">
        <f t="shared" ca="1" si="27"/>
        <v>0</v>
      </c>
      <c r="J82" s="54">
        <f t="shared" ca="1" si="27"/>
        <v>0</v>
      </c>
      <c r="K82" s="54">
        <f t="shared" ca="1" si="27"/>
        <v>0</v>
      </c>
      <c r="L82" s="54">
        <f t="shared" ca="1" si="27"/>
        <v>0</v>
      </c>
      <c r="M82" s="54">
        <f t="shared" ca="1" si="27"/>
        <v>0</v>
      </c>
      <c r="N82" s="429">
        <f ca="1">AVERAGE(B82:M82)</f>
        <v>0</v>
      </c>
      <c r="O82" s="429">
        <f>'ממוצע ורצוי'!N82</f>
        <v>0</v>
      </c>
      <c r="P82" s="54">
        <f t="shared" ca="1" si="28"/>
        <v>0</v>
      </c>
      <c r="Q82" s="54">
        <v>0</v>
      </c>
      <c r="R82" s="192">
        <f t="shared" ca="1" si="29"/>
        <v>0</v>
      </c>
      <c r="S82" s="54"/>
      <c r="T82" s="57"/>
      <c r="U82" s="84"/>
    </row>
    <row r="83" spans="1:21">
      <c r="A83" t="s">
        <v>123</v>
      </c>
      <c r="B83" s="54">
        <f t="shared" ca="1" si="30"/>
        <v>174.8</v>
      </c>
      <c r="C83" s="54">
        <f t="shared" ca="1" si="27"/>
        <v>366</v>
      </c>
      <c r="D83" s="54">
        <f t="shared" ca="1" si="27"/>
        <v>693.01</v>
      </c>
      <c r="E83" s="54">
        <f t="shared" ca="1" si="27"/>
        <v>1115.9000000000001</v>
      </c>
      <c r="F83" s="54">
        <f t="shared" ca="1" si="27"/>
        <v>0</v>
      </c>
      <c r="G83" s="54">
        <f t="shared" ca="1" si="27"/>
        <v>0</v>
      </c>
      <c r="H83" s="54">
        <f t="shared" ca="1" si="27"/>
        <v>0</v>
      </c>
      <c r="I83" s="54">
        <f t="shared" ca="1" si="27"/>
        <v>0</v>
      </c>
      <c r="J83" s="54">
        <f t="shared" ca="1" si="27"/>
        <v>0</v>
      </c>
      <c r="K83" s="54">
        <f t="shared" ca="1" si="27"/>
        <v>0</v>
      </c>
      <c r="L83" s="54">
        <f t="shared" ca="1" si="27"/>
        <v>0</v>
      </c>
      <c r="M83" s="54">
        <f t="shared" ca="1" si="27"/>
        <v>0</v>
      </c>
      <c r="N83" s="429">
        <f ca="1">AVERAGE(B83:M83)</f>
        <v>195.80916666666667</v>
      </c>
      <c r="O83" s="429">
        <f>'ממוצע ורצוי'!N83</f>
        <v>200</v>
      </c>
      <c r="P83" s="54">
        <f t="shared" ca="1" si="28"/>
        <v>293.71375</v>
      </c>
      <c r="Q83" s="439">
        <v>700</v>
      </c>
      <c r="R83" s="192">
        <f t="shared" ca="1" si="29"/>
        <v>406.28625</v>
      </c>
      <c r="S83" s="54" t="s">
        <v>150</v>
      </c>
      <c r="T83" s="57"/>
      <c r="U83" s="84"/>
    </row>
    <row r="84" spans="1:21">
      <c r="A84" t="s">
        <v>124</v>
      </c>
      <c r="B84" s="54">
        <f t="shared" ca="1" si="30"/>
        <v>0</v>
      </c>
      <c r="C84" s="54">
        <f t="shared" ca="1" si="27"/>
        <v>1106.25</v>
      </c>
      <c r="D84" s="54">
        <f t="shared" ca="1" si="27"/>
        <v>1275</v>
      </c>
      <c r="E84" s="54">
        <f t="shared" ca="1" si="27"/>
        <v>1106.25</v>
      </c>
      <c r="F84" s="54">
        <f t="shared" ca="1" si="27"/>
        <v>1106.25</v>
      </c>
      <c r="G84" s="54">
        <f t="shared" ca="1" si="27"/>
        <v>0</v>
      </c>
      <c r="H84" s="54">
        <f t="shared" ca="1" si="27"/>
        <v>0</v>
      </c>
      <c r="I84" s="54">
        <f t="shared" ca="1" si="27"/>
        <v>0</v>
      </c>
      <c r="J84" s="54">
        <f t="shared" ca="1" si="27"/>
        <v>0</v>
      </c>
      <c r="K84" s="54">
        <f t="shared" ca="1" si="27"/>
        <v>0</v>
      </c>
      <c r="L84" s="54">
        <f t="shared" ca="1" si="27"/>
        <v>0</v>
      </c>
      <c r="M84" s="54">
        <f t="shared" ca="1" si="27"/>
        <v>0</v>
      </c>
      <c r="N84" s="429">
        <f ca="1">AVERAGE(B84:M84)</f>
        <v>382.8125</v>
      </c>
      <c r="O84" s="429">
        <f>'ממוצע ורצוי'!N84</f>
        <v>0</v>
      </c>
      <c r="P84" s="54">
        <f t="shared" ca="1" si="28"/>
        <v>574.21875</v>
      </c>
      <c r="Q84" s="54">
        <v>0</v>
      </c>
      <c r="R84" s="192">
        <f t="shared" ca="1" si="29"/>
        <v>-574.21875</v>
      </c>
      <c r="S84" s="54"/>
      <c r="T84" s="57"/>
      <c r="U84" s="84"/>
    </row>
    <row r="85" spans="1:21">
      <c r="A85" t="s">
        <v>282</v>
      </c>
      <c r="B85" s="54">
        <f t="shared" ca="1" si="30"/>
        <v>0</v>
      </c>
      <c r="C85" s="54">
        <f t="shared" ca="1" si="27"/>
        <v>0</v>
      </c>
      <c r="D85" s="54">
        <f t="shared" ca="1" si="27"/>
        <v>0</v>
      </c>
      <c r="E85" s="54">
        <f t="shared" ca="1" si="27"/>
        <v>0</v>
      </c>
      <c r="F85" s="54">
        <f t="shared" ca="1" si="27"/>
        <v>0</v>
      </c>
      <c r="G85" s="54">
        <f t="shared" ca="1" si="27"/>
        <v>0</v>
      </c>
      <c r="H85" s="54">
        <f t="shared" ca="1" si="27"/>
        <v>0</v>
      </c>
      <c r="I85" s="54">
        <f t="shared" ca="1" si="27"/>
        <v>0</v>
      </c>
      <c r="J85" s="54">
        <f t="shared" ca="1" si="27"/>
        <v>0</v>
      </c>
      <c r="K85" s="54">
        <f t="shared" ca="1" si="27"/>
        <v>0</v>
      </c>
      <c r="L85" s="54">
        <f t="shared" ca="1" si="27"/>
        <v>0</v>
      </c>
      <c r="M85" s="54">
        <f t="shared" ca="1" si="27"/>
        <v>0</v>
      </c>
      <c r="N85" s="429">
        <f t="shared" ca="1" si="31"/>
        <v>0</v>
      </c>
      <c r="O85" s="429">
        <f>'ממוצע ורצוי'!N85</f>
        <v>0</v>
      </c>
      <c r="P85" s="54">
        <f t="shared" ca="1" si="28"/>
        <v>0</v>
      </c>
      <c r="Q85" s="54">
        <v>0</v>
      </c>
      <c r="R85" s="192">
        <f t="shared" ca="1" si="29"/>
        <v>0</v>
      </c>
      <c r="S85" s="54"/>
      <c r="T85" s="57"/>
      <c r="U85" s="84"/>
    </row>
    <row r="86" spans="1:21">
      <c r="A86" t="s">
        <v>8</v>
      </c>
      <c r="B86" s="54">
        <f t="shared" ca="1" si="30"/>
        <v>0</v>
      </c>
      <c r="C86" s="54">
        <f t="shared" ca="1" si="27"/>
        <v>0</v>
      </c>
      <c r="D86" s="54">
        <f t="shared" ca="1" si="27"/>
        <v>0</v>
      </c>
      <c r="E86" s="54">
        <f t="shared" ca="1" si="27"/>
        <v>0</v>
      </c>
      <c r="F86" s="54">
        <f t="shared" ca="1" si="27"/>
        <v>0</v>
      </c>
      <c r="G86" s="54">
        <f t="shared" ca="1" si="27"/>
        <v>0</v>
      </c>
      <c r="H86" s="54">
        <f t="shared" ca="1" si="27"/>
        <v>0</v>
      </c>
      <c r="I86" s="54">
        <f t="shared" ca="1" si="27"/>
        <v>0</v>
      </c>
      <c r="J86" s="54">
        <f t="shared" ca="1" si="27"/>
        <v>0</v>
      </c>
      <c r="K86" s="54">
        <f t="shared" ca="1" si="27"/>
        <v>0</v>
      </c>
      <c r="L86" s="54">
        <f t="shared" ca="1" si="27"/>
        <v>0</v>
      </c>
      <c r="M86" s="54">
        <f t="shared" ca="1" si="27"/>
        <v>0</v>
      </c>
      <c r="N86" s="429">
        <f t="shared" ca="1" si="31"/>
        <v>0</v>
      </c>
      <c r="O86" s="429">
        <f>'ממוצע ורצוי'!N86</f>
        <v>0</v>
      </c>
      <c r="P86" s="54">
        <f t="shared" ca="1" si="28"/>
        <v>0</v>
      </c>
      <c r="Q86" s="54">
        <v>0</v>
      </c>
      <c r="R86" s="192">
        <f t="shared" ca="1" si="29"/>
        <v>0</v>
      </c>
      <c r="S86" s="54"/>
      <c r="T86" s="57"/>
      <c r="U86" s="84"/>
    </row>
    <row r="87" spans="1:21">
      <c r="A87" t="s">
        <v>8</v>
      </c>
      <c r="B87" s="54">
        <f t="shared" ca="1" si="30"/>
        <v>0</v>
      </c>
      <c r="C87" s="54">
        <f t="shared" ca="1" si="27"/>
        <v>0</v>
      </c>
      <c r="D87" s="54">
        <f t="shared" ca="1" si="27"/>
        <v>0</v>
      </c>
      <c r="E87" s="54">
        <f t="shared" ca="1" si="27"/>
        <v>0</v>
      </c>
      <c r="F87" s="54">
        <f t="shared" ca="1" si="27"/>
        <v>0</v>
      </c>
      <c r="G87" s="54">
        <f t="shared" ca="1" si="27"/>
        <v>0</v>
      </c>
      <c r="H87" s="54">
        <f t="shared" ca="1" si="27"/>
        <v>0</v>
      </c>
      <c r="I87" s="54">
        <f t="shared" ca="1" si="27"/>
        <v>0</v>
      </c>
      <c r="J87" s="54">
        <f t="shared" ca="1" si="27"/>
        <v>0</v>
      </c>
      <c r="K87" s="54">
        <f t="shared" ca="1" si="27"/>
        <v>0</v>
      </c>
      <c r="L87" s="54">
        <f t="shared" ca="1" si="27"/>
        <v>0</v>
      </c>
      <c r="M87" s="54">
        <f t="shared" ca="1" si="27"/>
        <v>0</v>
      </c>
      <c r="N87" s="429">
        <f t="shared" ca="1" si="31"/>
        <v>0</v>
      </c>
      <c r="O87" s="429">
        <f>'ממוצע ורצוי'!N87</f>
        <v>0</v>
      </c>
      <c r="P87" s="54">
        <f t="shared" ca="1" si="28"/>
        <v>0</v>
      </c>
      <c r="Q87" s="54">
        <v>0</v>
      </c>
      <c r="R87" s="192">
        <f t="shared" ca="1" si="29"/>
        <v>0</v>
      </c>
      <c r="S87" s="54"/>
      <c r="T87" s="57"/>
      <c r="U87" s="84"/>
    </row>
    <row r="88" spans="1:21" ht="13.5" thickBot="1">
      <c r="A88" s="440" t="s">
        <v>258</v>
      </c>
      <c r="B88" s="431">
        <f t="shared" ref="B88:N88" ca="1" si="32">SUM(B75:B87)</f>
        <v>2661.2300000000005</v>
      </c>
      <c r="C88" s="431">
        <f t="shared" ca="1" si="32"/>
        <v>6816.68</v>
      </c>
      <c r="D88" s="431">
        <f t="shared" ca="1" si="32"/>
        <v>4936.05</v>
      </c>
      <c r="E88" s="431">
        <f t="shared" ca="1" si="32"/>
        <v>9483.65</v>
      </c>
      <c r="F88" s="431">
        <f t="shared" ca="1" si="32"/>
        <v>3686.8599999999997</v>
      </c>
      <c r="G88" s="431">
        <f t="shared" ca="1" si="32"/>
        <v>2580.6099999999997</v>
      </c>
      <c r="H88" s="431">
        <f t="shared" ca="1" si="32"/>
        <v>0</v>
      </c>
      <c r="I88" s="431">
        <f t="shared" ca="1" si="32"/>
        <v>0</v>
      </c>
      <c r="J88" s="431">
        <f t="shared" ca="1" si="32"/>
        <v>0</v>
      </c>
      <c r="K88" s="431">
        <f t="shared" ca="1" si="32"/>
        <v>0</v>
      </c>
      <c r="L88" s="431">
        <f t="shared" ca="1" si="32"/>
        <v>0</v>
      </c>
      <c r="M88" s="431">
        <f t="shared" ca="1" si="32"/>
        <v>0</v>
      </c>
      <c r="N88" s="441">
        <f t="shared" ca="1" si="32"/>
        <v>2513.7566666666662</v>
      </c>
      <c r="O88" s="441">
        <f>'ממוצע ורצוי'!N88</f>
        <v>2600</v>
      </c>
      <c r="P88" s="431">
        <f ca="1">SUM(P75:P87)</f>
        <v>3770.6349999999998</v>
      </c>
      <c r="Q88" s="431">
        <f>SUM(Q75:Q87)</f>
        <v>3290</v>
      </c>
      <c r="R88" s="433"/>
      <c r="S88" s="431"/>
      <c r="T88" s="432"/>
      <c r="U88" s="84"/>
    </row>
    <row r="89" spans="1:21" ht="13.5" thickBot="1">
      <c r="A89" s="434" t="s">
        <v>305</v>
      </c>
      <c r="B89" s="435">
        <f t="shared" ref="B89:M89" ca="1" si="33">B88-$O88</f>
        <v>61.230000000000473</v>
      </c>
      <c r="C89" s="435">
        <f t="shared" ca="1" si="33"/>
        <v>4216.68</v>
      </c>
      <c r="D89" s="435">
        <f t="shared" ca="1" si="33"/>
        <v>2336.0500000000002</v>
      </c>
      <c r="E89" s="435">
        <f t="shared" ca="1" si="33"/>
        <v>6883.65</v>
      </c>
      <c r="F89" s="435">
        <f t="shared" ca="1" si="33"/>
        <v>1086.8599999999997</v>
      </c>
      <c r="G89" s="435">
        <f t="shared" ca="1" si="33"/>
        <v>-19.390000000000327</v>
      </c>
      <c r="H89" s="435">
        <f t="shared" ca="1" si="33"/>
        <v>-2600</v>
      </c>
      <c r="I89" s="435">
        <f t="shared" ca="1" si="33"/>
        <v>-2600</v>
      </c>
      <c r="J89" s="435">
        <f t="shared" ca="1" si="33"/>
        <v>-2600</v>
      </c>
      <c r="K89" s="435">
        <f t="shared" ca="1" si="33"/>
        <v>-2600</v>
      </c>
      <c r="L89" s="435">
        <f t="shared" ca="1" si="33"/>
        <v>-2600</v>
      </c>
      <c r="M89" s="435">
        <f t="shared" ca="1" si="33"/>
        <v>-2600</v>
      </c>
      <c r="N89" s="436"/>
      <c r="O89" s="436"/>
      <c r="P89" s="435"/>
      <c r="Q89" s="435"/>
      <c r="R89" s="437"/>
      <c r="S89" s="435"/>
      <c r="T89" s="438"/>
      <c r="U89" s="84"/>
    </row>
    <row r="90" spans="1:21">
      <c r="A90" s="404" t="s">
        <v>125</v>
      </c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6"/>
      <c r="O90" s="406"/>
      <c r="P90" s="405"/>
      <c r="Q90" s="405"/>
      <c r="R90" s="413"/>
      <c r="S90" s="405"/>
      <c r="T90" s="406"/>
      <c r="U90" s="84"/>
    </row>
    <row r="91" spans="1:21">
      <c r="A91" s="408" t="s">
        <v>67</v>
      </c>
      <c r="B91" s="409">
        <v>1</v>
      </c>
      <c r="C91" s="409">
        <v>2</v>
      </c>
      <c r="D91" s="409">
        <v>3</v>
      </c>
      <c r="E91" s="409">
        <v>4</v>
      </c>
      <c r="F91" s="409">
        <v>5</v>
      </c>
      <c r="G91" s="409">
        <v>6</v>
      </c>
      <c r="H91" s="409">
        <v>7</v>
      </c>
      <c r="I91" s="409">
        <v>8</v>
      </c>
      <c r="J91" s="409">
        <v>9</v>
      </c>
      <c r="K91" s="409">
        <v>10</v>
      </c>
      <c r="L91" s="409">
        <v>11</v>
      </c>
      <c r="M91" s="409">
        <v>12</v>
      </c>
      <c r="N91" s="410" t="s">
        <v>53</v>
      </c>
      <c r="O91" s="416" t="s">
        <v>181</v>
      </c>
      <c r="P91" s="409"/>
      <c r="Q91" s="409"/>
      <c r="R91" s="418"/>
      <c r="S91" s="409"/>
      <c r="T91" s="410"/>
      <c r="U91" s="84"/>
    </row>
    <row r="92" spans="1:21">
      <c r="A92" t="s">
        <v>126</v>
      </c>
      <c r="B92" s="54">
        <f t="shared" ref="B92:M97" ca="1" si="34">SUMIF((INDIRECT("'"&amp;B$2&amp;"'!"&amp;"H:H")),$A92,(INDIRECT("'"&amp;B$2&amp;"'!"&amp;"G:G")))</f>
        <v>471.38</v>
      </c>
      <c r="C92" s="54">
        <f t="shared" ca="1" si="34"/>
        <v>516.57999999999993</v>
      </c>
      <c r="D92" s="54">
        <f t="shared" ca="1" si="34"/>
        <v>386.1</v>
      </c>
      <c r="E92" s="54">
        <f t="shared" ca="1" si="34"/>
        <v>442.16</v>
      </c>
      <c r="F92" s="54">
        <f t="shared" ca="1" si="34"/>
        <v>406</v>
      </c>
      <c r="G92" s="54">
        <f t="shared" ca="1" si="34"/>
        <v>406</v>
      </c>
      <c r="H92" s="54">
        <f t="shared" ca="1" si="34"/>
        <v>406</v>
      </c>
      <c r="I92" s="54">
        <f t="shared" ca="1" si="34"/>
        <v>406</v>
      </c>
      <c r="J92" s="54">
        <f t="shared" ca="1" si="34"/>
        <v>406</v>
      </c>
      <c r="K92" s="54">
        <f t="shared" ca="1" si="34"/>
        <v>406</v>
      </c>
      <c r="L92" s="54">
        <f t="shared" ca="1" si="34"/>
        <v>406</v>
      </c>
      <c r="M92" s="54">
        <f t="shared" ca="1" si="34"/>
        <v>406</v>
      </c>
      <c r="N92" s="429">
        <f t="shared" ref="N92:N97" ca="1" si="35">AVERAGE(B92:M92)</f>
        <v>422.01833333333337</v>
      </c>
      <c r="O92" s="429">
        <f>'ממוצע ורצוי'!N92</f>
        <v>480</v>
      </c>
      <c r="P92" s="54">
        <f t="shared" ref="P92:P97" ca="1" si="36">AVERAGE(B92:I92)</f>
        <v>430.02750000000003</v>
      </c>
      <c r="Q92" s="54">
        <v>490</v>
      </c>
      <c r="R92" s="192">
        <f t="shared" ref="R92:R97" ca="1" si="37">Q92-P92</f>
        <v>59.972499999999968</v>
      </c>
      <c r="S92" s="54" t="s">
        <v>156</v>
      </c>
      <c r="T92" s="57"/>
      <c r="U92" s="84"/>
    </row>
    <row r="93" spans="1:21">
      <c r="A93" t="s">
        <v>127</v>
      </c>
      <c r="B93" s="54">
        <f t="shared" ca="1" si="34"/>
        <v>1074.17</v>
      </c>
      <c r="C93" s="54">
        <f t="shared" ca="1" si="34"/>
        <v>1012.54</v>
      </c>
      <c r="D93" s="54">
        <f t="shared" ca="1" si="34"/>
        <v>1011.37</v>
      </c>
      <c r="E93" s="54">
        <f t="shared" ca="1" si="34"/>
        <v>993.29</v>
      </c>
      <c r="F93" s="54">
        <f t="shared" ca="1" si="34"/>
        <v>996</v>
      </c>
      <c r="G93" s="54">
        <f t="shared" ca="1" si="34"/>
        <v>996</v>
      </c>
      <c r="H93" s="54">
        <f t="shared" ca="1" si="34"/>
        <v>996</v>
      </c>
      <c r="I93" s="54">
        <f t="shared" ca="1" si="34"/>
        <v>996</v>
      </c>
      <c r="J93" s="54">
        <f t="shared" ca="1" si="34"/>
        <v>996</v>
      </c>
      <c r="K93" s="54">
        <f t="shared" ca="1" si="34"/>
        <v>996</v>
      </c>
      <c r="L93" s="54">
        <f t="shared" ca="1" si="34"/>
        <v>996</v>
      </c>
      <c r="M93" s="54">
        <f t="shared" ca="1" si="34"/>
        <v>996</v>
      </c>
      <c r="N93" s="429">
        <f t="shared" ca="1" si="35"/>
        <v>1004.9474999999999</v>
      </c>
      <c r="O93" s="429">
        <f>'ממוצע ורצוי'!N93</f>
        <v>400</v>
      </c>
      <c r="P93" s="54">
        <f t="shared" ca="1" si="36"/>
        <v>1009.42125</v>
      </c>
      <c r="Q93" s="54">
        <v>600</v>
      </c>
      <c r="R93" s="192">
        <f t="shared" ca="1" si="37"/>
        <v>-409.42124999999999</v>
      </c>
      <c r="S93" s="54" t="s">
        <v>156</v>
      </c>
      <c r="T93" s="57"/>
      <c r="U93" s="84"/>
    </row>
    <row r="94" spans="1:21">
      <c r="A94" t="s">
        <v>128</v>
      </c>
      <c r="B94" s="54">
        <f t="shared" ca="1" si="34"/>
        <v>0</v>
      </c>
      <c r="C94" s="54">
        <f t="shared" ca="1" si="34"/>
        <v>0</v>
      </c>
      <c r="D94" s="54">
        <f t="shared" ca="1" si="34"/>
        <v>0</v>
      </c>
      <c r="E94" s="54">
        <f t="shared" ca="1" si="34"/>
        <v>52</v>
      </c>
      <c r="F94" s="54">
        <f t="shared" ca="1" si="34"/>
        <v>0</v>
      </c>
      <c r="G94" s="54">
        <f t="shared" ca="1" si="34"/>
        <v>0</v>
      </c>
      <c r="H94" s="54">
        <f t="shared" ca="1" si="34"/>
        <v>0</v>
      </c>
      <c r="I94" s="54">
        <f t="shared" ca="1" si="34"/>
        <v>0</v>
      </c>
      <c r="J94" s="54">
        <f t="shared" ca="1" si="34"/>
        <v>0</v>
      </c>
      <c r="K94" s="54">
        <f t="shared" ca="1" si="34"/>
        <v>0</v>
      </c>
      <c r="L94" s="54">
        <f t="shared" ca="1" si="34"/>
        <v>0</v>
      </c>
      <c r="M94" s="54">
        <f t="shared" ca="1" si="34"/>
        <v>0</v>
      </c>
      <c r="N94" s="429">
        <f t="shared" ca="1" si="35"/>
        <v>4.333333333333333</v>
      </c>
      <c r="O94" s="429">
        <f>'ממוצע ורצוי'!N94</f>
        <v>100</v>
      </c>
      <c r="P94" s="54">
        <f t="shared" ca="1" si="36"/>
        <v>6.5</v>
      </c>
      <c r="Q94" s="54">
        <v>250</v>
      </c>
      <c r="R94" s="192">
        <f t="shared" ca="1" si="37"/>
        <v>243.5</v>
      </c>
      <c r="S94" s="54" t="s">
        <v>150</v>
      </c>
      <c r="T94" s="57"/>
      <c r="U94" s="84"/>
    </row>
    <row r="95" spans="1:21">
      <c r="A95" t="s">
        <v>129</v>
      </c>
      <c r="B95" s="54">
        <f t="shared" ca="1" si="34"/>
        <v>0</v>
      </c>
      <c r="C95" s="54">
        <f t="shared" ca="1" si="34"/>
        <v>99.9</v>
      </c>
      <c r="D95" s="54">
        <f t="shared" ca="1" si="34"/>
        <v>0</v>
      </c>
      <c r="E95" s="54">
        <f t="shared" ca="1" si="34"/>
        <v>0</v>
      </c>
      <c r="F95" s="54">
        <f t="shared" ca="1" si="34"/>
        <v>0</v>
      </c>
      <c r="G95" s="54">
        <f t="shared" ca="1" si="34"/>
        <v>0</v>
      </c>
      <c r="H95" s="54">
        <f t="shared" ca="1" si="34"/>
        <v>0</v>
      </c>
      <c r="I95" s="54">
        <f t="shared" ca="1" si="34"/>
        <v>0</v>
      </c>
      <c r="J95" s="54">
        <f t="shared" ca="1" si="34"/>
        <v>0</v>
      </c>
      <c r="K95" s="54">
        <f t="shared" ca="1" si="34"/>
        <v>0</v>
      </c>
      <c r="L95" s="54">
        <f t="shared" ca="1" si="34"/>
        <v>0</v>
      </c>
      <c r="M95" s="54">
        <f t="shared" ca="1" si="34"/>
        <v>0</v>
      </c>
      <c r="N95" s="429">
        <f t="shared" ca="1" si="35"/>
        <v>8.3250000000000011</v>
      </c>
      <c r="O95" s="429">
        <f>'ממוצע ורצוי'!N95</f>
        <v>0</v>
      </c>
      <c r="P95" s="54">
        <f t="shared" ca="1" si="36"/>
        <v>12.487500000000001</v>
      </c>
      <c r="Q95" s="54">
        <v>200</v>
      </c>
      <c r="R95" s="192">
        <f t="shared" ca="1" si="37"/>
        <v>187.51249999999999</v>
      </c>
      <c r="S95" s="54" t="s">
        <v>150</v>
      </c>
      <c r="T95" s="57"/>
      <c r="U95" s="84"/>
    </row>
    <row r="96" spans="1:21">
      <c r="A96" t="s">
        <v>8</v>
      </c>
      <c r="B96" s="54">
        <f t="shared" ca="1" si="34"/>
        <v>0</v>
      </c>
      <c r="C96" s="54">
        <f t="shared" ca="1" si="34"/>
        <v>0</v>
      </c>
      <c r="D96" s="54">
        <f t="shared" ca="1" si="34"/>
        <v>0</v>
      </c>
      <c r="E96" s="54">
        <f t="shared" ca="1" si="34"/>
        <v>0</v>
      </c>
      <c r="F96" s="54">
        <f t="shared" ca="1" si="34"/>
        <v>0</v>
      </c>
      <c r="G96" s="54">
        <f t="shared" ca="1" si="34"/>
        <v>0</v>
      </c>
      <c r="H96" s="54">
        <f t="shared" ca="1" si="34"/>
        <v>0</v>
      </c>
      <c r="I96" s="54">
        <f t="shared" ca="1" si="34"/>
        <v>0</v>
      </c>
      <c r="J96" s="54">
        <f t="shared" ca="1" si="34"/>
        <v>0</v>
      </c>
      <c r="K96" s="54">
        <f t="shared" ca="1" si="34"/>
        <v>0</v>
      </c>
      <c r="L96" s="54">
        <f t="shared" ca="1" si="34"/>
        <v>0</v>
      </c>
      <c r="M96" s="54">
        <f t="shared" ca="1" si="34"/>
        <v>0</v>
      </c>
      <c r="N96" s="429">
        <f t="shared" ca="1" si="35"/>
        <v>0</v>
      </c>
      <c r="O96" s="429">
        <f>'ממוצע ורצוי'!N96</f>
        <v>0</v>
      </c>
      <c r="P96" s="54">
        <f t="shared" ca="1" si="36"/>
        <v>0</v>
      </c>
      <c r="Q96" s="54">
        <v>0</v>
      </c>
      <c r="R96" s="192">
        <f t="shared" ca="1" si="37"/>
        <v>0</v>
      </c>
      <c r="S96" s="54"/>
      <c r="T96" s="57"/>
      <c r="U96" s="84"/>
    </row>
    <row r="97" spans="1:21">
      <c r="A97" t="s">
        <v>380</v>
      </c>
      <c r="B97" s="54">
        <f t="shared" ca="1" si="34"/>
        <v>0</v>
      </c>
      <c r="C97" s="54">
        <f t="shared" ca="1" si="34"/>
        <v>0</v>
      </c>
      <c r="D97" s="54">
        <f t="shared" ca="1" si="34"/>
        <v>0</v>
      </c>
      <c r="E97" s="54">
        <f t="shared" ca="1" si="34"/>
        <v>0</v>
      </c>
      <c r="F97" s="54">
        <f t="shared" ca="1" si="34"/>
        <v>0</v>
      </c>
      <c r="G97" s="54">
        <f t="shared" ca="1" si="34"/>
        <v>0</v>
      </c>
      <c r="H97" s="54">
        <f t="shared" ca="1" si="34"/>
        <v>0</v>
      </c>
      <c r="I97" s="54">
        <f t="shared" ca="1" si="34"/>
        <v>0</v>
      </c>
      <c r="J97" s="54">
        <f t="shared" ca="1" si="34"/>
        <v>0</v>
      </c>
      <c r="K97" s="54">
        <f t="shared" ca="1" si="34"/>
        <v>0</v>
      </c>
      <c r="L97" s="54">
        <f t="shared" ca="1" si="34"/>
        <v>0</v>
      </c>
      <c r="M97" s="54">
        <f t="shared" ca="1" si="34"/>
        <v>0</v>
      </c>
      <c r="N97" s="429">
        <f t="shared" ca="1" si="35"/>
        <v>0</v>
      </c>
      <c r="O97" s="429">
        <f>'ממוצע ורצוי'!N97</f>
        <v>0</v>
      </c>
      <c r="P97" s="54">
        <f t="shared" ca="1" si="36"/>
        <v>0</v>
      </c>
      <c r="Q97" s="54">
        <v>0</v>
      </c>
      <c r="R97" s="192">
        <f t="shared" ca="1" si="37"/>
        <v>0</v>
      </c>
      <c r="S97" s="54"/>
      <c r="T97" s="57"/>
      <c r="U97" s="84"/>
    </row>
    <row r="98" spans="1:21" ht="13.5" thickBot="1">
      <c r="A98" s="440" t="s">
        <v>259</v>
      </c>
      <c r="B98" s="431">
        <f t="shared" ref="B98:N98" ca="1" si="38">SUM(B92:B97)</f>
        <v>1545.5500000000002</v>
      </c>
      <c r="C98" s="431">
        <f t="shared" ca="1" si="38"/>
        <v>1629.02</v>
      </c>
      <c r="D98" s="431">
        <f t="shared" ca="1" si="38"/>
        <v>1397.47</v>
      </c>
      <c r="E98" s="431">
        <f t="shared" ca="1" si="38"/>
        <v>1487.45</v>
      </c>
      <c r="F98" s="431">
        <f t="shared" ca="1" si="38"/>
        <v>1402</v>
      </c>
      <c r="G98" s="431">
        <f t="shared" ca="1" si="38"/>
        <v>1402</v>
      </c>
      <c r="H98" s="431">
        <f t="shared" ca="1" si="38"/>
        <v>1402</v>
      </c>
      <c r="I98" s="431">
        <f t="shared" ca="1" si="38"/>
        <v>1402</v>
      </c>
      <c r="J98" s="431">
        <f t="shared" ca="1" si="38"/>
        <v>1402</v>
      </c>
      <c r="K98" s="431">
        <f t="shared" ca="1" si="38"/>
        <v>1402</v>
      </c>
      <c r="L98" s="431">
        <f t="shared" ca="1" si="38"/>
        <v>1402</v>
      </c>
      <c r="M98" s="431">
        <f t="shared" ca="1" si="38"/>
        <v>1402</v>
      </c>
      <c r="N98" s="441">
        <f t="shared" ca="1" si="38"/>
        <v>1439.6241666666665</v>
      </c>
      <c r="O98" s="441">
        <f>'ממוצע ורצוי'!N98</f>
        <v>980</v>
      </c>
      <c r="P98" s="431">
        <f ca="1">SUM(P92:P97)</f>
        <v>1458.43625</v>
      </c>
      <c r="Q98" s="431">
        <f>SUM(Q92:Q97)</f>
        <v>1540</v>
      </c>
      <c r="R98" s="433"/>
      <c r="S98" s="431"/>
      <c r="T98" s="432"/>
      <c r="U98" s="84"/>
    </row>
    <row r="99" spans="1:21" ht="13.5" thickBot="1">
      <c r="A99" s="434" t="s">
        <v>305</v>
      </c>
      <c r="B99" s="435">
        <f t="shared" ref="B99:M99" ca="1" si="39">B98-$O98</f>
        <v>565.55000000000018</v>
      </c>
      <c r="C99" s="435">
        <f t="shared" ca="1" si="39"/>
        <v>649.02</v>
      </c>
      <c r="D99" s="435">
        <f t="shared" ca="1" si="39"/>
        <v>417.47</v>
      </c>
      <c r="E99" s="435">
        <f t="shared" ca="1" si="39"/>
        <v>507.45000000000005</v>
      </c>
      <c r="F99" s="435">
        <f t="shared" ca="1" si="39"/>
        <v>422</v>
      </c>
      <c r="G99" s="435">
        <f t="shared" ca="1" si="39"/>
        <v>422</v>
      </c>
      <c r="H99" s="435">
        <f t="shared" ca="1" si="39"/>
        <v>422</v>
      </c>
      <c r="I99" s="435">
        <f t="shared" ca="1" si="39"/>
        <v>422</v>
      </c>
      <c r="J99" s="435">
        <f t="shared" ca="1" si="39"/>
        <v>422</v>
      </c>
      <c r="K99" s="435">
        <f t="shared" ca="1" si="39"/>
        <v>422</v>
      </c>
      <c r="L99" s="435">
        <f t="shared" ca="1" si="39"/>
        <v>422</v>
      </c>
      <c r="M99" s="435">
        <f t="shared" ca="1" si="39"/>
        <v>422</v>
      </c>
      <c r="N99" s="436"/>
      <c r="O99" s="436"/>
      <c r="P99" s="435"/>
      <c r="Q99" s="435"/>
      <c r="R99" s="437"/>
      <c r="S99" s="435"/>
      <c r="T99" s="438"/>
      <c r="U99" s="84"/>
    </row>
    <row r="100" spans="1:21">
      <c r="A100" s="404" t="s">
        <v>130</v>
      </c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6"/>
      <c r="O100" s="406"/>
      <c r="P100" s="405"/>
      <c r="Q100" s="405"/>
      <c r="R100" s="413"/>
      <c r="S100" s="405"/>
      <c r="T100" s="406"/>
      <c r="U100" s="84"/>
    </row>
    <row r="101" spans="1:21">
      <c r="A101" s="408" t="s">
        <v>67</v>
      </c>
      <c r="B101" s="409">
        <v>1</v>
      </c>
      <c r="C101" s="409">
        <v>2</v>
      </c>
      <c r="D101" s="409">
        <v>3</v>
      </c>
      <c r="E101" s="409">
        <v>4</v>
      </c>
      <c r="F101" s="409">
        <v>5</v>
      </c>
      <c r="G101" s="409">
        <v>6</v>
      </c>
      <c r="H101" s="409">
        <v>7</v>
      </c>
      <c r="I101" s="409">
        <v>8</v>
      </c>
      <c r="J101" s="409">
        <v>9</v>
      </c>
      <c r="K101" s="409">
        <v>10</v>
      </c>
      <c r="L101" s="409">
        <v>11</v>
      </c>
      <c r="M101" s="409">
        <v>12</v>
      </c>
      <c r="N101" s="410" t="s">
        <v>53</v>
      </c>
      <c r="O101" s="416" t="s">
        <v>181</v>
      </c>
      <c r="P101" s="409"/>
      <c r="Q101" s="409"/>
      <c r="R101" s="418"/>
      <c r="S101" s="409"/>
      <c r="T101" s="410"/>
      <c r="U101" s="84"/>
    </row>
    <row r="102" spans="1:21">
      <c r="A102" t="s">
        <v>176</v>
      </c>
      <c r="B102" s="54">
        <f t="shared" ref="B102:M110" ca="1" si="40">SUMIF((INDIRECT("'"&amp;B$2&amp;"'!"&amp;"H:H")),$A102,(INDIRECT("'"&amp;B$2&amp;"'!"&amp;"G:G")))</f>
        <v>500</v>
      </c>
      <c r="C102" s="54">
        <f t="shared" ca="1" si="40"/>
        <v>500</v>
      </c>
      <c r="D102" s="54">
        <f t="shared" ca="1" si="40"/>
        <v>500</v>
      </c>
      <c r="E102" s="54">
        <f t="shared" ca="1" si="40"/>
        <v>500</v>
      </c>
      <c r="F102" s="54">
        <f t="shared" ca="1" si="40"/>
        <v>500</v>
      </c>
      <c r="G102" s="54">
        <f t="shared" ca="1" si="40"/>
        <v>500</v>
      </c>
      <c r="H102" s="54">
        <f t="shared" ca="1" si="40"/>
        <v>500</v>
      </c>
      <c r="I102" s="54">
        <f t="shared" ca="1" si="40"/>
        <v>500</v>
      </c>
      <c r="J102" s="54">
        <f t="shared" ca="1" si="40"/>
        <v>500</v>
      </c>
      <c r="K102" s="54">
        <f t="shared" ca="1" si="40"/>
        <v>500</v>
      </c>
      <c r="L102" s="54">
        <f t="shared" ca="1" si="40"/>
        <v>500</v>
      </c>
      <c r="M102" s="54">
        <f t="shared" ca="1" si="40"/>
        <v>500</v>
      </c>
      <c r="N102" s="429">
        <f t="shared" ref="N102:N110" ca="1" si="41">AVERAGE(B102:M102)</f>
        <v>500</v>
      </c>
      <c r="O102" s="429">
        <f>'ממוצע ורצוי'!N102</f>
        <v>500</v>
      </c>
      <c r="P102" s="54">
        <f t="shared" ref="P102:P110" ca="1" si="42">AVERAGE(B102:I102)</f>
        <v>500</v>
      </c>
      <c r="Q102" s="54">
        <v>3000</v>
      </c>
      <c r="R102" s="192">
        <f t="shared" ref="R102:R110" ca="1" si="43">Q102-P102</f>
        <v>2500</v>
      </c>
      <c r="S102" s="54"/>
      <c r="T102" s="57"/>
      <c r="U102" s="84"/>
    </row>
    <row r="103" spans="1:21">
      <c r="A103" t="s">
        <v>131</v>
      </c>
      <c r="B103" s="54">
        <f t="shared" ca="1" si="40"/>
        <v>0</v>
      </c>
      <c r="C103" s="54">
        <f t="shared" ca="1" si="40"/>
        <v>0</v>
      </c>
      <c r="D103" s="54">
        <f t="shared" ca="1" si="40"/>
        <v>0</v>
      </c>
      <c r="E103" s="54">
        <f t="shared" ca="1" si="40"/>
        <v>0</v>
      </c>
      <c r="F103" s="54">
        <f t="shared" ca="1" si="40"/>
        <v>0</v>
      </c>
      <c r="G103" s="54">
        <f t="shared" ca="1" si="40"/>
        <v>0</v>
      </c>
      <c r="H103" s="54">
        <f t="shared" ca="1" si="40"/>
        <v>0</v>
      </c>
      <c r="I103" s="54">
        <f t="shared" ca="1" si="40"/>
        <v>0</v>
      </c>
      <c r="J103" s="54">
        <f t="shared" ca="1" si="40"/>
        <v>0</v>
      </c>
      <c r="K103" s="54">
        <f t="shared" ca="1" si="40"/>
        <v>0</v>
      </c>
      <c r="L103" s="54">
        <f t="shared" ca="1" si="40"/>
        <v>0</v>
      </c>
      <c r="M103" s="54">
        <f t="shared" ca="1" si="40"/>
        <v>0</v>
      </c>
      <c r="N103" s="429">
        <f t="shared" ca="1" si="41"/>
        <v>0</v>
      </c>
      <c r="O103" s="429">
        <f>'ממוצע ורצוי'!N103</f>
        <v>0</v>
      </c>
      <c r="P103" s="54">
        <f t="shared" ca="1" si="42"/>
        <v>0</v>
      </c>
      <c r="Q103" s="54">
        <v>0</v>
      </c>
      <c r="R103" s="192">
        <f t="shared" ca="1" si="43"/>
        <v>0</v>
      </c>
      <c r="S103" s="54"/>
      <c r="T103" s="57"/>
      <c r="U103" s="84"/>
    </row>
    <row r="104" spans="1:21">
      <c r="A104" t="s">
        <v>132</v>
      </c>
      <c r="B104" s="54">
        <f t="shared" ca="1" si="40"/>
        <v>0</v>
      </c>
      <c r="C104" s="54">
        <f t="shared" ca="1" si="40"/>
        <v>0</v>
      </c>
      <c r="D104" s="54">
        <f t="shared" ca="1" si="40"/>
        <v>0</v>
      </c>
      <c r="E104" s="54">
        <f t="shared" ca="1" si="40"/>
        <v>0</v>
      </c>
      <c r="F104" s="54">
        <f t="shared" ca="1" si="40"/>
        <v>0</v>
      </c>
      <c r="G104" s="54">
        <f t="shared" ca="1" si="40"/>
        <v>0</v>
      </c>
      <c r="H104" s="54">
        <f t="shared" ca="1" si="40"/>
        <v>0</v>
      </c>
      <c r="I104" s="54">
        <f t="shared" ca="1" si="40"/>
        <v>0</v>
      </c>
      <c r="J104" s="54">
        <f t="shared" ca="1" si="40"/>
        <v>0</v>
      </c>
      <c r="K104" s="54">
        <f t="shared" ca="1" si="40"/>
        <v>0</v>
      </c>
      <c r="L104" s="54">
        <f t="shared" ca="1" si="40"/>
        <v>0</v>
      </c>
      <c r="M104" s="54">
        <f t="shared" ca="1" si="40"/>
        <v>0</v>
      </c>
      <c r="N104" s="429">
        <f t="shared" ca="1" si="41"/>
        <v>0</v>
      </c>
      <c r="O104" s="429">
        <f>'ממוצע ורצוי'!N104</f>
        <v>0</v>
      </c>
      <c r="P104" s="54">
        <f t="shared" ca="1" si="42"/>
        <v>0</v>
      </c>
      <c r="Q104" s="54">
        <v>0</v>
      </c>
      <c r="R104" s="192">
        <f t="shared" ca="1" si="43"/>
        <v>0</v>
      </c>
      <c r="S104" s="54"/>
      <c r="T104" s="57"/>
      <c r="U104" s="84"/>
    </row>
    <row r="105" spans="1:21">
      <c r="A105" t="s">
        <v>133</v>
      </c>
      <c r="B105" s="54">
        <f t="shared" ca="1" si="40"/>
        <v>702.68000000000006</v>
      </c>
      <c r="C105" s="54">
        <f t="shared" ca="1" si="40"/>
        <v>839.09999999999991</v>
      </c>
      <c r="D105" s="54">
        <f t="shared" ca="1" si="40"/>
        <v>911.8599999999999</v>
      </c>
      <c r="E105" s="54">
        <f t="shared" ca="1" si="40"/>
        <v>915.37</v>
      </c>
      <c r="F105" s="54">
        <f t="shared" ca="1" si="40"/>
        <v>965</v>
      </c>
      <c r="G105" s="54">
        <f t="shared" ca="1" si="40"/>
        <v>965</v>
      </c>
      <c r="H105" s="54">
        <f t="shared" ca="1" si="40"/>
        <v>965</v>
      </c>
      <c r="I105" s="54">
        <f t="shared" ca="1" si="40"/>
        <v>965</v>
      </c>
      <c r="J105" s="54">
        <f t="shared" ca="1" si="40"/>
        <v>965</v>
      </c>
      <c r="K105" s="54">
        <f t="shared" ca="1" si="40"/>
        <v>965</v>
      </c>
      <c r="L105" s="54">
        <f t="shared" ca="1" si="40"/>
        <v>965</v>
      </c>
      <c r="M105" s="54">
        <f t="shared" ca="1" si="40"/>
        <v>965</v>
      </c>
      <c r="N105" s="429">
        <f t="shared" ca="1" si="41"/>
        <v>924.08416666666665</v>
      </c>
      <c r="O105" s="429">
        <f>'ממוצע ורצוי'!N105</f>
        <v>710</v>
      </c>
      <c r="P105" s="54">
        <f t="shared" ca="1" si="42"/>
        <v>903.62625000000003</v>
      </c>
      <c r="Q105" s="54">
        <v>750</v>
      </c>
      <c r="R105" s="192">
        <f t="shared" ca="1" si="43"/>
        <v>-153.62625000000003</v>
      </c>
      <c r="S105" s="54" t="s">
        <v>156</v>
      </c>
      <c r="T105" s="57"/>
      <c r="U105" s="84"/>
    </row>
    <row r="106" spans="1:21">
      <c r="A106" t="s">
        <v>134</v>
      </c>
      <c r="B106" s="54">
        <f t="shared" ca="1" si="40"/>
        <v>1732.33</v>
      </c>
      <c r="C106" s="54">
        <f t="shared" ca="1" si="40"/>
        <v>1732.3400000000001</v>
      </c>
      <c r="D106" s="54">
        <f t="shared" ca="1" si="40"/>
        <v>0</v>
      </c>
      <c r="E106" s="54">
        <f t="shared" ca="1" si="40"/>
        <v>0</v>
      </c>
      <c r="F106" s="54">
        <f t="shared" ca="1" si="40"/>
        <v>0</v>
      </c>
      <c r="G106" s="54">
        <f t="shared" ca="1" si="40"/>
        <v>0</v>
      </c>
      <c r="H106" s="54">
        <f t="shared" ca="1" si="40"/>
        <v>0</v>
      </c>
      <c r="I106" s="54">
        <f t="shared" ca="1" si="40"/>
        <v>0</v>
      </c>
      <c r="J106" s="54">
        <f t="shared" ca="1" si="40"/>
        <v>0</v>
      </c>
      <c r="K106" s="54">
        <f t="shared" ca="1" si="40"/>
        <v>0</v>
      </c>
      <c r="L106" s="54">
        <f t="shared" ca="1" si="40"/>
        <v>0</v>
      </c>
      <c r="M106" s="54">
        <f t="shared" ca="1" si="40"/>
        <v>0</v>
      </c>
      <c r="N106" s="429">
        <f t="shared" ca="1" si="41"/>
        <v>288.72250000000003</v>
      </c>
      <c r="O106" s="429">
        <f>'ממוצע ורצוי'!N106</f>
        <v>100</v>
      </c>
      <c r="P106" s="54">
        <f t="shared" ca="1" si="42"/>
        <v>433.08375000000001</v>
      </c>
      <c r="Q106" s="54">
        <v>200</v>
      </c>
      <c r="R106" s="192">
        <f t="shared" ca="1" si="43"/>
        <v>-233.08375000000001</v>
      </c>
      <c r="S106" s="54"/>
      <c r="T106" s="57"/>
      <c r="U106" s="84"/>
    </row>
    <row r="107" spans="1:21">
      <c r="A107" t="s">
        <v>135</v>
      </c>
      <c r="B107" s="54">
        <f t="shared" ca="1" si="40"/>
        <v>0</v>
      </c>
      <c r="C107" s="54">
        <f t="shared" ca="1" si="40"/>
        <v>0</v>
      </c>
      <c r="D107" s="54">
        <f t="shared" ca="1" si="40"/>
        <v>0</v>
      </c>
      <c r="E107" s="54">
        <f t="shared" ca="1" si="40"/>
        <v>0</v>
      </c>
      <c r="F107" s="54">
        <f t="shared" ca="1" si="40"/>
        <v>0</v>
      </c>
      <c r="G107" s="54">
        <f t="shared" ca="1" si="40"/>
        <v>0</v>
      </c>
      <c r="H107" s="54">
        <f t="shared" ca="1" si="40"/>
        <v>0</v>
      </c>
      <c r="I107" s="54">
        <f t="shared" ca="1" si="40"/>
        <v>0</v>
      </c>
      <c r="J107" s="54">
        <f t="shared" ca="1" si="40"/>
        <v>0</v>
      </c>
      <c r="K107" s="54">
        <f t="shared" ca="1" si="40"/>
        <v>0</v>
      </c>
      <c r="L107" s="54">
        <f t="shared" ca="1" si="40"/>
        <v>0</v>
      </c>
      <c r="M107" s="54">
        <f t="shared" ca="1" si="40"/>
        <v>0</v>
      </c>
      <c r="N107" s="429">
        <f t="shared" ca="1" si="41"/>
        <v>0</v>
      </c>
      <c r="O107" s="429">
        <f>'ממוצע ורצוי'!N107</f>
        <v>0</v>
      </c>
      <c r="P107" s="54">
        <f t="shared" ca="1" si="42"/>
        <v>0</v>
      </c>
      <c r="Q107" s="54">
        <v>0</v>
      </c>
      <c r="R107" s="192">
        <f t="shared" ca="1" si="43"/>
        <v>0</v>
      </c>
      <c r="S107" s="54" t="s">
        <v>156</v>
      </c>
      <c r="T107" s="57"/>
      <c r="U107" s="84"/>
    </row>
    <row r="108" spans="1:21">
      <c r="A108" t="s">
        <v>19</v>
      </c>
      <c r="B108" s="54">
        <f t="shared" ca="1" si="40"/>
        <v>104.9</v>
      </c>
      <c r="C108" s="54">
        <f t="shared" ca="1" si="40"/>
        <v>44.9</v>
      </c>
      <c r="D108" s="54">
        <f t="shared" ca="1" si="40"/>
        <v>66.8</v>
      </c>
      <c r="E108" s="54">
        <f t="shared" ca="1" si="40"/>
        <v>44.9</v>
      </c>
      <c r="F108" s="54">
        <f t="shared" ca="1" si="40"/>
        <v>10</v>
      </c>
      <c r="G108" s="54">
        <f t="shared" ca="1" si="40"/>
        <v>10</v>
      </c>
      <c r="H108" s="54">
        <f t="shared" ca="1" si="40"/>
        <v>10</v>
      </c>
      <c r="I108" s="54">
        <f t="shared" ca="1" si="40"/>
        <v>10</v>
      </c>
      <c r="J108" s="54">
        <f t="shared" ca="1" si="40"/>
        <v>10</v>
      </c>
      <c r="K108" s="54">
        <f t="shared" ca="1" si="40"/>
        <v>10</v>
      </c>
      <c r="L108" s="54">
        <f t="shared" ca="1" si="40"/>
        <v>10</v>
      </c>
      <c r="M108" s="54">
        <f t="shared" ca="1" si="40"/>
        <v>10</v>
      </c>
      <c r="N108" s="429">
        <f t="shared" ca="1" si="41"/>
        <v>28.458333333333332</v>
      </c>
      <c r="O108" s="429">
        <f>'ממוצע ורצוי'!N108</f>
        <v>20</v>
      </c>
      <c r="P108" s="54">
        <f t="shared" ca="1" si="42"/>
        <v>37.6875</v>
      </c>
      <c r="Q108" s="54">
        <v>100</v>
      </c>
      <c r="R108" s="192">
        <f t="shared" ca="1" si="43"/>
        <v>62.3125</v>
      </c>
      <c r="S108" s="54" t="s">
        <v>156</v>
      </c>
      <c r="T108" s="57"/>
      <c r="U108" s="84"/>
    </row>
    <row r="109" spans="1:21">
      <c r="A109" t="s">
        <v>308</v>
      </c>
      <c r="B109" s="54">
        <f t="shared" ca="1" si="40"/>
        <v>0</v>
      </c>
      <c r="C109" s="54">
        <f t="shared" ca="1" si="40"/>
        <v>0</v>
      </c>
      <c r="D109" s="54">
        <f t="shared" ca="1" si="40"/>
        <v>0</v>
      </c>
      <c r="E109" s="54">
        <f t="shared" ca="1" si="40"/>
        <v>0</v>
      </c>
      <c r="F109" s="54">
        <f t="shared" ca="1" si="40"/>
        <v>0</v>
      </c>
      <c r="G109" s="54">
        <f t="shared" ca="1" si="40"/>
        <v>0</v>
      </c>
      <c r="H109" s="54">
        <f t="shared" ca="1" si="40"/>
        <v>0</v>
      </c>
      <c r="I109" s="54">
        <f t="shared" ca="1" si="40"/>
        <v>0</v>
      </c>
      <c r="J109" s="54">
        <f t="shared" ca="1" si="40"/>
        <v>0</v>
      </c>
      <c r="K109" s="54">
        <f t="shared" ca="1" si="40"/>
        <v>0</v>
      </c>
      <c r="L109" s="54">
        <f t="shared" ca="1" si="40"/>
        <v>0</v>
      </c>
      <c r="M109" s="54">
        <f t="shared" ca="1" si="40"/>
        <v>0</v>
      </c>
      <c r="N109" s="429">
        <f t="shared" ca="1" si="41"/>
        <v>0</v>
      </c>
      <c r="O109" s="429">
        <f>'ממוצע ורצוי'!N109</f>
        <v>0</v>
      </c>
      <c r="P109" s="54">
        <f t="shared" ca="1" si="42"/>
        <v>0</v>
      </c>
      <c r="Q109" s="54">
        <v>0</v>
      </c>
      <c r="R109" s="192">
        <f t="shared" ca="1" si="43"/>
        <v>0</v>
      </c>
      <c r="S109" s="54"/>
      <c r="T109" s="57"/>
      <c r="U109" s="84"/>
    </row>
    <row r="110" spans="1:21">
      <c r="A110" t="s">
        <v>309</v>
      </c>
      <c r="B110" s="54">
        <f t="shared" ca="1" si="40"/>
        <v>0</v>
      </c>
      <c r="C110" s="54">
        <f t="shared" ca="1" si="40"/>
        <v>0</v>
      </c>
      <c r="D110" s="54">
        <f t="shared" ca="1" si="40"/>
        <v>0</v>
      </c>
      <c r="E110" s="54">
        <f t="shared" ca="1" si="40"/>
        <v>0</v>
      </c>
      <c r="F110" s="54">
        <f t="shared" ca="1" si="40"/>
        <v>0</v>
      </c>
      <c r="G110" s="54">
        <f t="shared" ca="1" si="40"/>
        <v>0</v>
      </c>
      <c r="H110" s="54">
        <f t="shared" ca="1" si="40"/>
        <v>0</v>
      </c>
      <c r="I110" s="54">
        <f t="shared" ca="1" si="40"/>
        <v>0</v>
      </c>
      <c r="J110" s="54">
        <f t="shared" ca="1" si="40"/>
        <v>0</v>
      </c>
      <c r="K110" s="54">
        <f t="shared" ca="1" si="40"/>
        <v>0</v>
      </c>
      <c r="L110" s="54">
        <f t="shared" ca="1" si="40"/>
        <v>0</v>
      </c>
      <c r="M110" s="54">
        <f t="shared" ca="1" si="40"/>
        <v>0</v>
      </c>
      <c r="N110" s="429">
        <f t="shared" ca="1" si="41"/>
        <v>0</v>
      </c>
      <c r="O110" s="429">
        <f>'ממוצע ורצוי'!N110</f>
        <v>0</v>
      </c>
      <c r="P110" s="54">
        <f t="shared" ca="1" si="42"/>
        <v>0</v>
      </c>
      <c r="Q110" s="54">
        <v>0</v>
      </c>
      <c r="R110" s="192">
        <f t="shared" ca="1" si="43"/>
        <v>0</v>
      </c>
      <c r="S110" s="54"/>
      <c r="T110" s="57"/>
      <c r="U110" s="84"/>
    </row>
    <row r="111" spans="1:21" ht="13.5" thickBot="1">
      <c r="A111" s="440" t="s">
        <v>260</v>
      </c>
      <c r="B111" s="431">
        <f ca="1">SUM(B102:B110)</f>
        <v>3039.9100000000003</v>
      </c>
      <c r="C111" s="431">
        <f t="shared" ref="C111:M111" ca="1" si="44">SUM(C102:C110)</f>
        <v>3116.34</v>
      </c>
      <c r="D111" s="431">
        <f t="shared" ca="1" si="44"/>
        <v>1478.6599999999999</v>
      </c>
      <c r="E111" s="431">
        <f t="shared" ca="1" si="44"/>
        <v>1460.27</v>
      </c>
      <c r="F111" s="431">
        <f t="shared" ca="1" si="44"/>
        <v>1475</v>
      </c>
      <c r="G111" s="431">
        <f t="shared" ca="1" si="44"/>
        <v>1475</v>
      </c>
      <c r="H111" s="431">
        <f t="shared" ca="1" si="44"/>
        <v>1475</v>
      </c>
      <c r="I111" s="431">
        <f t="shared" ca="1" si="44"/>
        <v>1475</v>
      </c>
      <c r="J111" s="431">
        <f t="shared" ca="1" si="44"/>
        <v>1475</v>
      </c>
      <c r="K111" s="431">
        <f t="shared" ca="1" si="44"/>
        <v>1475</v>
      </c>
      <c r="L111" s="431">
        <f t="shared" ca="1" si="44"/>
        <v>1475</v>
      </c>
      <c r="M111" s="431">
        <f t="shared" ca="1" si="44"/>
        <v>1475</v>
      </c>
      <c r="N111" s="441">
        <f ca="1">SUM(N102:N110)</f>
        <v>1741.2649999999999</v>
      </c>
      <c r="O111" s="441">
        <f>'ממוצע ורצוי'!N111</f>
        <v>1330</v>
      </c>
      <c r="P111" s="431">
        <f ca="1">SUM(P102:P110)</f>
        <v>1874.3975</v>
      </c>
      <c r="Q111" s="431">
        <f>SUM(Q102:Q110)</f>
        <v>4050</v>
      </c>
      <c r="R111" s="433"/>
      <c r="S111" s="431"/>
      <c r="T111" s="432"/>
      <c r="U111" s="84"/>
    </row>
    <row r="112" spans="1:21" ht="13.5" thickBot="1">
      <c r="A112" s="434" t="s">
        <v>305</v>
      </c>
      <c r="B112" s="435">
        <f t="shared" ref="B112:M112" ca="1" si="45">B111-$O111</f>
        <v>1709.9100000000003</v>
      </c>
      <c r="C112" s="435">
        <f t="shared" ca="1" si="45"/>
        <v>1786.3400000000001</v>
      </c>
      <c r="D112" s="435">
        <f t="shared" ca="1" si="45"/>
        <v>148.65999999999985</v>
      </c>
      <c r="E112" s="435">
        <f t="shared" ca="1" si="45"/>
        <v>130.26999999999998</v>
      </c>
      <c r="F112" s="435">
        <f t="shared" ca="1" si="45"/>
        <v>145</v>
      </c>
      <c r="G112" s="435">
        <f t="shared" ca="1" si="45"/>
        <v>145</v>
      </c>
      <c r="H112" s="435">
        <f t="shared" ca="1" si="45"/>
        <v>145</v>
      </c>
      <c r="I112" s="435">
        <f t="shared" ca="1" si="45"/>
        <v>145</v>
      </c>
      <c r="J112" s="435">
        <f t="shared" ca="1" si="45"/>
        <v>145</v>
      </c>
      <c r="K112" s="435">
        <f t="shared" ca="1" si="45"/>
        <v>145</v>
      </c>
      <c r="L112" s="435">
        <f t="shared" ca="1" si="45"/>
        <v>145</v>
      </c>
      <c r="M112" s="435">
        <f t="shared" ca="1" si="45"/>
        <v>145</v>
      </c>
      <c r="N112" s="436"/>
      <c r="O112" s="436"/>
      <c r="P112" s="435"/>
      <c r="Q112" s="435"/>
      <c r="R112" s="437"/>
      <c r="S112" s="435"/>
      <c r="T112" s="438"/>
      <c r="U112" s="84"/>
    </row>
    <row r="113" spans="1:21">
      <c r="A113" s="404" t="s">
        <v>325</v>
      </c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M113" s="405"/>
      <c r="N113" s="406"/>
      <c r="O113" s="406"/>
      <c r="P113" s="405"/>
      <c r="Q113" s="405"/>
      <c r="R113" s="413"/>
      <c r="S113" s="405"/>
      <c r="T113" s="406"/>
      <c r="U113" s="84"/>
    </row>
    <row r="114" spans="1:21">
      <c r="A114" s="408" t="s">
        <v>67</v>
      </c>
      <c r="B114" s="409">
        <v>1</v>
      </c>
      <c r="C114" s="409">
        <v>2</v>
      </c>
      <c r="D114" s="409">
        <v>3</v>
      </c>
      <c r="E114" s="409">
        <v>4</v>
      </c>
      <c r="F114" s="409">
        <v>5</v>
      </c>
      <c r="G114" s="409">
        <v>6</v>
      </c>
      <c r="H114" s="409">
        <v>7</v>
      </c>
      <c r="I114" s="409">
        <v>8</v>
      </c>
      <c r="J114" s="409">
        <v>9</v>
      </c>
      <c r="K114" s="409">
        <v>10</v>
      </c>
      <c r="L114" s="409">
        <v>11</v>
      </c>
      <c r="M114" s="409">
        <v>12</v>
      </c>
      <c r="N114" s="410" t="s">
        <v>53</v>
      </c>
      <c r="O114" s="416" t="s">
        <v>181</v>
      </c>
      <c r="P114" s="409"/>
      <c r="Q114" s="409"/>
      <c r="R114" s="418"/>
      <c r="S114" s="409"/>
      <c r="T114" s="410"/>
      <c r="U114" s="84"/>
    </row>
    <row r="115" spans="1:21">
      <c r="A115" t="s">
        <v>335</v>
      </c>
      <c r="B115" s="54">
        <f t="shared" ref="B115:M124" ca="1" si="46">SUMIF((INDIRECT("'"&amp;B$2&amp;"'!"&amp;"H:H")),$A115,(INDIRECT("'"&amp;B$2&amp;"'!"&amp;"G:G")))</f>
        <v>15000</v>
      </c>
      <c r="C115" s="54">
        <f t="shared" ca="1" si="46"/>
        <v>9000</v>
      </c>
      <c r="D115" s="54">
        <f t="shared" ca="1" si="46"/>
        <v>10000</v>
      </c>
      <c r="E115" s="54">
        <f t="shared" ca="1" si="46"/>
        <v>10000</v>
      </c>
      <c r="F115" s="54">
        <f t="shared" ca="1" si="46"/>
        <v>15000</v>
      </c>
      <c r="G115" s="54">
        <f t="shared" ca="1" si="46"/>
        <v>15000</v>
      </c>
      <c r="H115" s="54">
        <f t="shared" ca="1" si="46"/>
        <v>15000</v>
      </c>
      <c r="I115" s="54">
        <f t="shared" ca="1" si="46"/>
        <v>15000</v>
      </c>
      <c r="J115" s="54">
        <f t="shared" ca="1" si="46"/>
        <v>15000</v>
      </c>
      <c r="K115" s="54">
        <f t="shared" ca="1" si="46"/>
        <v>15000</v>
      </c>
      <c r="L115" s="54">
        <f t="shared" ca="1" si="46"/>
        <v>15000</v>
      </c>
      <c r="M115" s="54">
        <f t="shared" ca="1" si="46"/>
        <v>15000</v>
      </c>
      <c r="N115" s="429">
        <f t="shared" ref="N115:N124" ca="1" si="47">AVERAGE(B115:M115)</f>
        <v>13666.666666666666</v>
      </c>
      <c r="O115" s="429">
        <f>'ממוצע ורצוי'!N115</f>
        <v>15000</v>
      </c>
      <c r="P115" s="54">
        <f t="shared" ref="P115:P124" ca="1" si="48">AVERAGE(B115:I115)</f>
        <v>13000</v>
      </c>
      <c r="Q115" s="54">
        <v>15000</v>
      </c>
      <c r="R115" s="192">
        <f t="shared" ref="R115:R124" ca="1" si="49">Q115-P115</f>
        <v>2000</v>
      </c>
      <c r="S115" s="54"/>
      <c r="T115" s="57"/>
      <c r="U115" s="84"/>
    </row>
    <row r="116" spans="1:21">
      <c r="A116" t="s">
        <v>326</v>
      </c>
      <c r="B116" s="54">
        <f t="shared" ca="1" si="46"/>
        <v>13003</v>
      </c>
      <c r="C116" s="54">
        <f t="shared" ca="1" si="46"/>
        <v>0</v>
      </c>
      <c r="D116" s="54">
        <f t="shared" ca="1" si="46"/>
        <v>12289</v>
      </c>
      <c r="E116" s="54">
        <f t="shared" ca="1" si="46"/>
        <v>0</v>
      </c>
      <c r="F116" s="54">
        <f t="shared" ca="1" si="46"/>
        <v>15000</v>
      </c>
      <c r="G116" s="54">
        <f t="shared" ca="1" si="46"/>
        <v>0</v>
      </c>
      <c r="H116" s="54">
        <f t="shared" ca="1" si="46"/>
        <v>15000</v>
      </c>
      <c r="I116" s="54">
        <f t="shared" ca="1" si="46"/>
        <v>0</v>
      </c>
      <c r="J116" s="54">
        <f t="shared" ca="1" si="46"/>
        <v>15000</v>
      </c>
      <c r="K116" s="54">
        <f t="shared" ca="1" si="46"/>
        <v>0</v>
      </c>
      <c r="L116" s="54">
        <f t="shared" ca="1" si="46"/>
        <v>15000</v>
      </c>
      <c r="M116" s="54">
        <f t="shared" ca="1" si="46"/>
        <v>0</v>
      </c>
      <c r="N116" s="429">
        <f t="shared" ca="1" si="47"/>
        <v>7107.666666666667</v>
      </c>
      <c r="O116" s="429">
        <f>'ממוצע ורצוי'!N116</f>
        <v>6000</v>
      </c>
      <c r="P116" s="54">
        <f t="shared" ca="1" si="48"/>
        <v>6911.5</v>
      </c>
      <c r="Q116" s="54">
        <v>6000</v>
      </c>
      <c r="R116" s="192">
        <f t="shared" ca="1" si="49"/>
        <v>-911.5</v>
      </c>
      <c r="S116" s="54"/>
      <c r="T116" s="57"/>
      <c r="U116" s="84"/>
    </row>
    <row r="117" spans="1:21">
      <c r="A117" t="s">
        <v>327</v>
      </c>
      <c r="B117" s="54">
        <f t="shared" ca="1" si="46"/>
        <v>6054</v>
      </c>
      <c r="C117" s="54">
        <f t="shared" ca="1" si="46"/>
        <v>5011</v>
      </c>
      <c r="D117" s="54">
        <f t="shared" ca="1" si="46"/>
        <v>5719</v>
      </c>
      <c r="E117" s="54">
        <f t="shared" ca="1" si="46"/>
        <v>6327</v>
      </c>
      <c r="F117" s="54">
        <f t="shared" ca="1" si="46"/>
        <v>10000</v>
      </c>
      <c r="G117" s="54">
        <f t="shared" ca="1" si="46"/>
        <v>10000</v>
      </c>
      <c r="H117" s="54">
        <f t="shared" ca="1" si="46"/>
        <v>10000</v>
      </c>
      <c r="I117" s="54">
        <f t="shared" ca="1" si="46"/>
        <v>10000</v>
      </c>
      <c r="J117" s="54">
        <f t="shared" ca="1" si="46"/>
        <v>10000</v>
      </c>
      <c r="K117" s="54">
        <f t="shared" ca="1" si="46"/>
        <v>10000</v>
      </c>
      <c r="L117" s="54">
        <f t="shared" ca="1" si="46"/>
        <v>10000</v>
      </c>
      <c r="M117" s="54">
        <f t="shared" ca="1" si="46"/>
        <v>10000</v>
      </c>
      <c r="N117" s="429">
        <f t="shared" ca="1" si="47"/>
        <v>8592.5833333333339</v>
      </c>
      <c r="O117" s="429">
        <f>'ממוצע ורצוי'!N117</f>
        <v>5000</v>
      </c>
      <c r="P117" s="54">
        <f t="shared" ca="1" si="48"/>
        <v>7888.875</v>
      </c>
      <c r="Q117" s="54">
        <v>4500</v>
      </c>
      <c r="R117" s="192">
        <f t="shared" ca="1" si="49"/>
        <v>-3388.875</v>
      </c>
      <c r="S117" s="54"/>
      <c r="T117" s="57"/>
      <c r="U117" s="84"/>
    </row>
    <row r="118" spans="1:21">
      <c r="A118" t="s">
        <v>236</v>
      </c>
      <c r="B118" s="54">
        <f t="shared" ca="1" si="46"/>
        <v>1710</v>
      </c>
      <c r="C118" s="54">
        <f t="shared" ca="1" si="46"/>
        <v>1713</v>
      </c>
      <c r="D118" s="54">
        <f t="shared" ca="1" si="46"/>
        <v>1713</v>
      </c>
      <c r="E118" s="54">
        <f t="shared" ca="1" si="46"/>
        <v>1713</v>
      </c>
      <c r="F118" s="54">
        <f t="shared" ca="1" si="46"/>
        <v>1710</v>
      </c>
      <c r="G118" s="54">
        <f t="shared" ca="1" si="46"/>
        <v>1710</v>
      </c>
      <c r="H118" s="54">
        <f t="shared" ca="1" si="46"/>
        <v>1710</v>
      </c>
      <c r="I118" s="54">
        <f t="shared" ca="1" si="46"/>
        <v>1710</v>
      </c>
      <c r="J118" s="54">
        <f t="shared" ca="1" si="46"/>
        <v>1710</v>
      </c>
      <c r="K118" s="54">
        <f t="shared" ca="1" si="46"/>
        <v>1710</v>
      </c>
      <c r="L118" s="54">
        <f t="shared" ca="1" si="46"/>
        <v>1710</v>
      </c>
      <c r="M118" s="54">
        <f t="shared" ca="1" si="46"/>
        <v>1710</v>
      </c>
      <c r="N118" s="429">
        <f t="shared" ca="1" si="47"/>
        <v>1710.75</v>
      </c>
      <c r="O118" s="429">
        <f>'ממוצע ורצוי'!N118</f>
        <v>1750</v>
      </c>
      <c r="P118" s="54">
        <f t="shared" ca="1" si="48"/>
        <v>1711.125</v>
      </c>
      <c r="Q118" s="54">
        <v>1580</v>
      </c>
      <c r="R118" s="192">
        <f t="shared" ca="1" si="49"/>
        <v>-131.125</v>
      </c>
      <c r="S118" s="54"/>
      <c r="T118" s="57"/>
      <c r="U118" s="84"/>
    </row>
    <row r="119" spans="1:21">
      <c r="A119" t="s">
        <v>328</v>
      </c>
      <c r="B119" s="54">
        <f t="shared" ca="1" si="46"/>
        <v>3217.61</v>
      </c>
      <c r="C119" s="54">
        <f t="shared" ca="1" si="46"/>
        <v>3217.61</v>
      </c>
      <c r="D119" s="54">
        <f t="shared" ca="1" si="46"/>
        <v>3217.61</v>
      </c>
      <c r="E119" s="54">
        <f t="shared" ca="1" si="46"/>
        <v>3217.61</v>
      </c>
      <c r="F119" s="54">
        <f t="shared" ca="1" si="46"/>
        <v>3021.77</v>
      </c>
      <c r="G119" s="54">
        <f t="shared" ca="1" si="46"/>
        <v>3021.77</v>
      </c>
      <c r="H119" s="54">
        <f t="shared" ca="1" si="46"/>
        <v>3021.77</v>
      </c>
      <c r="I119" s="54">
        <f t="shared" ca="1" si="46"/>
        <v>3021.77</v>
      </c>
      <c r="J119" s="54">
        <f t="shared" ca="1" si="46"/>
        <v>3021.77</v>
      </c>
      <c r="K119" s="54">
        <f t="shared" ca="1" si="46"/>
        <v>3021.77</v>
      </c>
      <c r="L119" s="54">
        <f t="shared" ca="1" si="46"/>
        <v>3021.77</v>
      </c>
      <c r="M119" s="54">
        <f t="shared" ca="1" si="46"/>
        <v>3021.77</v>
      </c>
      <c r="N119" s="429">
        <f t="shared" ca="1" si="47"/>
        <v>3087.0499999999997</v>
      </c>
      <c r="O119" s="429">
        <f>'ממוצע ורצוי'!N119</f>
        <v>3300</v>
      </c>
      <c r="P119" s="54">
        <f t="shared" ca="1" si="48"/>
        <v>3119.69</v>
      </c>
      <c r="Q119" s="54">
        <v>3000</v>
      </c>
      <c r="R119" s="192">
        <f t="shared" ca="1" si="49"/>
        <v>-119.69000000000005</v>
      </c>
      <c r="S119" s="54" t="s">
        <v>156</v>
      </c>
      <c r="T119" s="57"/>
      <c r="U119" s="84"/>
    </row>
    <row r="120" spans="1:21">
      <c r="A120" t="s">
        <v>329</v>
      </c>
      <c r="B120" s="54">
        <f t="shared" ca="1" si="46"/>
        <v>7074.96</v>
      </c>
      <c r="C120" s="54">
        <f t="shared" ca="1" si="46"/>
        <v>7694.96</v>
      </c>
      <c r="D120" s="54">
        <f t="shared" ca="1" si="46"/>
        <v>7694.96</v>
      </c>
      <c r="E120" s="54">
        <f t="shared" ca="1" si="46"/>
        <v>5414</v>
      </c>
      <c r="F120" s="54">
        <f t="shared" ca="1" si="46"/>
        <v>5414</v>
      </c>
      <c r="G120" s="54">
        <f t="shared" ca="1" si="46"/>
        <v>5414</v>
      </c>
      <c r="H120" s="54">
        <f t="shared" ca="1" si="46"/>
        <v>5414</v>
      </c>
      <c r="I120" s="54">
        <f t="shared" ca="1" si="46"/>
        <v>5414</v>
      </c>
      <c r="J120" s="54">
        <f t="shared" ca="1" si="46"/>
        <v>5414</v>
      </c>
      <c r="K120" s="54">
        <f t="shared" ca="1" si="46"/>
        <v>5414</v>
      </c>
      <c r="L120" s="54">
        <f t="shared" ca="1" si="46"/>
        <v>5414</v>
      </c>
      <c r="M120" s="54">
        <f t="shared" ca="1" si="46"/>
        <v>5414</v>
      </c>
      <c r="N120" s="429">
        <f t="shared" ca="1" si="47"/>
        <v>5932.5733333333337</v>
      </c>
      <c r="O120" s="429">
        <f>'ממוצע ורצוי'!N120</f>
        <v>3200</v>
      </c>
      <c r="P120" s="54">
        <f t="shared" ca="1" si="48"/>
        <v>6191.8600000000006</v>
      </c>
      <c r="Q120" s="54">
        <v>3155</v>
      </c>
      <c r="R120" s="192">
        <f t="shared" ca="1" si="49"/>
        <v>-3036.8600000000006</v>
      </c>
      <c r="S120" s="54"/>
      <c r="T120" s="57"/>
      <c r="U120" s="84"/>
    </row>
    <row r="121" spans="1:21">
      <c r="A121" t="s">
        <v>330</v>
      </c>
      <c r="B121" s="54">
        <f t="shared" ca="1" si="46"/>
        <v>600</v>
      </c>
      <c r="C121" s="54">
        <f t="shared" ca="1" si="46"/>
        <v>600</v>
      </c>
      <c r="D121" s="54">
        <f t="shared" ca="1" si="46"/>
        <v>600</v>
      </c>
      <c r="E121" s="54">
        <f t="shared" ca="1" si="46"/>
        <v>600</v>
      </c>
      <c r="F121" s="54">
        <f t="shared" ca="1" si="46"/>
        <v>600</v>
      </c>
      <c r="G121" s="54">
        <f t="shared" ca="1" si="46"/>
        <v>600</v>
      </c>
      <c r="H121" s="54">
        <f t="shared" ca="1" si="46"/>
        <v>600</v>
      </c>
      <c r="I121" s="54">
        <f t="shared" ca="1" si="46"/>
        <v>600</v>
      </c>
      <c r="J121" s="54">
        <f t="shared" ca="1" si="46"/>
        <v>600</v>
      </c>
      <c r="K121" s="54">
        <f t="shared" ca="1" si="46"/>
        <v>600</v>
      </c>
      <c r="L121" s="54">
        <f t="shared" ca="1" si="46"/>
        <v>600</v>
      </c>
      <c r="M121" s="54">
        <f t="shared" ca="1" si="46"/>
        <v>1800</v>
      </c>
      <c r="N121" s="429">
        <f t="shared" ca="1" si="47"/>
        <v>700</v>
      </c>
      <c r="O121" s="429">
        <f>'ממוצע ורצוי'!N121</f>
        <v>600</v>
      </c>
      <c r="P121" s="54">
        <f t="shared" ca="1" si="48"/>
        <v>600</v>
      </c>
      <c r="Q121" s="54">
        <v>600</v>
      </c>
      <c r="R121" s="192">
        <f t="shared" ca="1" si="49"/>
        <v>0</v>
      </c>
      <c r="S121" s="54" t="s">
        <v>156</v>
      </c>
      <c r="T121" s="57"/>
      <c r="U121" s="84"/>
    </row>
    <row r="122" spans="1:21">
      <c r="A122" t="s">
        <v>331</v>
      </c>
      <c r="B122" s="54">
        <f t="shared" ca="1" si="46"/>
        <v>0</v>
      </c>
      <c r="C122" s="54">
        <f t="shared" ca="1" si="46"/>
        <v>0</v>
      </c>
      <c r="D122" s="54">
        <f t="shared" ca="1" si="46"/>
        <v>0</v>
      </c>
      <c r="E122" s="54">
        <f t="shared" ca="1" si="46"/>
        <v>0</v>
      </c>
      <c r="F122" s="54">
        <f t="shared" ca="1" si="46"/>
        <v>0</v>
      </c>
      <c r="G122" s="54">
        <f t="shared" ca="1" si="46"/>
        <v>0</v>
      </c>
      <c r="H122" s="54">
        <f t="shared" ca="1" si="46"/>
        <v>0</v>
      </c>
      <c r="I122" s="54">
        <f t="shared" ca="1" si="46"/>
        <v>0</v>
      </c>
      <c r="J122" s="54">
        <f t="shared" ca="1" si="46"/>
        <v>0</v>
      </c>
      <c r="K122" s="54">
        <f t="shared" ca="1" si="46"/>
        <v>0</v>
      </c>
      <c r="L122" s="54">
        <f t="shared" ca="1" si="46"/>
        <v>0</v>
      </c>
      <c r="M122" s="54">
        <f t="shared" ca="1" si="46"/>
        <v>0</v>
      </c>
      <c r="N122" s="429">
        <f t="shared" ca="1" si="47"/>
        <v>0</v>
      </c>
      <c r="O122" s="429">
        <f>'ממוצע ורצוי'!N122</f>
        <v>0</v>
      </c>
      <c r="P122" s="54">
        <f t="shared" ca="1" si="48"/>
        <v>0</v>
      </c>
      <c r="Q122" s="54">
        <v>0</v>
      </c>
      <c r="R122" s="192">
        <f t="shared" ca="1" si="49"/>
        <v>0</v>
      </c>
      <c r="S122" s="54" t="s">
        <v>156</v>
      </c>
      <c r="T122" s="57"/>
      <c r="U122" s="84"/>
    </row>
    <row r="123" spans="1:21">
      <c r="A123" t="s">
        <v>332</v>
      </c>
      <c r="B123" s="54">
        <f t="shared" ca="1" si="46"/>
        <v>749</v>
      </c>
      <c r="C123" s="54">
        <f t="shared" ca="1" si="46"/>
        <v>0</v>
      </c>
      <c r="D123" s="54">
        <f t="shared" ca="1" si="46"/>
        <v>0</v>
      </c>
      <c r="E123" s="54">
        <f t="shared" ca="1" si="46"/>
        <v>0</v>
      </c>
      <c r="F123" s="54">
        <f t="shared" ca="1" si="46"/>
        <v>0</v>
      </c>
      <c r="G123" s="54">
        <f t="shared" ca="1" si="46"/>
        <v>0</v>
      </c>
      <c r="H123" s="54">
        <f t="shared" ca="1" si="46"/>
        <v>0</v>
      </c>
      <c r="I123" s="54">
        <f t="shared" ca="1" si="46"/>
        <v>0</v>
      </c>
      <c r="J123" s="54">
        <f t="shared" ca="1" si="46"/>
        <v>0</v>
      </c>
      <c r="K123" s="54">
        <f t="shared" ca="1" si="46"/>
        <v>0</v>
      </c>
      <c r="L123" s="54">
        <f t="shared" ca="1" si="46"/>
        <v>0</v>
      </c>
      <c r="M123" s="54">
        <f t="shared" ca="1" si="46"/>
        <v>0</v>
      </c>
      <c r="N123" s="429">
        <f t="shared" ca="1" si="47"/>
        <v>62.416666666666664</v>
      </c>
      <c r="O123" s="429">
        <f>'ממוצע ורצוי'!N123</f>
        <v>0</v>
      </c>
      <c r="P123" s="54">
        <f t="shared" ca="1" si="48"/>
        <v>93.625</v>
      </c>
      <c r="Q123" s="54">
        <v>0</v>
      </c>
      <c r="R123" s="192">
        <f t="shared" ca="1" si="49"/>
        <v>-93.625</v>
      </c>
      <c r="S123" s="54"/>
      <c r="T123" s="57"/>
      <c r="U123" s="84"/>
    </row>
    <row r="124" spans="1:21">
      <c r="A124" t="s">
        <v>333</v>
      </c>
      <c r="B124" s="54">
        <f t="shared" ca="1" si="46"/>
        <v>0</v>
      </c>
      <c r="C124" s="54">
        <f t="shared" ca="1" si="46"/>
        <v>0</v>
      </c>
      <c r="D124" s="54">
        <f t="shared" ca="1" si="46"/>
        <v>0</v>
      </c>
      <c r="E124" s="54">
        <f t="shared" ca="1" si="46"/>
        <v>0</v>
      </c>
      <c r="F124" s="54">
        <f t="shared" ca="1" si="46"/>
        <v>0</v>
      </c>
      <c r="G124" s="54">
        <f t="shared" ca="1" si="46"/>
        <v>0</v>
      </c>
      <c r="H124" s="54">
        <f t="shared" ca="1" si="46"/>
        <v>0</v>
      </c>
      <c r="I124" s="54">
        <f t="shared" ca="1" si="46"/>
        <v>0</v>
      </c>
      <c r="J124" s="54">
        <f t="shared" ca="1" si="46"/>
        <v>0</v>
      </c>
      <c r="K124" s="54">
        <f t="shared" ca="1" si="46"/>
        <v>0</v>
      </c>
      <c r="L124" s="54">
        <f t="shared" ca="1" si="46"/>
        <v>0</v>
      </c>
      <c r="M124" s="54">
        <f t="shared" ca="1" si="46"/>
        <v>0</v>
      </c>
      <c r="N124" s="429">
        <f t="shared" ca="1" si="47"/>
        <v>0</v>
      </c>
      <c r="O124" s="429">
        <f>'ממוצע ורצוי'!N124</f>
        <v>0</v>
      </c>
      <c r="P124" s="54">
        <f t="shared" ca="1" si="48"/>
        <v>0</v>
      </c>
      <c r="Q124" s="54">
        <v>0</v>
      </c>
      <c r="R124" s="192">
        <f t="shared" ca="1" si="49"/>
        <v>0</v>
      </c>
      <c r="S124" s="54"/>
      <c r="T124" s="57"/>
      <c r="U124" s="84"/>
    </row>
    <row r="125" spans="1:21" ht="13.5" thickBot="1">
      <c r="A125" s="440" t="s">
        <v>334</v>
      </c>
      <c r="B125" s="431">
        <f t="shared" ref="B125:N125" ca="1" si="50">SUM(B115:B124)</f>
        <v>47408.57</v>
      </c>
      <c r="C125" s="431">
        <f t="shared" ca="1" si="50"/>
        <v>27236.57</v>
      </c>
      <c r="D125" s="431">
        <f t="shared" ca="1" si="50"/>
        <v>41233.57</v>
      </c>
      <c r="E125" s="431">
        <f t="shared" ca="1" si="50"/>
        <v>27271.61</v>
      </c>
      <c r="F125" s="431">
        <f t="shared" ca="1" si="50"/>
        <v>50745.77</v>
      </c>
      <c r="G125" s="431">
        <f t="shared" ca="1" si="50"/>
        <v>35745.770000000004</v>
      </c>
      <c r="H125" s="431">
        <f t="shared" ca="1" si="50"/>
        <v>50745.77</v>
      </c>
      <c r="I125" s="431">
        <f t="shared" ca="1" si="50"/>
        <v>35745.770000000004</v>
      </c>
      <c r="J125" s="431">
        <f t="shared" ca="1" si="50"/>
        <v>50745.77</v>
      </c>
      <c r="K125" s="431">
        <f t="shared" ca="1" si="50"/>
        <v>35745.770000000004</v>
      </c>
      <c r="L125" s="431">
        <f t="shared" ca="1" si="50"/>
        <v>50745.77</v>
      </c>
      <c r="M125" s="431">
        <f t="shared" ca="1" si="50"/>
        <v>36945.770000000004</v>
      </c>
      <c r="N125" s="441">
        <f t="shared" ca="1" si="50"/>
        <v>40859.706666666665</v>
      </c>
      <c r="O125" s="441">
        <f>'ממוצע ורצוי'!N125</f>
        <v>34850</v>
      </c>
      <c r="P125" s="431">
        <f ca="1">SUM(P115:P124)</f>
        <v>39516.675000000003</v>
      </c>
      <c r="Q125" s="431">
        <f>SUM(Q115:Q124)</f>
        <v>33835</v>
      </c>
      <c r="R125" s="433"/>
      <c r="S125" s="431"/>
      <c r="T125" s="432"/>
      <c r="U125" s="84"/>
    </row>
    <row r="126" spans="1:21" ht="13.5" thickBot="1">
      <c r="A126" s="434" t="s">
        <v>305</v>
      </c>
      <c r="B126" s="435">
        <f t="shared" ref="B126:M126" ca="1" si="51">B125-$O125</f>
        <v>12558.57</v>
      </c>
      <c r="C126" s="435">
        <f t="shared" ca="1" si="51"/>
        <v>-7613.43</v>
      </c>
      <c r="D126" s="435">
        <f t="shared" ca="1" si="51"/>
        <v>6383.57</v>
      </c>
      <c r="E126" s="435">
        <f t="shared" ca="1" si="51"/>
        <v>-7578.3899999999994</v>
      </c>
      <c r="F126" s="435">
        <f t="shared" ca="1" si="51"/>
        <v>15895.769999999997</v>
      </c>
      <c r="G126" s="435">
        <f t="shared" ca="1" si="51"/>
        <v>895.77000000000407</v>
      </c>
      <c r="H126" s="435">
        <f t="shared" ca="1" si="51"/>
        <v>15895.769999999997</v>
      </c>
      <c r="I126" s="435">
        <f t="shared" ca="1" si="51"/>
        <v>895.77000000000407</v>
      </c>
      <c r="J126" s="435">
        <f t="shared" ca="1" si="51"/>
        <v>15895.769999999997</v>
      </c>
      <c r="K126" s="435">
        <f t="shared" ca="1" si="51"/>
        <v>895.77000000000407</v>
      </c>
      <c r="L126" s="435">
        <f t="shared" ca="1" si="51"/>
        <v>15895.769999999997</v>
      </c>
      <c r="M126" s="435">
        <f t="shared" ca="1" si="51"/>
        <v>2095.7700000000041</v>
      </c>
      <c r="N126" s="436"/>
      <c r="O126" s="436"/>
      <c r="P126" s="435"/>
      <c r="Q126" s="435"/>
      <c r="R126" s="437"/>
      <c r="S126" s="435"/>
      <c r="T126" s="438"/>
      <c r="U126" s="84"/>
    </row>
    <row r="129" spans="1:21" ht="13.5" thickBot="1"/>
    <row r="130" spans="1:21">
      <c r="A130" s="404" t="s">
        <v>66</v>
      </c>
      <c r="B130" s="405"/>
      <c r="C130" s="405"/>
      <c r="D130" s="405"/>
      <c r="E130" s="405"/>
      <c r="F130" s="405"/>
      <c r="G130" s="405"/>
      <c r="H130" s="405"/>
      <c r="I130" s="405"/>
      <c r="J130" s="405"/>
      <c r="K130" s="405"/>
      <c r="L130" s="405"/>
      <c r="M130" s="405"/>
      <c r="N130" s="406"/>
      <c r="O130" s="406"/>
      <c r="P130" s="405"/>
      <c r="Q130" s="405"/>
      <c r="R130" s="413"/>
      <c r="S130" s="405"/>
      <c r="T130" s="406"/>
      <c r="U130" s="84"/>
    </row>
    <row r="131" spans="1:21">
      <c r="A131" s="442" t="s">
        <v>67</v>
      </c>
      <c r="B131" s="443">
        <v>1</v>
      </c>
      <c r="C131" s="443">
        <v>2</v>
      </c>
      <c r="D131" s="443">
        <v>3</v>
      </c>
      <c r="E131" s="443">
        <v>4</v>
      </c>
      <c r="F131" s="443">
        <v>5</v>
      </c>
      <c r="G131" s="443">
        <v>6</v>
      </c>
      <c r="H131" s="443">
        <v>7</v>
      </c>
      <c r="I131" s="443">
        <v>8</v>
      </c>
      <c r="J131" s="443">
        <v>9</v>
      </c>
      <c r="K131" s="443">
        <v>10</v>
      </c>
      <c r="L131" s="443">
        <v>11</v>
      </c>
      <c r="M131" s="443">
        <v>12</v>
      </c>
      <c r="N131" s="444" t="s">
        <v>53</v>
      </c>
      <c r="O131" s="444" t="s">
        <v>181</v>
      </c>
      <c r="P131" s="443"/>
      <c r="Q131" s="443"/>
      <c r="R131" s="445"/>
      <c r="S131" s="443"/>
      <c r="T131" s="446"/>
      <c r="U131" s="84"/>
    </row>
    <row r="132" spans="1:21">
      <c r="A132" s="447" t="s">
        <v>246</v>
      </c>
      <c r="B132" s="448">
        <f t="shared" ref="B132:M132" ca="1" si="52">B22+B38+B54+B71+B88+B98+B111</f>
        <v>35469.94</v>
      </c>
      <c r="C132" s="448">
        <f t="shared" ca="1" si="52"/>
        <v>39923.86</v>
      </c>
      <c r="D132" s="448">
        <f t="shared" ca="1" si="52"/>
        <v>38794.520000000004</v>
      </c>
      <c r="E132" s="448">
        <f t="shared" ca="1" si="52"/>
        <v>44228.909999999996</v>
      </c>
      <c r="F132" s="448">
        <f t="shared" ca="1" si="52"/>
        <v>29110.29</v>
      </c>
      <c r="G132" s="448">
        <f t="shared" ca="1" si="52"/>
        <v>28154.04</v>
      </c>
      <c r="H132" s="448">
        <f t="shared" ca="1" si="52"/>
        <v>23338.68</v>
      </c>
      <c r="I132" s="448">
        <f t="shared" ca="1" si="52"/>
        <v>24987.96</v>
      </c>
      <c r="J132" s="448">
        <f t="shared" ca="1" si="52"/>
        <v>22750.959999999999</v>
      </c>
      <c r="K132" s="448">
        <f t="shared" ca="1" si="52"/>
        <v>27947.96</v>
      </c>
      <c r="L132" s="448">
        <f t="shared" ca="1" si="52"/>
        <v>24338.959999999999</v>
      </c>
      <c r="M132" s="448">
        <f t="shared" ca="1" si="52"/>
        <v>23800.959999999999</v>
      </c>
      <c r="N132" s="449">
        <f ca="1">AVERAGE(B132:M132)</f>
        <v>30237.253333333341</v>
      </c>
      <c r="O132" s="449">
        <f>'ממוצע ורצוי'!N131</f>
        <v>34872</v>
      </c>
      <c r="P132" s="448">
        <f ca="1">P22+P38+P54+P71+P88+P98+P111</f>
        <v>33001.025000000001</v>
      </c>
      <c r="Q132" s="448">
        <f>Q22+Q38+Q54+Q71+Q88+Q98+Q111</f>
        <v>35879</v>
      </c>
      <c r="R132" s="450"/>
      <c r="S132" s="448"/>
      <c r="T132" s="451"/>
      <c r="U132" s="84"/>
    </row>
    <row r="133" spans="1:21">
      <c r="A133" s="56" t="s">
        <v>342</v>
      </c>
      <c r="B133" s="54">
        <f ca="1">B125</f>
        <v>47408.57</v>
      </c>
      <c r="C133" s="54">
        <f t="shared" ref="C133:M133" ca="1" si="53">C125</f>
        <v>27236.57</v>
      </c>
      <c r="D133" s="54">
        <f t="shared" ca="1" si="53"/>
        <v>41233.57</v>
      </c>
      <c r="E133" s="54">
        <f t="shared" ca="1" si="53"/>
        <v>27271.61</v>
      </c>
      <c r="F133" s="54">
        <f t="shared" ca="1" si="53"/>
        <v>50745.77</v>
      </c>
      <c r="G133" s="54">
        <f t="shared" ca="1" si="53"/>
        <v>35745.770000000004</v>
      </c>
      <c r="H133" s="54">
        <f t="shared" ca="1" si="53"/>
        <v>50745.77</v>
      </c>
      <c r="I133" s="54">
        <f t="shared" ca="1" si="53"/>
        <v>35745.770000000004</v>
      </c>
      <c r="J133" s="54">
        <f t="shared" ca="1" si="53"/>
        <v>50745.77</v>
      </c>
      <c r="K133" s="54">
        <f t="shared" ca="1" si="53"/>
        <v>35745.770000000004</v>
      </c>
      <c r="L133" s="54">
        <f t="shared" ca="1" si="53"/>
        <v>50745.77</v>
      </c>
      <c r="M133" s="54">
        <f t="shared" ca="1" si="53"/>
        <v>36945.770000000004</v>
      </c>
      <c r="N133" s="57">
        <f ca="1">AVERAGE(B133:M133)</f>
        <v>40859.706666666672</v>
      </c>
      <c r="O133" s="57">
        <f>O125</f>
        <v>34850</v>
      </c>
      <c r="P133" s="54">
        <f ca="1">AVERAGE(B133:I133)</f>
        <v>39516.675000000003</v>
      </c>
      <c r="Q133" s="57">
        <f>Q125</f>
        <v>33835</v>
      </c>
      <c r="R133" s="192">
        <f ca="1">Q133-P133</f>
        <v>-5681.6750000000029</v>
      </c>
      <c r="S133" s="145"/>
      <c r="T133" s="57"/>
      <c r="U133" s="84"/>
    </row>
    <row r="134" spans="1:21">
      <c r="A134" s="56" t="s">
        <v>379</v>
      </c>
      <c r="B134" s="54">
        <f ca="1">B132*0.1</f>
        <v>3546.9940000000006</v>
      </c>
      <c r="C134" s="54">
        <f t="shared" ref="C134:M134" ca="1" si="54">C132*0.1</f>
        <v>3992.3860000000004</v>
      </c>
      <c r="D134" s="54">
        <f t="shared" ca="1" si="54"/>
        <v>3879.4520000000007</v>
      </c>
      <c r="E134" s="54">
        <f t="shared" ca="1" si="54"/>
        <v>4422.8909999999996</v>
      </c>
      <c r="F134" s="54">
        <f t="shared" ca="1" si="54"/>
        <v>2911.0290000000005</v>
      </c>
      <c r="G134" s="54">
        <f t="shared" ca="1" si="54"/>
        <v>2815.4040000000005</v>
      </c>
      <c r="H134" s="54">
        <f t="shared" ca="1" si="54"/>
        <v>2333.8679999999999</v>
      </c>
      <c r="I134" s="54">
        <f t="shared" ca="1" si="54"/>
        <v>2498.7960000000003</v>
      </c>
      <c r="J134" s="54">
        <f t="shared" ca="1" si="54"/>
        <v>2275.096</v>
      </c>
      <c r="K134" s="54">
        <f t="shared" ca="1" si="54"/>
        <v>2794.7960000000003</v>
      </c>
      <c r="L134" s="54">
        <f t="shared" ca="1" si="54"/>
        <v>2433.8960000000002</v>
      </c>
      <c r="M134" s="54">
        <f t="shared" ca="1" si="54"/>
        <v>2380.096</v>
      </c>
      <c r="N134" s="57">
        <f ca="1">AVERAGE(B134:M134)</f>
        <v>3023.7253333333333</v>
      </c>
      <c r="O134" s="57">
        <f>O132*0.1</f>
        <v>3487.2000000000003</v>
      </c>
      <c r="P134" s="54">
        <f ca="1">AVERAGE(B134:I134)</f>
        <v>3300.1025</v>
      </c>
      <c r="Q134" s="57">
        <f>Q132*0.1</f>
        <v>3587.9</v>
      </c>
      <c r="R134" s="192">
        <f ca="1">Q134-P134</f>
        <v>287.79750000000013</v>
      </c>
      <c r="S134" s="145"/>
      <c r="T134" s="57"/>
      <c r="U134" s="84"/>
    </row>
    <row r="135" spans="1:21" ht="13.5" thickBot="1">
      <c r="A135" s="452" t="s">
        <v>245</v>
      </c>
      <c r="B135" s="431">
        <f ca="1">SUM(B132:B134)</f>
        <v>86425.504000000015</v>
      </c>
      <c r="C135" s="431">
        <f t="shared" ref="C135:M135" ca="1" si="55">SUM(C132:C134)</f>
        <v>71152.815999999992</v>
      </c>
      <c r="D135" s="431">
        <f t="shared" ca="1" si="55"/>
        <v>83907.542000000001</v>
      </c>
      <c r="E135" s="431">
        <f t="shared" ca="1" si="55"/>
        <v>75923.410999999993</v>
      </c>
      <c r="F135" s="431">
        <f t="shared" ca="1" si="55"/>
        <v>82767.088999999993</v>
      </c>
      <c r="G135" s="431">
        <f t="shared" ca="1" si="55"/>
        <v>66715.214000000007</v>
      </c>
      <c r="H135" s="431">
        <f t="shared" ca="1" si="55"/>
        <v>76418.317999999999</v>
      </c>
      <c r="I135" s="431">
        <f t="shared" ca="1" si="55"/>
        <v>63232.526000000005</v>
      </c>
      <c r="J135" s="431">
        <f t="shared" ca="1" si="55"/>
        <v>75771.826000000001</v>
      </c>
      <c r="K135" s="431">
        <f t="shared" ca="1" si="55"/>
        <v>66488.525999999998</v>
      </c>
      <c r="L135" s="431">
        <f t="shared" ca="1" si="55"/>
        <v>77518.625999999989</v>
      </c>
      <c r="M135" s="431">
        <f t="shared" ca="1" si="55"/>
        <v>63126.826000000001</v>
      </c>
      <c r="N135" s="453">
        <f ca="1">SUM(N132:N134)</f>
        <v>74120.685333333357</v>
      </c>
      <c r="O135" s="453">
        <f>SUM(O132:O134)</f>
        <v>73209.2</v>
      </c>
      <c r="P135" s="431">
        <f ca="1">SUM(P132:P134)</f>
        <v>75817.802500000005</v>
      </c>
      <c r="Q135" s="431">
        <f>SUM(Q132:Q134)</f>
        <v>73301.899999999994</v>
      </c>
      <c r="R135" s="454"/>
      <c r="S135" s="455"/>
      <c r="T135" s="453"/>
      <c r="U135" s="84"/>
    </row>
    <row r="136" spans="1:21">
      <c r="A136" s="404" t="s">
        <v>25</v>
      </c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6"/>
      <c r="O136" s="406"/>
      <c r="P136" s="405"/>
      <c r="Q136" s="405"/>
      <c r="R136" s="413"/>
      <c r="S136" s="405"/>
      <c r="T136" s="406"/>
      <c r="U136" s="84"/>
    </row>
    <row r="137" spans="1:21">
      <c r="A137" s="442" t="s">
        <v>67</v>
      </c>
      <c r="B137" s="443">
        <v>1</v>
      </c>
      <c r="C137" s="443">
        <v>2</v>
      </c>
      <c r="D137" s="443">
        <v>3</v>
      </c>
      <c r="E137" s="443">
        <v>4</v>
      </c>
      <c r="F137" s="443">
        <v>5</v>
      </c>
      <c r="G137" s="443">
        <v>6</v>
      </c>
      <c r="H137" s="443">
        <v>7</v>
      </c>
      <c r="I137" s="443">
        <v>8</v>
      </c>
      <c r="J137" s="443">
        <v>9</v>
      </c>
      <c r="K137" s="443">
        <v>10</v>
      </c>
      <c r="L137" s="443">
        <v>11</v>
      </c>
      <c r="M137" s="443">
        <v>12</v>
      </c>
      <c r="N137" s="444" t="s">
        <v>53</v>
      </c>
      <c r="O137" s="444"/>
      <c r="P137" s="443"/>
      <c r="Q137" s="443"/>
      <c r="R137" s="445"/>
      <c r="S137" s="443"/>
      <c r="T137" s="446"/>
      <c r="U137" s="84"/>
    </row>
    <row r="138" spans="1:21">
      <c r="A138" s="56" t="s">
        <v>337</v>
      </c>
      <c r="B138" s="45">
        <f ca="1">(INDIRECT("'"&amp;B137&amp;"'!"&amp;"C20"))</f>
        <v>14893.76</v>
      </c>
      <c r="C138" s="45">
        <f t="shared" ref="C138:M138" ca="1" si="56">(INDIRECT("'"&amp;C137&amp;"'!"&amp;"C20"))</f>
        <v>16588.759999999998</v>
      </c>
      <c r="D138" s="45">
        <f t="shared" ca="1" si="56"/>
        <v>41781.019999999997</v>
      </c>
      <c r="E138" s="45">
        <f t="shared" ca="1" si="56"/>
        <v>34733.949999999997</v>
      </c>
      <c r="F138" s="45">
        <f t="shared" ca="1" si="56"/>
        <v>14000</v>
      </c>
      <c r="G138" s="45">
        <f t="shared" ca="1" si="56"/>
        <v>14000</v>
      </c>
      <c r="H138" s="45">
        <f t="shared" ca="1" si="56"/>
        <v>14000</v>
      </c>
      <c r="I138" s="45">
        <f t="shared" ca="1" si="56"/>
        <v>14000</v>
      </c>
      <c r="J138" s="45">
        <f t="shared" ca="1" si="56"/>
        <v>14000</v>
      </c>
      <c r="K138" s="45">
        <f t="shared" ca="1" si="56"/>
        <v>14000</v>
      </c>
      <c r="L138" s="45">
        <f t="shared" ca="1" si="56"/>
        <v>14000</v>
      </c>
      <c r="M138" s="45">
        <f t="shared" ca="1" si="56"/>
        <v>14000</v>
      </c>
      <c r="N138" s="48">
        <f ca="1">AVERAGE(B138:M138)</f>
        <v>18333.124166666665</v>
      </c>
      <c r="O138" s="48"/>
      <c r="P138" s="54">
        <f ca="1">AVERAGE(B138:I138)</f>
        <v>20499.686249999999</v>
      </c>
      <c r="Q138" s="45">
        <v>14500</v>
      </c>
      <c r="R138" s="192">
        <f t="shared" ref="R138:R143" ca="1" si="57">Q138-P138</f>
        <v>-5999.6862499999988</v>
      </c>
      <c r="S138" s="45"/>
      <c r="T138" s="48"/>
      <c r="U138" s="84"/>
    </row>
    <row r="139" spans="1:21">
      <c r="A139" s="56" t="s">
        <v>338</v>
      </c>
      <c r="B139" s="45">
        <f ca="1">(INDIRECT("'"&amp;B137&amp;"'!"&amp;"C21"))</f>
        <v>15000</v>
      </c>
      <c r="C139" s="45">
        <f t="shared" ref="C139:M139" ca="1" si="58">(INDIRECT("'"&amp;C137&amp;"'!"&amp;"C21"))</f>
        <v>9000</v>
      </c>
      <c r="D139" s="45">
        <f t="shared" ca="1" si="58"/>
        <v>10000</v>
      </c>
      <c r="E139" s="45">
        <f t="shared" ca="1" si="58"/>
        <v>10000</v>
      </c>
      <c r="F139" s="45">
        <f t="shared" ca="1" si="58"/>
        <v>15000</v>
      </c>
      <c r="G139" s="45">
        <f t="shared" ca="1" si="58"/>
        <v>15000</v>
      </c>
      <c r="H139" s="45">
        <f t="shared" ca="1" si="58"/>
        <v>15000</v>
      </c>
      <c r="I139" s="45">
        <f t="shared" ca="1" si="58"/>
        <v>15000</v>
      </c>
      <c r="J139" s="45">
        <f t="shared" ca="1" si="58"/>
        <v>15000</v>
      </c>
      <c r="K139" s="45">
        <f t="shared" ca="1" si="58"/>
        <v>15000</v>
      </c>
      <c r="L139" s="45">
        <f t="shared" ca="1" si="58"/>
        <v>15000</v>
      </c>
      <c r="M139" s="45">
        <f t="shared" ca="1" si="58"/>
        <v>15000</v>
      </c>
      <c r="N139" s="48">
        <f ca="1">AVERAGE(B139:M139)</f>
        <v>13666.666666666666</v>
      </c>
      <c r="O139" s="48"/>
      <c r="P139" s="54">
        <f ca="1">AVERAGE(B139:I139)</f>
        <v>13000</v>
      </c>
      <c r="Q139" s="45">
        <v>15000</v>
      </c>
      <c r="R139" s="192">
        <f t="shared" ca="1" si="57"/>
        <v>2000</v>
      </c>
      <c r="S139" s="45"/>
      <c r="T139" s="48"/>
      <c r="U139" s="84"/>
    </row>
    <row r="140" spans="1:21">
      <c r="A140" s="56" t="s">
        <v>80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66"/>
      <c r="O140" s="66"/>
      <c r="P140" s="55"/>
      <c r="Q140" s="55"/>
      <c r="R140" s="192">
        <f t="shared" si="57"/>
        <v>0</v>
      </c>
      <c r="S140" s="55"/>
      <c r="T140" s="66"/>
      <c r="U140" s="84"/>
    </row>
    <row r="141" spans="1:21">
      <c r="A141" s="56" t="s">
        <v>26</v>
      </c>
      <c r="B141" s="45">
        <f ca="1">(INDIRECT("'"&amp;B137&amp;"'!"&amp;"C22"))+(INDIRECT("'"&amp;B137&amp;"'!"&amp;"D22"))</f>
        <v>276</v>
      </c>
      <c r="C141" s="45">
        <f t="shared" ref="C141:M141" ca="1" si="59">(INDIRECT("'"&amp;C137&amp;"'!"&amp;"C22"))+(INDIRECT("'"&amp;C137&amp;"'!"&amp;"D22"))</f>
        <v>276</v>
      </c>
      <c r="D141" s="45">
        <f t="shared" ca="1" si="59"/>
        <v>276</v>
      </c>
      <c r="E141" s="45">
        <f t="shared" ca="1" si="59"/>
        <v>276</v>
      </c>
      <c r="F141" s="45">
        <f t="shared" ca="1" si="59"/>
        <v>269</v>
      </c>
      <c r="G141" s="45">
        <f t="shared" ca="1" si="59"/>
        <v>269</v>
      </c>
      <c r="H141" s="45">
        <f t="shared" ca="1" si="59"/>
        <v>269</v>
      </c>
      <c r="I141" s="45">
        <f t="shared" ca="1" si="59"/>
        <v>269</v>
      </c>
      <c r="J141" s="45">
        <f t="shared" ca="1" si="59"/>
        <v>269</v>
      </c>
      <c r="K141" s="45">
        <f t="shared" ca="1" si="59"/>
        <v>269</v>
      </c>
      <c r="L141" s="45">
        <f t="shared" ca="1" si="59"/>
        <v>269</v>
      </c>
      <c r="M141" s="45">
        <f t="shared" ca="1" si="59"/>
        <v>269</v>
      </c>
      <c r="N141" s="48">
        <f ca="1">AVERAGE(B141:M141)</f>
        <v>271.33333333333331</v>
      </c>
      <c r="O141" s="48"/>
      <c r="P141" s="54">
        <f ca="1">AVERAGE(B141:I141)</f>
        <v>272.5</v>
      </c>
      <c r="Q141" s="45">
        <v>261</v>
      </c>
      <c r="R141" s="192">
        <f t="shared" ca="1" si="57"/>
        <v>-11.5</v>
      </c>
      <c r="S141" s="45"/>
      <c r="T141" s="48"/>
      <c r="U141" s="84"/>
    </row>
    <row r="142" spans="1:21">
      <c r="A142" s="56" t="s">
        <v>339</v>
      </c>
      <c r="B142" s="45">
        <f ca="1">(INDIRECT("'"&amp;B137&amp;"'!"&amp;"C23"))+(INDIRECT("'"&amp;B137&amp;"'!"&amp;"D23"))</f>
        <v>2920</v>
      </c>
      <c r="C142" s="45">
        <f t="shared" ref="C142:M142" ca="1" si="60">(INDIRECT("'"&amp;C137&amp;"'!"&amp;"C23"))+(INDIRECT("'"&amp;C137&amp;"'!"&amp;"D23"))</f>
        <v>794</v>
      </c>
      <c r="D142" s="45">
        <f t="shared" ca="1" si="60"/>
        <v>1160</v>
      </c>
      <c r="E142" s="45">
        <f t="shared" ca="1" si="60"/>
        <v>0</v>
      </c>
      <c r="F142" s="45">
        <f t="shared" ca="1" si="60"/>
        <v>0</v>
      </c>
      <c r="G142" s="45">
        <f t="shared" ca="1" si="60"/>
        <v>0</v>
      </c>
      <c r="H142" s="45">
        <f t="shared" ca="1" si="60"/>
        <v>0</v>
      </c>
      <c r="I142" s="45">
        <f t="shared" ca="1" si="60"/>
        <v>0</v>
      </c>
      <c r="J142" s="45">
        <f t="shared" ca="1" si="60"/>
        <v>0</v>
      </c>
      <c r="K142" s="45">
        <f t="shared" ca="1" si="60"/>
        <v>0</v>
      </c>
      <c r="L142" s="45">
        <f t="shared" ca="1" si="60"/>
        <v>0</v>
      </c>
      <c r="M142" s="45">
        <f t="shared" ca="1" si="60"/>
        <v>0</v>
      </c>
      <c r="N142" s="48">
        <f ca="1">AVERAGE(B142:M142)</f>
        <v>406.16666666666669</v>
      </c>
      <c r="O142" s="48"/>
      <c r="P142" s="54">
        <f ca="1">AVERAGE(B142:I142)</f>
        <v>609.25</v>
      </c>
      <c r="Q142" s="45">
        <v>500</v>
      </c>
      <c r="R142" s="192">
        <f t="shared" ca="1" si="57"/>
        <v>-109.25</v>
      </c>
      <c r="S142" s="45"/>
      <c r="T142" s="48"/>
      <c r="U142" s="84"/>
    </row>
    <row r="143" spans="1:21">
      <c r="A143" s="56" t="s">
        <v>341</v>
      </c>
      <c r="B143" s="45">
        <f ca="1">(INDIRECT("'"&amp;B137&amp;"'!"&amp;"C25"))+SUMIFS(עסק!$E:$E,עסק!$D:$D,B$137,עסק!$F:$F,"כן",עסק!$G:$G,"מזומן" )+SUMIFS(עסק!$AA:$AA,עסק!$Z:$Z,B$137,עסק!$AB:$AB,"כן",עסק!$AC:$AC,"מזומן" )</f>
        <v>0</v>
      </c>
      <c r="C143" s="45">
        <f ca="1">(INDIRECT("'"&amp;C137&amp;"'!"&amp;"C25"))+SUMIFS(עסק!$E:$E,עסק!$D:$D,C$137,עסק!$F:$F,"כן",עסק!$G:$G,"מזומן" )+SUMIFS(עסק!$AA:$AA,עסק!$Z:$Z,C$137,עסק!$AB:$AB,"כן",עסק!$AC:$AC,"מזומן" )</f>
        <v>0</v>
      </c>
      <c r="D143" s="45">
        <f ca="1">(INDIRECT("'"&amp;D137&amp;"'!"&amp;"C25"))+SUMIFS(עסק!$E:$E,עסק!$D:$D,D$137,עסק!$F:$F,"כן",עסק!$G:$G,"מזומן" )+SUMIFS(עסק!$AA:$AA,עסק!$Z:$Z,D$137,עסק!$AB:$AB,"כן",עסק!$AC:$AC,"מזומן" )</f>
        <v>0</v>
      </c>
      <c r="E143" s="45">
        <f ca="1">(INDIRECT("'"&amp;E137&amp;"'!"&amp;"C25"))+SUMIFS(עסק!$E:$E,עסק!$D:$D,E$137,עסק!$F:$F,"כן",עסק!$G:$G,"מזומן" )+SUMIFS(עסק!$AA:$AA,עסק!$Z:$Z,E$137,עסק!$AB:$AB,"כן",עסק!$AC:$AC,"מזומן" )</f>
        <v>0</v>
      </c>
      <c r="F143" s="45">
        <f ca="1">(INDIRECT("'"&amp;F137&amp;"'!"&amp;"C25"))+SUMIFS(עסק!$E:$E,עסק!$D:$D,F$137,עסק!$F:$F,"כן",עסק!$G:$G,"מזומן" )+SUMIFS(עסק!$AA:$AA,עסק!$Z:$Z,F$137,עסק!$AB:$AB,"כן",עסק!$AC:$AC,"מזומן" )</f>
        <v>0</v>
      </c>
      <c r="G143" s="45">
        <f ca="1">(INDIRECT("'"&amp;G137&amp;"'!"&amp;"C25"))+SUMIFS(עסק!$E:$E,עסק!$D:$D,G$137,עסק!$F:$F,"כן",עסק!$G:$G,"מזומן" )+SUMIFS(עסק!$AA:$AA,עסק!$Z:$Z,G$137,עסק!$AB:$AB,"כן",עסק!$AC:$AC,"מזומן" )</f>
        <v>0</v>
      </c>
      <c r="H143" s="45">
        <f ca="1">(INDIRECT("'"&amp;H137&amp;"'!"&amp;"C25"))+SUMIFS(עסק!$E:$E,עסק!$D:$D,H$137,עסק!$F:$F,"כן",עסק!$G:$G,"מזומן" )+SUMIFS(עסק!$AA:$AA,עסק!$Z:$Z,H$137,עסק!$AB:$AB,"כן",עסק!$AC:$AC,"מזומן" )</f>
        <v>0</v>
      </c>
      <c r="I143" s="45">
        <f ca="1">(INDIRECT("'"&amp;I137&amp;"'!"&amp;"C25"))+SUMIFS(עסק!$E:$E,עסק!$D:$D,I$137,עסק!$F:$F,"כן",עסק!$G:$G,"מזומן" )+SUMIFS(עסק!$AA:$AA,עסק!$Z:$Z,I$137,עסק!$AB:$AB,"כן",עסק!$AC:$AC,"מזומן" )</f>
        <v>0</v>
      </c>
      <c r="J143" s="45">
        <f ca="1">(INDIRECT("'"&amp;J137&amp;"'!"&amp;"C25"))+SUMIFS(עסק!$E:$E,עסק!$D:$D,J$137,עסק!$F:$F,"כן",עסק!$G:$G,"מזומן" )+SUMIFS(עסק!$AA:$AA,עסק!$Z:$Z,J$137,עסק!$AB:$AB,"כן",עסק!$AC:$AC,"מזומן" )</f>
        <v>0</v>
      </c>
      <c r="K143" s="45">
        <f ca="1">(INDIRECT("'"&amp;K137&amp;"'!"&amp;"C25"))+SUMIFS(עסק!$E:$E,עסק!$D:$D,K$137,עסק!$F:$F,"כן",עסק!$G:$G,"מזומן" )+SUMIFS(עסק!$AA:$AA,עסק!$Z:$Z,K$137,עסק!$AB:$AB,"כן",עסק!$AC:$AC,"מזומן" )</f>
        <v>0</v>
      </c>
      <c r="L143" s="45">
        <f ca="1">(INDIRECT("'"&amp;L137&amp;"'!"&amp;"C25"))+SUMIFS(עסק!$E:$E,עסק!$D:$D,L$137,עסק!$F:$F,"כן",עסק!$G:$G,"מזומן" )+SUMIFS(עסק!$AA:$AA,עסק!$Z:$Z,L$137,עסק!$AB:$AB,"כן",עסק!$AC:$AC,"מזומן" )</f>
        <v>0</v>
      </c>
      <c r="M143" s="45">
        <f ca="1">(INDIRECT("'"&amp;M137&amp;"'!"&amp;"C25"))+SUMIFS(עסק!$E:$E,עסק!$D:$D,M$137,עסק!$F:$F,"כן",עסק!$G:$G,"מזומן" )+SUMIFS(עסק!$AA:$AA,עסק!$Z:$Z,M$137,עסק!$AB:$AB,"כן",עסק!$AC:$AC,"מזומן" )</f>
        <v>0</v>
      </c>
      <c r="N143" s="48">
        <f ca="1">AVERAGE(B143:M143)</f>
        <v>0</v>
      </c>
      <c r="O143" s="48"/>
      <c r="P143" s="54">
        <f ca="1">AVERAGE(B143:I143)</f>
        <v>0</v>
      </c>
      <c r="Q143" s="45">
        <v>0</v>
      </c>
      <c r="R143" s="192">
        <f t="shared" ca="1" si="57"/>
        <v>0</v>
      </c>
      <c r="S143" s="45"/>
      <c r="T143" s="48"/>
      <c r="U143" s="84"/>
    </row>
    <row r="144" spans="1:21" ht="13.5" thickBot="1">
      <c r="A144" s="425" t="s">
        <v>242</v>
      </c>
      <c r="B144" s="426">
        <f t="shared" ref="B144:Q144" ca="1" si="61">SUM(B138:B143)</f>
        <v>33089.760000000002</v>
      </c>
      <c r="C144" s="426">
        <f t="shared" ca="1" si="61"/>
        <v>26658.76</v>
      </c>
      <c r="D144" s="426">
        <f t="shared" ca="1" si="61"/>
        <v>53217.02</v>
      </c>
      <c r="E144" s="426">
        <f t="shared" ca="1" si="61"/>
        <v>45009.95</v>
      </c>
      <c r="F144" s="426">
        <f t="shared" ca="1" si="61"/>
        <v>29269</v>
      </c>
      <c r="G144" s="426">
        <f t="shared" ca="1" si="61"/>
        <v>29269</v>
      </c>
      <c r="H144" s="426">
        <f t="shared" ca="1" si="61"/>
        <v>29269</v>
      </c>
      <c r="I144" s="426">
        <f t="shared" ca="1" si="61"/>
        <v>29269</v>
      </c>
      <c r="J144" s="426">
        <f t="shared" ca="1" si="61"/>
        <v>29269</v>
      </c>
      <c r="K144" s="426">
        <f t="shared" ca="1" si="61"/>
        <v>29269</v>
      </c>
      <c r="L144" s="426">
        <f t="shared" ca="1" si="61"/>
        <v>29269</v>
      </c>
      <c r="M144" s="426">
        <f t="shared" ca="1" si="61"/>
        <v>29269</v>
      </c>
      <c r="N144" s="427">
        <f t="shared" ca="1" si="61"/>
        <v>32677.290833333333</v>
      </c>
      <c r="O144" s="427">
        <v>28000</v>
      </c>
      <c r="P144" s="426">
        <f t="shared" ca="1" si="61"/>
        <v>34381.436249999999</v>
      </c>
      <c r="Q144" s="426">
        <f t="shared" si="61"/>
        <v>30261</v>
      </c>
      <c r="R144" s="428"/>
      <c r="S144" s="426"/>
      <c r="T144" s="427"/>
      <c r="U144" s="84"/>
    </row>
    <row r="145" spans="1:21">
      <c r="A145" s="400" t="s">
        <v>88</v>
      </c>
      <c r="B145" s="401"/>
      <c r="C145" s="401"/>
      <c r="D145" s="401"/>
      <c r="E145" s="401"/>
      <c r="F145" s="401"/>
      <c r="G145" s="401"/>
      <c r="H145" s="401"/>
      <c r="I145" s="401"/>
      <c r="J145" s="401"/>
      <c r="K145" s="401"/>
      <c r="L145" s="401"/>
      <c r="M145" s="401"/>
      <c r="N145" s="402"/>
      <c r="O145" s="402"/>
      <c r="P145" s="401"/>
      <c r="Q145" s="401"/>
      <c r="R145" s="419"/>
      <c r="S145" s="401"/>
      <c r="T145" s="402"/>
      <c r="U145" s="84"/>
    </row>
    <row r="146" spans="1:21">
      <c r="A146" s="420" t="s">
        <v>67</v>
      </c>
      <c r="B146" s="421">
        <v>1</v>
      </c>
      <c r="C146" s="421">
        <v>2</v>
      </c>
      <c r="D146" s="421">
        <v>3</v>
      </c>
      <c r="E146" s="421">
        <v>4</v>
      </c>
      <c r="F146" s="421">
        <v>5</v>
      </c>
      <c r="G146" s="421">
        <v>6</v>
      </c>
      <c r="H146" s="421">
        <v>7</v>
      </c>
      <c r="I146" s="421">
        <v>8</v>
      </c>
      <c r="J146" s="421">
        <v>9</v>
      </c>
      <c r="K146" s="421">
        <v>10</v>
      </c>
      <c r="L146" s="421">
        <v>11</v>
      </c>
      <c r="M146" s="421">
        <v>12</v>
      </c>
      <c r="N146" s="422" t="s">
        <v>53</v>
      </c>
      <c r="O146" s="422"/>
      <c r="P146" s="421"/>
      <c r="Q146" s="421"/>
      <c r="R146" s="423"/>
      <c r="S146" s="421"/>
      <c r="T146" s="424"/>
      <c r="U146" s="84"/>
    </row>
    <row r="147" spans="1:21">
      <c r="A147" s="56" t="s">
        <v>244</v>
      </c>
      <c r="B147" s="54">
        <f ca="1">B144</f>
        <v>33089.760000000002</v>
      </c>
      <c r="C147" s="54">
        <f t="shared" ref="C147:O147" ca="1" si="62">C144</f>
        <v>26658.76</v>
      </c>
      <c r="D147" s="54">
        <f t="shared" ca="1" si="62"/>
        <v>53217.02</v>
      </c>
      <c r="E147" s="54">
        <f t="shared" ca="1" si="62"/>
        <v>45009.95</v>
      </c>
      <c r="F147" s="54">
        <f ca="1">F144</f>
        <v>29269</v>
      </c>
      <c r="G147" s="54">
        <f t="shared" ca="1" si="62"/>
        <v>29269</v>
      </c>
      <c r="H147" s="54">
        <f t="shared" ca="1" si="62"/>
        <v>29269</v>
      </c>
      <c r="I147" s="54">
        <f t="shared" ca="1" si="62"/>
        <v>29269</v>
      </c>
      <c r="J147" s="54">
        <f t="shared" ca="1" si="62"/>
        <v>29269</v>
      </c>
      <c r="K147" s="54">
        <f t="shared" ca="1" si="62"/>
        <v>29269</v>
      </c>
      <c r="L147" s="54">
        <f t="shared" ca="1" si="62"/>
        <v>29269</v>
      </c>
      <c r="M147" s="54">
        <f t="shared" ca="1" si="62"/>
        <v>29269</v>
      </c>
      <c r="N147" s="57">
        <f t="shared" ca="1" si="62"/>
        <v>32677.290833333333</v>
      </c>
      <c r="O147" s="57">
        <f t="shared" si="62"/>
        <v>28000</v>
      </c>
      <c r="P147" s="54">
        <f ca="1">P144</f>
        <v>34381.436249999999</v>
      </c>
      <c r="Q147" s="54">
        <f>Q144</f>
        <v>30261</v>
      </c>
      <c r="R147" s="192">
        <f ca="1">Q147-P147</f>
        <v>-4120.4362499999988</v>
      </c>
      <c r="S147" s="54"/>
      <c r="T147" s="57"/>
      <c r="U147" s="84"/>
    </row>
    <row r="148" spans="1:21">
      <c r="A148" s="56" t="s">
        <v>247</v>
      </c>
      <c r="B148" s="54">
        <f t="shared" ref="B148:M148" ca="1" si="63">B132</f>
        <v>35469.94</v>
      </c>
      <c r="C148" s="54">
        <f t="shared" ca="1" si="63"/>
        <v>39923.86</v>
      </c>
      <c r="D148" s="54">
        <f t="shared" ca="1" si="63"/>
        <v>38794.520000000004</v>
      </c>
      <c r="E148" s="54">
        <f t="shared" ca="1" si="63"/>
        <v>44228.909999999996</v>
      </c>
      <c r="F148" s="54">
        <f t="shared" ca="1" si="63"/>
        <v>29110.29</v>
      </c>
      <c r="G148" s="54">
        <f t="shared" ca="1" si="63"/>
        <v>28154.04</v>
      </c>
      <c r="H148" s="54">
        <f t="shared" ca="1" si="63"/>
        <v>23338.68</v>
      </c>
      <c r="I148" s="54">
        <f t="shared" ca="1" si="63"/>
        <v>24987.96</v>
      </c>
      <c r="J148" s="54">
        <f t="shared" ca="1" si="63"/>
        <v>22750.959999999999</v>
      </c>
      <c r="K148" s="54">
        <f t="shared" ca="1" si="63"/>
        <v>27947.96</v>
      </c>
      <c r="L148" s="54">
        <f t="shared" ca="1" si="63"/>
        <v>24338.959999999999</v>
      </c>
      <c r="M148" s="54">
        <f t="shared" ca="1" si="63"/>
        <v>23800.959999999999</v>
      </c>
      <c r="N148" s="57">
        <f ca="1">AVERAGE(B148:M148)</f>
        <v>30237.253333333341</v>
      </c>
      <c r="O148" s="57">
        <f>O132</f>
        <v>34872</v>
      </c>
      <c r="P148" s="54">
        <f ca="1">P132</f>
        <v>33001.025000000001</v>
      </c>
      <c r="Q148" s="54">
        <f>Q132+Q134</f>
        <v>39466.9</v>
      </c>
      <c r="R148" s="192">
        <f ca="1">Q148-P148</f>
        <v>6465.875</v>
      </c>
      <c r="S148" s="54"/>
      <c r="T148" s="57"/>
      <c r="U148" s="84"/>
    </row>
    <row r="149" spans="1:21">
      <c r="A149" s="485" t="s">
        <v>90</v>
      </c>
      <c r="B149" s="479">
        <f ca="1">B147-B148</f>
        <v>-2380.1800000000003</v>
      </c>
      <c r="C149" s="479">
        <f t="shared" ref="C149:N149" ca="1" si="64">C147-C148</f>
        <v>-13265.100000000002</v>
      </c>
      <c r="D149" s="479">
        <f t="shared" ca="1" si="64"/>
        <v>14422.499999999993</v>
      </c>
      <c r="E149" s="479">
        <f t="shared" ca="1" si="64"/>
        <v>781.04000000000087</v>
      </c>
      <c r="F149" s="479">
        <f t="shared" ca="1" si="64"/>
        <v>158.70999999999913</v>
      </c>
      <c r="G149" s="479">
        <f t="shared" ca="1" si="64"/>
        <v>1114.9599999999991</v>
      </c>
      <c r="H149" s="479">
        <f t="shared" ca="1" si="64"/>
        <v>5930.32</v>
      </c>
      <c r="I149" s="479">
        <f t="shared" ca="1" si="64"/>
        <v>4281.0400000000009</v>
      </c>
      <c r="J149" s="479">
        <f t="shared" ca="1" si="64"/>
        <v>6518.0400000000009</v>
      </c>
      <c r="K149" s="479">
        <f t="shared" ca="1" si="64"/>
        <v>1321.0400000000009</v>
      </c>
      <c r="L149" s="479">
        <f t="shared" ca="1" si="64"/>
        <v>4930.0400000000009</v>
      </c>
      <c r="M149" s="479">
        <f t="shared" ca="1" si="64"/>
        <v>5468.0400000000009</v>
      </c>
      <c r="N149" s="481">
        <f t="shared" ca="1" si="64"/>
        <v>2440.0374999999913</v>
      </c>
      <c r="O149" s="481">
        <f>O147-O148</f>
        <v>-6872</v>
      </c>
      <c r="P149" s="479">
        <f ca="1">P147-P148</f>
        <v>1380.4112499999974</v>
      </c>
      <c r="Q149" s="479">
        <f>Q147-Q148</f>
        <v>-9205.9000000000015</v>
      </c>
      <c r="R149" s="483"/>
      <c r="S149" s="479"/>
      <c r="T149" s="481"/>
      <c r="U149" s="84"/>
    </row>
    <row r="150" spans="1:21" ht="13.5" thickBot="1">
      <c r="A150" s="486"/>
      <c r="B150" s="480"/>
      <c r="C150" s="480"/>
      <c r="D150" s="480"/>
      <c r="E150" s="480"/>
      <c r="F150" s="480"/>
      <c r="G150" s="480"/>
      <c r="H150" s="480"/>
      <c r="I150" s="480"/>
      <c r="J150" s="480"/>
      <c r="K150" s="480"/>
      <c r="L150" s="480"/>
      <c r="M150" s="480"/>
      <c r="N150" s="482"/>
      <c r="O150" s="482"/>
      <c r="P150" s="480"/>
      <c r="Q150" s="480"/>
      <c r="R150" s="484"/>
      <c r="S150" s="480"/>
      <c r="T150" s="482"/>
      <c r="U150" s="84"/>
    </row>
    <row r="151" spans="1:21" ht="13.5" thickBo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P151" s="141"/>
      <c r="Q151" s="141"/>
      <c r="R151" s="194"/>
      <c r="S151" s="141"/>
      <c r="T151" s="141"/>
    </row>
    <row r="152" spans="1:21">
      <c r="A152" s="67" t="s">
        <v>271</v>
      </c>
      <c r="B152" s="114">
        <f t="shared" ref="B152:M152" ca="1" si="65">(INDIRECT("'"&amp;B137&amp;"'!"&amp;"C29"))</f>
        <v>70551.579999999958</v>
      </c>
      <c r="C152" s="114">
        <f t="shared" ca="1" si="65"/>
        <v>176836.32999999996</v>
      </c>
      <c r="D152" s="114">
        <f t="shared" ca="1" si="65"/>
        <v>183642.87999999995</v>
      </c>
      <c r="E152" s="114">
        <f t="shared" ca="1" si="65"/>
        <v>372054.93999999994</v>
      </c>
      <c r="F152" s="114">
        <f t="shared" ca="1" si="65"/>
        <v>358473.58999999997</v>
      </c>
      <c r="G152" s="114">
        <f t="shared" ca="1" si="65"/>
        <v>360587.75999999995</v>
      </c>
      <c r="H152" s="114">
        <f t="shared" ca="1" si="65"/>
        <v>361951.92999999993</v>
      </c>
      <c r="I152" s="114">
        <f t="shared" ca="1" si="65"/>
        <v>366033.42999999993</v>
      </c>
      <c r="J152" s="114">
        <f t="shared" ca="1" si="65"/>
        <v>369064.92999999993</v>
      </c>
      <c r="K152" s="114">
        <f t="shared" ca="1" si="65"/>
        <v>373146.42999999993</v>
      </c>
      <c r="L152" s="114">
        <f t="shared" ca="1" si="65"/>
        <v>376177.92999999993</v>
      </c>
      <c r="M152" s="115">
        <f t="shared" ca="1" si="65"/>
        <v>380259.42999999993</v>
      </c>
      <c r="N152" s="140"/>
    </row>
    <row r="153" spans="1:21" ht="13.5" thickBot="1">
      <c r="A153" s="68" t="s">
        <v>359</v>
      </c>
      <c r="B153" s="117">
        <f t="shared" ref="B153:M153" ca="1" si="66">(INDIRECT("'"&amp;B137&amp;"'!"&amp;"D29"))</f>
        <v>10131.390000000007</v>
      </c>
      <c r="C153" s="117">
        <f t="shared" ca="1" si="66"/>
        <v>36.580000000001746</v>
      </c>
      <c r="D153" s="117">
        <f t="shared" ca="1" si="66"/>
        <v>5290.75</v>
      </c>
      <c r="E153" s="117">
        <f t="shared" ca="1" si="66"/>
        <v>1724.7200000000012</v>
      </c>
      <c r="F153" s="117">
        <f t="shared" ca="1" si="66"/>
        <v>-31216.770000000004</v>
      </c>
      <c r="G153" s="117">
        <f t="shared" ca="1" si="66"/>
        <v>-86057.16</v>
      </c>
      <c r="H153" s="117">
        <f t="shared" ca="1" si="66"/>
        <v>-123380.55</v>
      </c>
      <c r="I153" s="117">
        <f t="shared" ca="1" si="66"/>
        <v>-175389.94</v>
      </c>
      <c r="J153" s="117">
        <f t="shared" ca="1" si="66"/>
        <v>-211625.23</v>
      </c>
      <c r="K153" s="117">
        <f t="shared" ca="1" si="66"/>
        <v>-262777.61</v>
      </c>
      <c r="L153" s="117">
        <f t="shared" ca="1" si="66"/>
        <v>-302747</v>
      </c>
      <c r="M153" s="118">
        <f t="shared" ca="1" si="66"/>
        <v>-356357.39</v>
      </c>
      <c r="N153" s="140"/>
    </row>
    <row r="154" spans="1:2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</row>
    <row r="157" spans="1:21">
      <c r="B157" s="137"/>
    </row>
    <row r="163" spans="1:1">
      <c r="A163" s="52"/>
    </row>
    <row r="164" spans="1:1">
      <c r="A164" s="52"/>
    </row>
    <row r="165" spans="1:1">
      <c r="A165" s="52"/>
    </row>
  </sheetData>
  <mergeCells count="20">
    <mergeCell ref="M149:M150"/>
    <mergeCell ref="N149:N150"/>
    <mergeCell ref="E149:E150"/>
    <mergeCell ref="K149:K150"/>
    <mergeCell ref="L149:L150"/>
    <mergeCell ref="G149:G150"/>
    <mergeCell ref="H149:H150"/>
    <mergeCell ref="I149:I150"/>
    <mergeCell ref="J149:J150"/>
    <mergeCell ref="C149:C150"/>
    <mergeCell ref="D149:D150"/>
    <mergeCell ref="A149:A150"/>
    <mergeCell ref="B149:B150"/>
    <mergeCell ref="F149:F150"/>
    <mergeCell ref="P149:P150"/>
    <mergeCell ref="Q149:Q150"/>
    <mergeCell ref="S149:S150"/>
    <mergeCell ref="T149:T150"/>
    <mergeCell ref="O149:O150"/>
    <mergeCell ref="R149:R150"/>
  </mergeCells>
  <conditionalFormatting sqref="A3:A4">
    <cfRule type="duplicateValues" dxfId="18" priority="129" stopIfTrue="1"/>
  </conditionalFormatting>
  <conditionalFormatting sqref="A26:A27">
    <cfRule type="duplicateValues" dxfId="17" priority="128" stopIfTrue="1"/>
  </conditionalFormatting>
  <conditionalFormatting sqref="A42:A43">
    <cfRule type="duplicateValues" dxfId="16" priority="127" stopIfTrue="1"/>
  </conditionalFormatting>
  <conditionalFormatting sqref="A58:A59">
    <cfRule type="duplicateValues" dxfId="15" priority="126" stopIfTrue="1"/>
  </conditionalFormatting>
  <conditionalFormatting sqref="A75:A76">
    <cfRule type="duplicateValues" dxfId="14" priority="125" stopIfTrue="1"/>
  </conditionalFormatting>
  <conditionalFormatting sqref="A92:A93">
    <cfRule type="duplicateValues" dxfId="13" priority="124" stopIfTrue="1"/>
  </conditionalFormatting>
  <conditionalFormatting sqref="A102:A103">
    <cfRule type="duplicateValues" dxfId="12" priority="123" stopIfTrue="1"/>
  </conditionalFormatting>
  <conditionalFormatting sqref="A115">
    <cfRule type="duplicateValues" dxfId="11" priority="4" stopIfTrue="1"/>
  </conditionalFormatting>
  <conditionalFormatting sqref="A116:A124">
    <cfRule type="duplicateValues" dxfId="10" priority="5" stopIfTrue="1"/>
  </conditionalFormatting>
  <conditionalFormatting sqref="B152:M153">
    <cfRule type="cellIs" dxfId="9" priority="1" stopIfTrue="1" operator="lessThan">
      <formula>0</formula>
    </cfRule>
    <cfRule type="cellIs" dxfId="8" priority="2" stopIfTrue="1" operator="greaterThan">
      <formula>0</formula>
    </cfRule>
  </conditionalFormatting>
  <conditionalFormatting sqref="R1:R1048576">
    <cfRule type="iconSet" priority="3">
      <iconSet iconSet="3Symbols" showValue="0">
        <cfvo type="percent" val="0"/>
        <cfvo type="num" val="0"/>
        <cfvo type="num" val="0" gte="0"/>
      </iconSet>
    </cfRule>
  </conditionalFormatting>
  <printOptions headings="1" gridLines="1"/>
  <pageMargins left="0.7" right="0.7" top="0.75" bottom="0.75" header="0.3" footer="0.3"/>
  <pageSetup paperSize="9" scale="61" orientation="landscape" horizontalDpi="4294967295" verticalDpi="4294967295" r:id="rId1"/>
  <headerFooter>
    <oddHeader>&amp;C&amp;"Open Sans Hebrew,Regular"&amp;16&amp;K5C2A66הוצאות חודשיות</oddHeader>
    <oddFooter>&amp;L&amp;G</oddFooter>
  </headerFooter>
  <rowBreaks count="2" manualBreakCount="2">
    <brk id="55" max="16383" man="1"/>
    <brk id="126" max="16383" man="1"/>
  </rowBreak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5" id="{40C7D23C-5145-4494-8100-527E00E67A14}">
            <x14:iconSet iconSet="3Arrows" custom="1">
              <x14:cfvo type="percent">
                <xm:f>0</xm:f>
              </x14:cfvo>
              <x14:cfvo type="num">
                <xm:f>$O$38</xm:f>
              </x14:cfvo>
              <x14:cfvo type="num">
                <xm:f>$O$38</xm:f>
              </x14:cfvo>
              <x14:cfIcon iconSet="3Arrows" iconId="2"/>
              <x14:cfIcon iconSet="3Arrows" iconId="2"/>
              <x14:cfIcon iconSet="3Arrows" iconId="0"/>
            </x14:iconSet>
          </x14:cfRule>
          <xm:sqref>B38</xm:sqref>
        </x14:conditionalFormatting>
        <x14:conditionalFormatting xmlns:xm="http://schemas.microsoft.com/office/excel/2006/main">
          <x14:cfRule type="iconSet" priority="313" id="{2DE75E39-49C7-4416-9998-5AF961BD1058}">
            <x14:iconSet iconSet="3Arrows" custom="1">
              <x14:cfvo type="percent">
                <xm:f>0</xm:f>
              </x14:cfvo>
              <x14:cfvo type="num">
                <xm:f>$O$54</xm:f>
              </x14:cfvo>
              <x14:cfvo type="num">
                <xm:f>$O$54</xm:f>
              </x14:cfvo>
              <x14:cfIcon iconSet="3Arrows" iconId="2"/>
              <x14:cfIcon iconSet="3Arrows" iconId="2"/>
              <x14:cfIcon iconSet="3Arrows" iconId="0"/>
            </x14:iconSet>
          </x14:cfRule>
          <xm:sqref>B54</xm:sqref>
        </x14:conditionalFormatting>
        <x14:conditionalFormatting xmlns:xm="http://schemas.microsoft.com/office/excel/2006/main">
          <x14:cfRule type="iconSet" priority="311" id="{2B1F2798-07BA-4CCD-B47A-F1B115A1B5D8}">
            <x14:iconSet iconSet="3Arrows" custom="1">
              <x14:cfvo type="percent">
                <xm:f>0</xm:f>
              </x14:cfvo>
              <x14:cfvo type="num">
                <xm:f>$O$71</xm:f>
              </x14:cfvo>
              <x14:cfvo type="num">
                <xm:f>$O$71</xm:f>
              </x14:cfvo>
              <x14:cfIcon iconSet="3Arrows" iconId="2"/>
              <x14:cfIcon iconSet="3Arrows" iconId="2"/>
              <x14:cfIcon iconSet="3Arrows" iconId="0"/>
            </x14:iconSet>
          </x14:cfRule>
          <xm:sqref>B71</xm:sqref>
        </x14:conditionalFormatting>
        <x14:conditionalFormatting xmlns:xm="http://schemas.microsoft.com/office/excel/2006/main">
          <x14:cfRule type="iconSet" priority="309" id="{AC2B685F-5475-4CF9-847E-572B46F928B8}">
            <x14:iconSet iconSet="3Arrows" custom="1">
              <x14:cfvo type="percent">
                <xm:f>0</xm:f>
              </x14:cfvo>
              <x14:cfvo type="num">
                <xm:f>$O$88</xm:f>
              </x14:cfvo>
              <x14:cfvo type="num">
                <xm:f>$O$88</xm:f>
              </x14:cfvo>
              <x14:cfIcon iconSet="3Arrows" iconId="2"/>
              <x14:cfIcon iconSet="3Arrows" iconId="2"/>
              <x14:cfIcon iconSet="3Arrows" iconId="0"/>
            </x14:iconSet>
          </x14:cfRule>
          <xm:sqref>B88</xm:sqref>
        </x14:conditionalFormatting>
        <x14:conditionalFormatting xmlns:xm="http://schemas.microsoft.com/office/excel/2006/main">
          <x14:cfRule type="iconSet" priority="307" id="{9AD68BC7-BD89-4F2A-B42B-FFD472882E4B}">
            <x14:iconSet iconSet="3Arrows" custom="1">
              <x14:cfvo type="percent">
                <xm:f>0</xm:f>
              </x14:cfvo>
              <x14:cfvo type="num">
                <xm:f>$O$98</xm:f>
              </x14:cfvo>
              <x14:cfvo type="num">
                <xm:f>$O$98</xm:f>
              </x14:cfvo>
              <x14:cfIcon iconSet="3Arrows" iconId="2"/>
              <x14:cfIcon iconSet="3Arrows" iconId="2"/>
              <x14:cfIcon iconSet="3Arrows" iconId="0"/>
            </x14:iconSet>
          </x14:cfRule>
          <xm:sqref>B98</xm:sqref>
        </x14:conditionalFormatting>
        <x14:conditionalFormatting xmlns:xm="http://schemas.microsoft.com/office/excel/2006/main">
          <x14:cfRule type="iconSet" priority="305" id="{75B28FDA-A0AC-4A01-B670-8B74A867163A}">
            <x14:iconSet iconSet="3Arrows" custom="1">
              <x14:cfvo type="percent">
                <xm:f>0</xm:f>
              </x14:cfvo>
              <x14:cfvo type="num">
                <xm:f>$O$111</xm:f>
              </x14:cfvo>
              <x14:cfvo type="num">
                <xm:f>$O$111</xm:f>
              </x14:cfvo>
              <x14:cfIcon iconSet="3Arrows" iconId="2"/>
              <x14:cfIcon iconSet="3Arrows" iconId="2"/>
              <x14:cfIcon iconSet="3Arrows" iconId="0"/>
            </x14:iconSet>
          </x14:cfRule>
          <xm:sqref>B111</xm:sqref>
        </x14:conditionalFormatting>
        <x14:conditionalFormatting xmlns:xm="http://schemas.microsoft.com/office/excel/2006/main">
          <x14:cfRule type="iconSet" priority="303" id="{EA18594E-29AD-4CA0-98F8-6F1E105EE824}">
            <x14:iconSet iconSet="3Arrows" custom="1">
              <x14:cfvo type="percent">
                <xm:f>0</xm:f>
              </x14:cfvo>
              <x14:cfvo type="num">
                <xm:f>$O$132</xm:f>
              </x14:cfvo>
              <x14:cfvo type="num">
                <xm:f>$O$132</xm:f>
              </x14:cfvo>
              <x14:cfIcon iconSet="3Arrows" iconId="2"/>
              <x14:cfIcon iconSet="3Arrows" iconId="2"/>
              <x14:cfIcon iconSet="3Arrows" iconId="0"/>
            </x14:iconSet>
          </x14:cfRule>
          <xm:sqref>B132</xm:sqref>
        </x14:conditionalFormatting>
        <x14:conditionalFormatting xmlns:xm="http://schemas.microsoft.com/office/excel/2006/main">
          <x14:cfRule type="iconSet" priority="316" id="{BA1FCA4F-6E4C-4F90-9BD2-19A4216E2DC0}">
            <x14:iconSet iconSet="3Arrows" custom="1">
              <x14:cfvo type="percent">
                <xm:f>0</xm:f>
              </x14:cfvo>
              <x14:cfvo type="num">
                <xm:f>$O$22</xm:f>
              </x14:cfvo>
              <x14:cfvo type="num">
                <xm:f>$O$22</xm:f>
              </x14:cfvo>
              <x14:cfIcon iconSet="3Arrows" iconId="2"/>
              <x14:cfIcon iconSet="3Arrows" iconId="2"/>
              <x14:cfIcon iconSet="3Arrows" iconId="0"/>
            </x14:iconSet>
          </x14:cfRule>
          <xm:sqref>B22:M22</xm:sqref>
        </x14:conditionalFormatting>
        <x14:conditionalFormatting xmlns:xm="http://schemas.microsoft.com/office/excel/2006/main">
          <x14:cfRule type="iconSet" priority="26" id="{16C6F63C-20A4-4568-AE0C-991AA949E4B5}">
            <x14:iconSet iconSet="3Arrows" custom="1">
              <x14:cfvo type="percent">
                <xm:f>0</xm:f>
              </x14:cfvo>
              <x14:cfvo type="num">
                <xm:f>$O$111</xm:f>
              </x14:cfvo>
              <x14:cfvo type="num">
                <xm:f>$O$111</xm:f>
              </x14:cfvo>
              <x14:cfIcon iconSet="3Arrows" iconId="2"/>
              <x14:cfIcon iconSet="3Arrows" iconId="2"/>
              <x14:cfIcon iconSet="3Arrows" iconId="0"/>
            </x14:iconSet>
          </x14:cfRule>
          <xm:sqref>B125:M125</xm:sqref>
        </x14:conditionalFormatting>
        <x14:conditionalFormatting xmlns:xm="http://schemas.microsoft.com/office/excel/2006/main">
          <x14:cfRule type="iconSet" priority="314" id="{74F69F1A-226C-420E-92FD-EF37626D1FF6}">
            <x14:iconSet iconSet="3Arrows" custom="1">
              <x14:cfvo type="percent">
                <xm:f>0</xm:f>
              </x14:cfvo>
              <x14:cfvo type="num">
                <xm:f>$O$38</xm:f>
              </x14:cfvo>
              <x14:cfvo type="num">
                <xm:f>$O$38</xm:f>
              </x14:cfvo>
              <x14:cfIcon iconSet="3Arrows" iconId="2"/>
              <x14:cfIcon iconSet="3Arrows" iconId="2"/>
              <x14:cfIcon iconSet="3Arrows" iconId="0"/>
            </x14:iconSet>
          </x14:cfRule>
          <xm:sqref>C38:M38</xm:sqref>
        </x14:conditionalFormatting>
        <x14:conditionalFormatting xmlns:xm="http://schemas.microsoft.com/office/excel/2006/main">
          <x14:cfRule type="iconSet" priority="312" id="{851BC779-96A2-47F7-8E5E-CDA255AA3E70}">
            <x14:iconSet iconSet="3Arrows" custom="1">
              <x14:cfvo type="percent">
                <xm:f>0</xm:f>
              </x14:cfvo>
              <x14:cfvo type="num">
                <xm:f>$O$54</xm:f>
              </x14:cfvo>
              <x14:cfvo type="num">
                <xm:f>$O$54</xm:f>
              </x14:cfvo>
              <x14:cfIcon iconSet="3Arrows" iconId="2"/>
              <x14:cfIcon iconSet="3Arrows" iconId="2"/>
              <x14:cfIcon iconSet="3Arrows" iconId="0"/>
            </x14:iconSet>
          </x14:cfRule>
          <xm:sqref>C54:M54</xm:sqref>
        </x14:conditionalFormatting>
        <x14:conditionalFormatting xmlns:xm="http://schemas.microsoft.com/office/excel/2006/main">
          <x14:cfRule type="iconSet" priority="310" id="{2B9FBD9C-F932-47F8-B9B0-359F30E09261}">
            <x14:iconSet iconSet="3Arrows" custom="1">
              <x14:cfvo type="percent">
                <xm:f>0</xm:f>
              </x14:cfvo>
              <x14:cfvo type="num">
                <xm:f>$O$71</xm:f>
              </x14:cfvo>
              <x14:cfvo type="num">
                <xm:f>$O$71</xm:f>
              </x14:cfvo>
              <x14:cfIcon iconSet="3Arrows" iconId="2"/>
              <x14:cfIcon iconSet="3Arrows" iconId="2"/>
              <x14:cfIcon iconSet="3Arrows" iconId="0"/>
            </x14:iconSet>
          </x14:cfRule>
          <xm:sqref>C71:M71</xm:sqref>
        </x14:conditionalFormatting>
        <x14:conditionalFormatting xmlns:xm="http://schemas.microsoft.com/office/excel/2006/main">
          <x14:cfRule type="iconSet" priority="308" id="{1623ED88-DC91-4614-A3D3-A2F88A8D3503}">
            <x14:iconSet iconSet="3Arrows" custom="1">
              <x14:cfvo type="percent">
                <xm:f>0</xm:f>
              </x14:cfvo>
              <x14:cfvo type="num">
                <xm:f>$O$88</xm:f>
              </x14:cfvo>
              <x14:cfvo type="num">
                <xm:f>$O$88</xm:f>
              </x14:cfvo>
              <x14:cfIcon iconSet="3Arrows" iconId="2"/>
              <x14:cfIcon iconSet="3Arrows" iconId="2"/>
              <x14:cfIcon iconSet="3Arrows" iconId="0"/>
            </x14:iconSet>
          </x14:cfRule>
          <xm:sqref>C88:M88</xm:sqref>
        </x14:conditionalFormatting>
        <x14:conditionalFormatting xmlns:xm="http://schemas.microsoft.com/office/excel/2006/main">
          <x14:cfRule type="iconSet" priority="306" id="{4EA16838-7A16-4CFE-B22F-9B39B1614637}">
            <x14:iconSet iconSet="3Arrows" custom="1">
              <x14:cfvo type="percent">
                <xm:f>0</xm:f>
              </x14:cfvo>
              <x14:cfvo type="num">
                <xm:f>$O$98</xm:f>
              </x14:cfvo>
              <x14:cfvo type="num">
                <xm:f>$O$98</xm:f>
              </x14:cfvo>
              <x14:cfIcon iconSet="3Arrows" iconId="2"/>
              <x14:cfIcon iconSet="3Arrows" iconId="2"/>
              <x14:cfIcon iconSet="3Arrows" iconId="0"/>
            </x14:iconSet>
          </x14:cfRule>
          <xm:sqref>C98:M98</xm:sqref>
        </x14:conditionalFormatting>
        <x14:conditionalFormatting xmlns:xm="http://schemas.microsoft.com/office/excel/2006/main">
          <x14:cfRule type="iconSet" priority="304" id="{D2E78C04-798C-4A2B-9455-73AFA672C8B5}">
            <x14:iconSet iconSet="3Arrows" custom="1">
              <x14:cfvo type="percent">
                <xm:f>0</xm:f>
              </x14:cfvo>
              <x14:cfvo type="num">
                <xm:f>$O$111</xm:f>
              </x14:cfvo>
              <x14:cfvo type="num">
                <xm:f>$O$111</xm:f>
              </x14:cfvo>
              <x14:cfIcon iconSet="3Arrows" iconId="2"/>
              <x14:cfIcon iconSet="3Arrows" iconId="2"/>
              <x14:cfIcon iconSet="3Arrows" iconId="0"/>
            </x14:iconSet>
          </x14:cfRule>
          <xm:sqref>C111:M111</xm:sqref>
        </x14:conditionalFormatting>
        <x14:conditionalFormatting xmlns:xm="http://schemas.microsoft.com/office/excel/2006/main">
          <x14:cfRule type="iconSet" priority="302" id="{7E865E7F-6570-49A2-BA02-D274C25EA301}">
            <x14:iconSet iconSet="3Arrows" custom="1">
              <x14:cfvo type="percent">
                <xm:f>0</xm:f>
              </x14:cfvo>
              <x14:cfvo type="num">
                <xm:f>$O$132</xm:f>
              </x14:cfvo>
              <x14:cfvo type="num">
                <xm:f>$O$132</xm:f>
              </x14:cfvo>
              <x14:cfIcon iconSet="3Arrows" iconId="2"/>
              <x14:cfIcon iconSet="3Arrows" iconId="2"/>
              <x14:cfIcon iconSet="3Arrows" iconId="0"/>
            </x14:iconSet>
          </x14:cfRule>
          <xm:sqref>C132:N132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1:AP147"/>
  <sheetViews>
    <sheetView rightToLeft="1" topLeftCell="A97" zoomScale="80" zoomScaleNormal="80" workbookViewId="0">
      <pane xSplit="1" topLeftCell="B1" activePane="topRight" state="frozen"/>
      <selection pane="topRight" activeCell="N146" sqref="N146:N147"/>
    </sheetView>
  </sheetViews>
  <sheetFormatPr defaultColWidth="9.28515625" defaultRowHeight="12.75"/>
  <cols>
    <col min="1" max="1" width="35" style="143" bestFit="1" customWidth="1"/>
    <col min="2" max="13" width="12.5703125" style="143" bestFit="1" customWidth="1"/>
    <col min="14" max="14" width="11.42578125" style="143" bestFit="1" customWidth="1"/>
    <col min="15" max="15" width="10.28515625" style="186" bestFit="1" customWidth="1"/>
    <col min="16" max="28" width="10.28515625" style="139" bestFit="1" customWidth="1"/>
    <col min="29" max="29" width="21" style="143" bestFit="1" customWidth="1"/>
    <col min="30" max="42" width="10" style="143" bestFit="1" customWidth="1"/>
    <col min="43" max="16384" width="9.28515625" style="139"/>
  </cols>
  <sheetData>
    <row r="1" spans="1:29">
      <c r="A1" s="366" t="s">
        <v>65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8"/>
      <c r="O1" s="369" t="s">
        <v>375</v>
      </c>
    </row>
    <row r="2" spans="1:29">
      <c r="A2" s="370" t="s">
        <v>67</v>
      </c>
      <c r="B2" s="371">
        <v>1</v>
      </c>
      <c r="C2" s="371">
        <v>2</v>
      </c>
      <c r="D2" s="371">
        <v>3</v>
      </c>
      <c r="E2" s="371">
        <v>4</v>
      </c>
      <c r="F2" s="371">
        <v>5</v>
      </c>
      <c r="G2" s="371">
        <v>6</v>
      </c>
      <c r="H2" s="371">
        <v>7</v>
      </c>
      <c r="I2" s="371">
        <v>8</v>
      </c>
      <c r="J2" s="371">
        <v>9</v>
      </c>
      <c r="K2" s="371">
        <v>10</v>
      </c>
      <c r="L2" s="371">
        <v>11</v>
      </c>
      <c r="M2" s="371">
        <v>12</v>
      </c>
      <c r="N2" s="372" t="s">
        <v>181</v>
      </c>
      <c r="O2" s="373"/>
      <c r="AC2" s="144"/>
    </row>
    <row r="3" spans="1:29">
      <c r="A3" t="s">
        <v>68</v>
      </c>
      <c r="B3" s="54">
        <f ca="1">AVERAGE('הוצאות חודשיות'!B3)</f>
        <v>1464.3799999999999</v>
      </c>
      <c r="C3" s="54">
        <f ca="1">AVERAGE('הוצאות חודשיות'!B3:B3)</f>
        <v>1464.3799999999999</v>
      </c>
      <c r="D3" s="54">
        <f ca="1">AVERAGE('הוצאות חודשיות'!B3:C3)</f>
        <v>2426.38</v>
      </c>
      <c r="E3" s="54">
        <f ca="1">AVERAGE('הוצאות חודשיות'!B3:D3)</f>
        <v>2971.8733333333334</v>
      </c>
      <c r="F3" s="54">
        <f ca="1">AVERAGE('הוצאות חודשיות'!B3:E3)</f>
        <v>3442.415</v>
      </c>
      <c r="G3" s="54">
        <f ca="1">AVERAGE('הוצאות חודשיות'!B3:F3)</f>
        <v>4453.9319999999998</v>
      </c>
      <c r="H3" s="54">
        <f ca="1">AVERAGE('הוצאות חודשיות'!B3:G3)</f>
        <v>5128.2766666666666</v>
      </c>
      <c r="I3" s="54">
        <f ca="1">AVERAGE('הוצאות חודשיות'!B3:H3)</f>
        <v>5609.9514285714295</v>
      </c>
      <c r="J3" s="54">
        <f ca="1">AVERAGE('הוצאות חודשיות'!B3:I3)</f>
        <v>5971.2075000000004</v>
      </c>
      <c r="K3" s="54">
        <f ca="1">AVERAGE('הוצאות חודשיות'!B3:J3)</f>
        <v>6252.184444444445</v>
      </c>
      <c r="L3" s="54">
        <f ca="1">AVERAGE('הוצאות חודשיות'!B3:K3)</f>
        <v>6476.9660000000003</v>
      </c>
      <c r="M3" s="54">
        <f ca="1">AVERAGE('הוצאות חודשיות'!B3:L3)</f>
        <v>6660.8781818181824</v>
      </c>
      <c r="N3" s="374">
        <v>7500</v>
      </c>
      <c r="O3" s="375"/>
    </row>
    <row r="4" spans="1:29">
      <c r="A4" t="s">
        <v>69</v>
      </c>
      <c r="B4" s="54">
        <f ca="1">AVERAGE('הוצאות חודשיות'!B4)</f>
        <v>0</v>
      </c>
      <c r="C4" s="54">
        <f ca="1">AVERAGE('הוצאות חודשיות'!B4:B4)</f>
        <v>0</v>
      </c>
      <c r="D4" s="54">
        <f ca="1">AVERAGE('הוצאות חודשיות'!B4:C4)</f>
        <v>0</v>
      </c>
      <c r="E4" s="54">
        <f ca="1">AVERAGE('הוצאות חודשיות'!B4:D4)</f>
        <v>0</v>
      </c>
      <c r="F4" s="54">
        <f ca="1">AVERAGE('הוצאות חודשיות'!B4:E4)</f>
        <v>0</v>
      </c>
      <c r="G4" s="54">
        <f ca="1">AVERAGE('הוצאות חודשיות'!B4:F4)</f>
        <v>0</v>
      </c>
      <c r="H4" s="54">
        <f ca="1">AVERAGE('הוצאות חודשיות'!B4:G4)</f>
        <v>0</v>
      </c>
      <c r="I4" s="54">
        <f ca="1">AVERAGE('הוצאות חודשיות'!B4:H4)</f>
        <v>0</v>
      </c>
      <c r="J4" s="54">
        <f ca="1">AVERAGE('הוצאות חודשיות'!B4:I4)</f>
        <v>0</v>
      </c>
      <c r="K4" s="54">
        <f ca="1">AVERAGE('הוצאות חודשיות'!B4:J4)</f>
        <v>0</v>
      </c>
      <c r="L4" s="54">
        <f ca="1">AVERAGE('הוצאות חודשיות'!B4:K4)</f>
        <v>0</v>
      </c>
      <c r="M4" s="54">
        <f ca="1">AVERAGE('הוצאות חודשיות'!B4:L4)</f>
        <v>0</v>
      </c>
      <c r="N4" s="374">
        <v>0</v>
      </c>
      <c r="O4" s="375"/>
    </row>
    <row r="5" spans="1:29">
      <c r="A5" t="s">
        <v>70</v>
      </c>
      <c r="B5" s="54">
        <f ca="1">AVERAGE('הוצאות חודשיות'!B5)</f>
        <v>0</v>
      </c>
      <c r="C5" s="54">
        <f ca="1">AVERAGE('הוצאות חודשיות'!B5:B5)</f>
        <v>0</v>
      </c>
      <c r="D5" s="54">
        <f ca="1">AVERAGE('הוצאות חודשיות'!B5:C5)</f>
        <v>345.1</v>
      </c>
      <c r="E5" s="54">
        <f ca="1">AVERAGE('הוצאות חודשיות'!B5:D5)</f>
        <v>230.06666666666669</v>
      </c>
      <c r="F5" s="54">
        <f ca="1">AVERAGE('הוצאות חודשיות'!B5:E5)</f>
        <v>350.07500000000005</v>
      </c>
      <c r="G5" s="54">
        <f ca="1">AVERAGE('הוצאות חודשיות'!B5:F5)</f>
        <v>280.06000000000006</v>
      </c>
      <c r="H5" s="54">
        <f ca="1">AVERAGE('הוצאות חודשיות'!B5:G5)</f>
        <v>341.7166666666667</v>
      </c>
      <c r="I5" s="54">
        <f ca="1">AVERAGE('הוצאות חודשיות'!B5:H5)</f>
        <v>292.90000000000003</v>
      </c>
      <c r="J5" s="54">
        <f ca="1">AVERAGE('הוצאות חודשיות'!B5:I5)</f>
        <v>337.53750000000002</v>
      </c>
      <c r="K5" s="54">
        <f ca="1">AVERAGE('הוצאות חודשיות'!B5:J5)</f>
        <v>300.03333333333336</v>
      </c>
      <c r="L5" s="54">
        <f ca="1">AVERAGE('הוצאות חודשיות'!B5:K5)</f>
        <v>335.03000000000003</v>
      </c>
      <c r="M5" s="54">
        <f ca="1">AVERAGE('הוצאות חודשיות'!B5:L5)</f>
        <v>304.57272727272726</v>
      </c>
      <c r="N5" s="374">
        <v>600</v>
      </c>
      <c r="O5" s="375"/>
    </row>
    <row r="6" spans="1:29">
      <c r="A6" t="s">
        <v>71</v>
      </c>
      <c r="B6" s="54">
        <f ca="1">AVERAGE('הוצאות חודשיות'!B6)</f>
        <v>600</v>
      </c>
      <c r="C6" s="54">
        <f ca="1">AVERAGE('הוצאות חודשיות'!B6:B6)</f>
        <v>600</v>
      </c>
      <c r="D6" s="54">
        <f ca="1">AVERAGE('הוצאות חודשיות'!B6:C6)</f>
        <v>859.5</v>
      </c>
      <c r="E6" s="54">
        <f ca="1">AVERAGE('הוצאות חודשיות'!B6:D6)</f>
        <v>573</v>
      </c>
      <c r="F6" s="54">
        <f ca="1">AVERAGE('הוצאות חודשיות'!B6:E6)</f>
        <v>579.75</v>
      </c>
      <c r="G6" s="54">
        <f ca="1">AVERAGE('הוצאות חודשיות'!B6:F6)</f>
        <v>583.79999999999995</v>
      </c>
      <c r="H6" s="54">
        <f ca="1">AVERAGE('הוצאות חודשיות'!B6:G6)</f>
        <v>586.5</v>
      </c>
      <c r="I6" s="54">
        <f ca="1">AVERAGE('הוצאות חודשיות'!B6:H6)</f>
        <v>588.42857142857144</v>
      </c>
      <c r="J6" s="54">
        <f ca="1">AVERAGE('הוצאות חודשיות'!B6:I6)</f>
        <v>589.875</v>
      </c>
      <c r="K6" s="54">
        <f ca="1">AVERAGE('הוצאות חודשיות'!B6:J6)</f>
        <v>591</v>
      </c>
      <c r="L6" s="54">
        <f ca="1">AVERAGE('הוצאות חודשיות'!B6:K6)</f>
        <v>591.9</v>
      </c>
      <c r="M6" s="54">
        <f ca="1">AVERAGE('הוצאות חודשיות'!B6:L6)</f>
        <v>592.63636363636363</v>
      </c>
      <c r="N6" s="374">
        <v>400</v>
      </c>
      <c r="O6" s="375"/>
    </row>
    <row r="7" spans="1:29">
      <c r="A7" t="s">
        <v>73</v>
      </c>
      <c r="B7" s="54">
        <f ca="1">AVERAGE('הוצאות חודשיות'!B7)</f>
        <v>1046.08</v>
      </c>
      <c r="C7" s="54">
        <f ca="1">AVERAGE('הוצאות חודשיות'!B7:B7)</f>
        <v>1046.08</v>
      </c>
      <c r="D7" s="54">
        <f ca="1">AVERAGE('הוצאות חודשיות'!B7:C7)</f>
        <v>1106.0650000000001</v>
      </c>
      <c r="E7" s="54">
        <f ca="1">AVERAGE('הוצאות חודשיות'!B7:D7)</f>
        <v>1062.5833333333333</v>
      </c>
      <c r="F7" s="54">
        <f ca="1">AVERAGE('הוצאות חודשיות'!B7:E7)</f>
        <v>1006.7525000000001</v>
      </c>
      <c r="G7" s="54">
        <f ca="1">AVERAGE('הוצאות חודשיות'!B7:F7)</f>
        <v>965.40200000000004</v>
      </c>
      <c r="H7" s="54">
        <f ca="1">AVERAGE('הוצאות חודשיות'!B7:G7)</f>
        <v>937.83500000000004</v>
      </c>
      <c r="I7" s="54">
        <f ca="1">AVERAGE('הוצאות חודשיות'!B7:H7)</f>
        <v>918.14428571428573</v>
      </c>
      <c r="J7" s="54">
        <f ca="1">AVERAGE('הוצאות חודשיות'!B7:I7)</f>
        <v>903.37625000000003</v>
      </c>
      <c r="K7" s="54">
        <f ca="1">AVERAGE('הוצאות חודשיות'!B7:J7)</f>
        <v>891.89</v>
      </c>
      <c r="L7" s="54">
        <f ca="1">AVERAGE('הוצאות חודשיות'!B7:K7)</f>
        <v>882.70100000000002</v>
      </c>
      <c r="M7" s="54">
        <f ca="1">AVERAGE('הוצאות חודשיות'!B7:L7)</f>
        <v>875.18272727272733</v>
      </c>
      <c r="N7" s="374">
        <v>1000</v>
      </c>
      <c r="O7" s="375"/>
    </row>
    <row r="8" spans="1:29">
      <c r="A8" t="s">
        <v>74</v>
      </c>
      <c r="B8" s="54">
        <f ca="1">AVERAGE('הוצאות חודשיות'!B8)</f>
        <v>0</v>
      </c>
      <c r="C8" s="54">
        <f ca="1">AVERAGE('הוצאות חודשיות'!B8:B8)</f>
        <v>0</v>
      </c>
      <c r="D8" s="54">
        <f ca="1">AVERAGE('הוצאות חודשיות'!B8:C8)</f>
        <v>0</v>
      </c>
      <c r="E8" s="54">
        <f ca="1">AVERAGE('הוצאות חודשיות'!B8:D8)</f>
        <v>0</v>
      </c>
      <c r="F8" s="54">
        <f ca="1">AVERAGE('הוצאות חודשיות'!B8:E8)</f>
        <v>0</v>
      </c>
      <c r="G8" s="54">
        <f ca="1">AVERAGE('הוצאות חודשיות'!B8:F8)</f>
        <v>0</v>
      </c>
      <c r="H8" s="54">
        <f ca="1">AVERAGE('הוצאות חודשיות'!B8:G8)</f>
        <v>0</v>
      </c>
      <c r="I8" s="54">
        <f ca="1">AVERAGE('הוצאות חודשיות'!B8:H8)</f>
        <v>0</v>
      </c>
      <c r="J8" s="54">
        <f ca="1">AVERAGE('הוצאות חודשיות'!B8:I8)</f>
        <v>0</v>
      </c>
      <c r="K8" s="54">
        <f ca="1">AVERAGE('הוצאות חודשיות'!B8:J8)</f>
        <v>0</v>
      </c>
      <c r="L8" s="54">
        <f ca="1">AVERAGE('הוצאות חודשיות'!B8:K8)</f>
        <v>0</v>
      </c>
      <c r="M8" s="54">
        <f ca="1">AVERAGE('הוצאות חודשיות'!B8:L8)</f>
        <v>0</v>
      </c>
      <c r="N8" s="374">
        <v>0</v>
      </c>
      <c r="O8" s="375"/>
    </row>
    <row r="9" spans="1:29">
      <c r="A9" t="s">
        <v>75</v>
      </c>
      <c r="B9" s="54">
        <f ca="1">AVERAGE('הוצאות חודשיות'!B9)</f>
        <v>0</v>
      </c>
      <c r="C9" s="54">
        <f ca="1">AVERAGE('הוצאות חודשיות'!B9:B9)</f>
        <v>0</v>
      </c>
      <c r="D9" s="54">
        <f ca="1">AVERAGE('הוצאות חודשיות'!B9:C9)</f>
        <v>0</v>
      </c>
      <c r="E9" s="54">
        <f ca="1">AVERAGE('הוצאות חודשיות'!B9:D9)</f>
        <v>0</v>
      </c>
      <c r="F9" s="54">
        <f ca="1">AVERAGE('הוצאות חודשיות'!B9:E9)</f>
        <v>0</v>
      </c>
      <c r="G9" s="54">
        <f ca="1">AVERAGE('הוצאות חודשיות'!B9:F9)</f>
        <v>0</v>
      </c>
      <c r="H9" s="54">
        <f ca="1">AVERAGE('הוצאות חודשיות'!B9:G9)</f>
        <v>0</v>
      </c>
      <c r="I9" s="54">
        <f ca="1">AVERAGE('הוצאות חודשיות'!B9:H9)</f>
        <v>0</v>
      </c>
      <c r="J9" s="54">
        <f ca="1">AVERAGE('הוצאות חודשיות'!B9:I9)</f>
        <v>0</v>
      </c>
      <c r="K9" s="54">
        <f ca="1">AVERAGE('הוצאות חודשיות'!B9:J9)</f>
        <v>0</v>
      </c>
      <c r="L9" s="54">
        <f ca="1">AVERAGE('הוצאות חודשיות'!B9:K9)</f>
        <v>0</v>
      </c>
      <c r="M9" s="54">
        <f ca="1">AVERAGE('הוצאות חודשיות'!B9:L9)</f>
        <v>0</v>
      </c>
      <c r="N9" s="374">
        <v>0</v>
      </c>
      <c r="O9" s="375"/>
    </row>
    <row r="10" spans="1:29">
      <c r="A10" t="s">
        <v>76</v>
      </c>
      <c r="B10" s="54">
        <f ca="1">AVERAGE('הוצאות חודשיות'!B10)</f>
        <v>132.4</v>
      </c>
      <c r="C10" s="54">
        <f ca="1">AVERAGE('הוצאות חודשיות'!B10:B10)</f>
        <v>132.4</v>
      </c>
      <c r="D10" s="54">
        <f ca="1">AVERAGE('הוצאות חודשיות'!B10:C10)</f>
        <v>135.35000000000002</v>
      </c>
      <c r="E10" s="54">
        <f ca="1">AVERAGE('הוצאות חודשיות'!B10:D10)</f>
        <v>134.36666666666667</v>
      </c>
      <c r="F10" s="54">
        <f ca="1">AVERAGE('הוצאות חודשיות'!B10:E10)</f>
        <v>133.875</v>
      </c>
      <c r="G10" s="54">
        <f ca="1">AVERAGE('הוצאות חודשיות'!B10:F10)</f>
        <v>161.56</v>
      </c>
      <c r="H10" s="54">
        <f ca="1">AVERAGE('הוצאות חודשיות'!B10:G10)</f>
        <v>180.01666666666665</v>
      </c>
      <c r="I10" s="54">
        <f ca="1">AVERAGE('הוצאות חודשיות'!B10:H10)</f>
        <v>193.2</v>
      </c>
      <c r="J10" s="54">
        <f ca="1">AVERAGE('הוצאות חודשיות'!B10:I10)</f>
        <v>203.08749999999998</v>
      </c>
      <c r="K10" s="54">
        <f ca="1">AVERAGE('הוצאות חודשיות'!B10:J10)</f>
        <v>210.77777777777774</v>
      </c>
      <c r="L10" s="54">
        <f ca="1">AVERAGE('הוצאות חודשיות'!B10:K10)</f>
        <v>216.92999999999998</v>
      </c>
      <c r="M10" s="54">
        <f ca="1">AVERAGE('הוצאות חודשיות'!B10:L10)</f>
        <v>221.96363636363637</v>
      </c>
      <c r="N10" s="374">
        <v>135</v>
      </c>
      <c r="O10" s="375"/>
    </row>
    <row r="11" spans="1:29">
      <c r="A11" t="s">
        <v>298</v>
      </c>
      <c r="B11" s="54">
        <f ca="1">AVERAGE('הוצאות חודשיות'!B11)</f>
        <v>0</v>
      </c>
      <c r="C11" s="54">
        <f ca="1">AVERAGE('הוצאות חודשיות'!B11:B11)</f>
        <v>0</v>
      </c>
      <c r="D11" s="54">
        <f ca="1">AVERAGE('הוצאות חודשיות'!B11:C11)</f>
        <v>184.75</v>
      </c>
      <c r="E11" s="54">
        <f ca="1">AVERAGE('הוצאות חודשיות'!B11:D11)</f>
        <v>123.16666666666667</v>
      </c>
      <c r="F11" s="54">
        <f ca="1">AVERAGE('הוצאות חודשיות'!B11:E11)</f>
        <v>177.92500000000001</v>
      </c>
      <c r="G11" s="54">
        <f ca="1">AVERAGE('הוצאות חודשיות'!B11:F11)</f>
        <v>142.34</v>
      </c>
      <c r="H11" s="54">
        <f ca="1">AVERAGE('הוצאות חודשיות'!B11:G11)</f>
        <v>185.28333333333333</v>
      </c>
      <c r="I11" s="54">
        <f ca="1">AVERAGE('הוצאות חודשיות'!B11:H11)</f>
        <v>158.81428571428572</v>
      </c>
      <c r="J11" s="54">
        <f ca="1">AVERAGE('הוצאות חודשיות'!B11:I11)</f>
        <v>188.96250000000001</v>
      </c>
      <c r="K11" s="54">
        <f ca="1">AVERAGE('הוצאות חודשיות'!B11:J11)</f>
        <v>167.96666666666667</v>
      </c>
      <c r="L11" s="54">
        <f ca="1">AVERAGE('הוצאות חודשיות'!B11:K11)</f>
        <v>191.17000000000002</v>
      </c>
      <c r="M11" s="54">
        <f ca="1">AVERAGE('הוצאות חודשיות'!B11:L11)</f>
        <v>173.79090909090908</v>
      </c>
      <c r="N11" s="374">
        <v>300</v>
      </c>
      <c r="O11" s="375"/>
    </row>
    <row r="12" spans="1:29">
      <c r="A12" t="s">
        <v>77</v>
      </c>
      <c r="B12" s="54">
        <f ca="1">AVERAGE('הוצאות חודשיות'!B12)</f>
        <v>219.62</v>
      </c>
      <c r="C12" s="54">
        <f ca="1">AVERAGE('הוצאות חודשיות'!B12:B12)</f>
        <v>219.62</v>
      </c>
      <c r="D12" s="54">
        <f ca="1">AVERAGE('הוצאות חודשיות'!B12:C12)</f>
        <v>219.62</v>
      </c>
      <c r="E12" s="54">
        <f ca="1">AVERAGE('הוצאות חודשיות'!B12:D12)</f>
        <v>219.62</v>
      </c>
      <c r="F12" s="54">
        <f ca="1">AVERAGE('הוצאות חודשיות'!B12:E12)</f>
        <v>219.62</v>
      </c>
      <c r="G12" s="54">
        <f ca="1">AVERAGE('הוצאות חודשיות'!B12:F12)</f>
        <v>219.45599999999999</v>
      </c>
      <c r="H12" s="54">
        <f ca="1">AVERAGE('הוצאות חודשיות'!B12:G12)</f>
        <v>219.34666666666666</v>
      </c>
      <c r="I12" s="54">
        <f ca="1">AVERAGE('הוצאות חודשיות'!B12:H12)</f>
        <v>219.26857142857142</v>
      </c>
      <c r="J12" s="54">
        <f ca="1">AVERAGE('הוצאות חודשיות'!B12:I12)</f>
        <v>219.20999999999998</v>
      </c>
      <c r="K12" s="54">
        <f ca="1">AVERAGE('הוצאות חודשיות'!B12:J12)</f>
        <v>219.16444444444443</v>
      </c>
      <c r="L12" s="54">
        <f ca="1">AVERAGE('הוצאות חודשיות'!B12:K12)</f>
        <v>219.12799999999999</v>
      </c>
      <c r="M12" s="54">
        <f ca="1">AVERAGE('הוצאות חודשיות'!B12:L12)</f>
        <v>219.09818181818181</v>
      </c>
      <c r="N12" s="374">
        <v>220</v>
      </c>
      <c r="O12" s="375" t="s">
        <v>299</v>
      </c>
    </row>
    <row r="13" spans="1:29">
      <c r="A13" t="s">
        <v>79</v>
      </c>
      <c r="B13" s="54">
        <f ca="1">AVERAGE('הוצאות חודשיות'!B13)</f>
        <v>95</v>
      </c>
      <c r="C13" s="54">
        <f ca="1">AVERAGE('הוצאות חודשיות'!B13:B13)</f>
        <v>95</v>
      </c>
      <c r="D13" s="54">
        <f ca="1">AVERAGE('הוצאות חודשיות'!B13:C13)</f>
        <v>95</v>
      </c>
      <c r="E13" s="54">
        <f ca="1">AVERAGE('הוצאות חודשיות'!B13:D13)</f>
        <v>95</v>
      </c>
      <c r="F13" s="54">
        <f ca="1">AVERAGE('הוצאות חודשיות'!B13:E13)</f>
        <v>95</v>
      </c>
      <c r="G13" s="54">
        <f ca="1">AVERAGE('הוצאות חודשיות'!B13:F13)</f>
        <v>95</v>
      </c>
      <c r="H13" s="54">
        <f ca="1">AVERAGE('הוצאות חודשיות'!B13:G13)</f>
        <v>95</v>
      </c>
      <c r="I13" s="54">
        <f ca="1">AVERAGE('הוצאות חודשיות'!B13:H13)</f>
        <v>95</v>
      </c>
      <c r="J13" s="54">
        <f ca="1">AVERAGE('הוצאות חודשיות'!B13:I13)</f>
        <v>95</v>
      </c>
      <c r="K13" s="54">
        <f ca="1">AVERAGE('הוצאות חודשיות'!B13:J13)</f>
        <v>95</v>
      </c>
      <c r="L13" s="54">
        <f ca="1">AVERAGE('הוצאות חודשיות'!B13:K13)</f>
        <v>95</v>
      </c>
      <c r="M13" s="54">
        <f ca="1">AVERAGE('הוצאות חודשיות'!B13:L13)</f>
        <v>95</v>
      </c>
      <c r="N13" s="374">
        <v>95</v>
      </c>
      <c r="O13" s="375"/>
    </row>
    <row r="14" spans="1:29">
      <c r="A14" t="s">
        <v>81</v>
      </c>
      <c r="B14" s="54">
        <f ca="1">AVERAGE('הוצאות חודשיות'!B14)</f>
        <v>1709.26</v>
      </c>
      <c r="C14" s="54">
        <f ca="1">AVERAGE('הוצאות חודשיות'!B14:B14)</f>
        <v>1709.26</v>
      </c>
      <c r="D14" s="54">
        <f ca="1">AVERAGE('הוצאות חודשיות'!B14:C14)</f>
        <v>1752.22</v>
      </c>
      <c r="E14" s="54">
        <f ca="1">AVERAGE('הוצאות חודשיות'!B14:D14)</f>
        <v>1766.54</v>
      </c>
      <c r="F14" s="54">
        <f ca="1">AVERAGE('הוצאות חודשיות'!B14:E14)</f>
        <v>1752.22</v>
      </c>
      <c r="G14" s="54">
        <f ca="1">AVERAGE('הוצאות חודשיות'!B14:F14)</f>
        <v>1743.6279999999999</v>
      </c>
      <c r="H14" s="54">
        <f ca="1">AVERAGE('הוצאות חודשיות'!B14:G14)</f>
        <v>1737.8999999999999</v>
      </c>
      <c r="I14" s="54">
        <f ca="1">AVERAGE('הוצאות חודשיות'!B14:H14)</f>
        <v>1733.8085714285714</v>
      </c>
      <c r="J14" s="54">
        <f ca="1">AVERAGE('הוצאות חודשיות'!B14:I14)</f>
        <v>1730.74</v>
      </c>
      <c r="K14" s="54">
        <f ca="1">AVERAGE('הוצאות חודשיות'!B14:J14)</f>
        <v>1728.3533333333335</v>
      </c>
      <c r="L14" s="54">
        <f ca="1">AVERAGE('הוצאות חודשיות'!B14:K14)</f>
        <v>1726.444</v>
      </c>
      <c r="M14" s="54">
        <f ca="1">AVERAGE('הוצאות חודשיות'!B14:L14)</f>
        <v>1724.8818181818178</v>
      </c>
      <c r="N14" s="374">
        <v>1760</v>
      </c>
      <c r="O14" s="375"/>
    </row>
    <row r="15" spans="1:29">
      <c r="A15" t="s">
        <v>83</v>
      </c>
      <c r="B15" s="54">
        <f ca="1">AVERAGE('הוצאות חודשיות'!B15)</f>
        <v>454.3</v>
      </c>
      <c r="C15" s="54">
        <f ca="1">AVERAGE('הוצאות חודשיות'!B15:B15)</f>
        <v>454.3</v>
      </c>
      <c r="D15" s="54">
        <f ca="1">AVERAGE('הוצאות חודשיות'!B15:C15)</f>
        <v>227.15</v>
      </c>
      <c r="E15" s="54">
        <f ca="1">AVERAGE('הוצאות חודשיות'!B15:D15)</f>
        <v>151.43333333333334</v>
      </c>
      <c r="F15" s="54">
        <f ca="1">AVERAGE('הוצאות חודשיות'!B15:E15)</f>
        <v>113.575</v>
      </c>
      <c r="G15" s="54">
        <f ca="1">AVERAGE('הוצאות חודשיות'!B15:F15)</f>
        <v>272.58000000000004</v>
      </c>
      <c r="H15" s="54">
        <f ca="1">AVERAGE('הוצאות חודשיות'!B15:G15)</f>
        <v>378.58333333333331</v>
      </c>
      <c r="I15" s="54">
        <f ca="1">AVERAGE('הוצאות חודשיות'!B15:H15)</f>
        <v>454.3</v>
      </c>
      <c r="J15" s="54">
        <f ca="1">AVERAGE('הוצאות חודשיות'!B15:I15)</f>
        <v>511.08749999999998</v>
      </c>
      <c r="K15" s="54">
        <f ca="1">AVERAGE('הוצאות חודשיות'!B15:J15)</f>
        <v>555.25555555555559</v>
      </c>
      <c r="L15" s="54">
        <f ca="1">AVERAGE('הוצאות חודשיות'!B15:K15)</f>
        <v>590.59</v>
      </c>
      <c r="M15" s="54">
        <f ca="1">AVERAGE('הוצאות חודשיות'!B15:L15)</f>
        <v>619.50000000000011</v>
      </c>
      <c r="N15" s="374">
        <v>0</v>
      </c>
      <c r="O15" s="375"/>
    </row>
    <row r="16" spans="1:29">
      <c r="A16" t="s">
        <v>85</v>
      </c>
      <c r="B16" s="54">
        <f ca="1">AVERAGE('הוצאות חודשיות'!B16)</f>
        <v>0</v>
      </c>
      <c r="C16" s="54">
        <f ca="1">AVERAGE('הוצאות חודשיות'!B16:B16)</f>
        <v>0</v>
      </c>
      <c r="D16" s="54">
        <f ca="1">AVERAGE('הוצאות חודשיות'!B16:C16)</f>
        <v>0</v>
      </c>
      <c r="E16" s="54">
        <f ca="1">AVERAGE('הוצאות חודשיות'!B16:D16)</f>
        <v>0</v>
      </c>
      <c r="F16" s="54">
        <f ca="1">AVERAGE('הוצאות חודשיות'!B16:E16)</f>
        <v>0</v>
      </c>
      <c r="G16" s="54">
        <f ca="1">AVERAGE('הוצאות חודשיות'!B16:F16)</f>
        <v>0</v>
      </c>
      <c r="H16" s="54">
        <f ca="1">AVERAGE('הוצאות חודשיות'!B16:G16)</f>
        <v>0</v>
      </c>
      <c r="I16" s="54">
        <f ca="1">AVERAGE('הוצאות חודשיות'!B16:H16)</f>
        <v>0</v>
      </c>
      <c r="J16" s="54">
        <f ca="1">AVERAGE('הוצאות חודשיות'!B16:I16)</f>
        <v>0</v>
      </c>
      <c r="K16" s="54">
        <f ca="1">AVERAGE('הוצאות חודשיות'!B16:J16)</f>
        <v>0</v>
      </c>
      <c r="L16" s="54">
        <f ca="1">AVERAGE('הוצאות חודשיות'!B16:K16)</f>
        <v>0</v>
      </c>
      <c r="M16" s="54">
        <f ca="1">AVERAGE('הוצאות חודשיות'!B16:L16)</f>
        <v>0</v>
      </c>
      <c r="N16" s="374">
        <v>0</v>
      </c>
      <c r="O16" s="375"/>
    </row>
    <row r="17" spans="1:15">
      <c r="A17" t="s">
        <v>86</v>
      </c>
      <c r="B17" s="54">
        <f ca="1">AVERAGE('הוצאות חודשיות'!B17)</f>
        <v>100</v>
      </c>
      <c r="C17" s="54">
        <f ca="1">AVERAGE('הוצאות חודשיות'!B17:B17)</f>
        <v>100</v>
      </c>
      <c r="D17" s="54">
        <f ca="1">AVERAGE('הוצאות חודשיות'!B17:C17)</f>
        <v>50</v>
      </c>
      <c r="E17" s="54">
        <f ca="1">AVERAGE('הוצאות חודשיות'!B17:D17)</f>
        <v>66.666666666666671</v>
      </c>
      <c r="F17" s="54">
        <f ca="1">AVERAGE('הוצאות חודשיות'!B17:E17)</f>
        <v>25</v>
      </c>
      <c r="G17" s="54">
        <f ca="1">AVERAGE('הוצאות חודשיות'!B17:F17)</f>
        <v>40</v>
      </c>
      <c r="H17" s="54">
        <f ca="1">AVERAGE('הוצאות חודשיות'!B17:G17)</f>
        <v>50</v>
      </c>
      <c r="I17" s="54">
        <f ca="1">AVERAGE('הוצאות חודשיות'!B17:H17)</f>
        <v>57.142857142857146</v>
      </c>
      <c r="J17" s="54">
        <f ca="1">AVERAGE('הוצאות חודשיות'!B17:I17)</f>
        <v>62.5</v>
      </c>
      <c r="K17" s="54">
        <f ca="1">AVERAGE('הוצאות חודשיות'!B17:J17)</f>
        <v>66.666666666666671</v>
      </c>
      <c r="L17" s="54">
        <f ca="1">AVERAGE('הוצאות חודשיות'!B17:K17)</f>
        <v>70</v>
      </c>
      <c r="M17" s="54">
        <f ca="1">AVERAGE('הוצאות חודשיות'!B17:L17)</f>
        <v>72.727272727272734</v>
      </c>
      <c r="N17" s="412">
        <v>112</v>
      </c>
      <c r="O17" s="375"/>
    </row>
    <row r="18" spans="1:15">
      <c r="A18" t="s">
        <v>87</v>
      </c>
      <c r="B18" s="54">
        <f ca="1">AVERAGE('הוצאות חודשיות'!B18)</f>
        <v>603.6</v>
      </c>
      <c r="C18" s="54">
        <f ca="1">AVERAGE('הוצאות חודשיות'!B18:B18)</f>
        <v>603.6</v>
      </c>
      <c r="D18" s="54">
        <f ca="1">AVERAGE('הוצאות חודשיות'!B18:C18)</f>
        <v>596.79999999999995</v>
      </c>
      <c r="E18" s="54">
        <f ca="1">AVERAGE('הוצאות חודשיות'!B18:D18)</f>
        <v>660.82333333333327</v>
      </c>
      <c r="F18" s="54">
        <f ca="1">AVERAGE('הוצאות חודשיות'!B18:E18)</f>
        <v>1340.7674999999999</v>
      </c>
      <c r="G18" s="54">
        <f ca="1">AVERAGE('הוצאות חודשיות'!B18:F18)</f>
        <v>1072.614</v>
      </c>
      <c r="H18" s="54">
        <f ca="1">AVERAGE('הוצאות חודשיות'!B18:G18)</f>
        <v>893.84499999999991</v>
      </c>
      <c r="I18" s="54">
        <f ca="1">AVERAGE('הוצאות חודשיות'!B18:H18)</f>
        <v>766.1528571428571</v>
      </c>
      <c r="J18" s="54">
        <f ca="1">AVERAGE('הוצאות חודשיות'!B18:I18)</f>
        <v>670.38374999999996</v>
      </c>
      <c r="K18" s="54">
        <f ca="1">AVERAGE('הוצאות חודשיות'!B18:J18)</f>
        <v>595.89666666666665</v>
      </c>
      <c r="L18" s="54">
        <f ca="1">AVERAGE('הוצאות חודשיות'!B18:K18)</f>
        <v>536.30700000000002</v>
      </c>
      <c r="M18" s="54">
        <f ca="1">AVERAGE('הוצאות חודשיות'!B18:L18)</f>
        <v>487.55181818181813</v>
      </c>
      <c r="N18" s="374">
        <v>700</v>
      </c>
      <c r="O18" s="375" t="s">
        <v>299</v>
      </c>
    </row>
    <row r="19" spans="1:15">
      <c r="A19" t="s">
        <v>306</v>
      </c>
      <c r="B19" s="54">
        <f ca="1">AVERAGE('הוצאות חודשיות'!B19)</f>
        <v>0</v>
      </c>
      <c r="C19" s="54">
        <f ca="1">AVERAGE('הוצאות חודשיות'!B19:B19)</f>
        <v>0</v>
      </c>
      <c r="D19" s="54">
        <f ca="1">AVERAGE('הוצאות חודשיות'!B19:C19)</f>
        <v>0</v>
      </c>
      <c r="E19" s="54">
        <f ca="1">AVERAGE('הוצאות חודשיות'!B19:D19)</f>
        <v>0</v>
      </c>
      <c r="F19" s="54">
        <f ca="1">AVERAGE('הוצאות חודשיות'!B19:E19)</f>
        <v>0</v>
      </c>
      <c r="G19" s="54">
        <f ca="1">AVERAGE('הוצאות חודשיות'!B19:F19)</f>
        <v>0</v>
      </c>
      <c r="H19" s="54">
        <f ca="1">AVERAGE('הוצאות חודשיות'!B19:G19)</f>
        <v>0</v>
      </c>
      <c r="I19" s="54">
        <f ca="1">AVERAGE('הוצאות חודשיות'!B19:H19)</f>
        <v>0</v>
      </c>
      <c r="J19" s="54">
        <f ca="1">AVERAGE('הוצאות חודשיות'!B19:I19)</f>
        <v>0</v>
      </c>
      <c r="K19" s="54">
        <f ca="1">AVERAGE('הוצאות חודשיות'!B19:J19)</f>
        <v>0</v>
      </c>
      <c r="L19" s="54">
        <f ca="1">AVERAGE('הוצאות חודשיות'!B19:K19)</f>
        <v>0</v>
      </c>
      <c r="M19" s="54">
        <f ca="1">AVERAGE('הוצאות חודשיות'!B19:L19)</f>
        <v>0</v>
      </c>
      <c r="N19" s="374">
        <v>0</v>
      </c>
      <c r="O19" s="375"/>
    </row>
    <row r="20" spans="1:15">
      <c r="A20" t="s">
        <v>307</v>
      </c>
      <c r="B20" s="54">
        <f ca="1">AVERAGE('הוצאות חודשיות'!B20)</f>
        <v>0</v>
      </c>
      <c r="C20" s="54">
        <f ca="1">AVERAGE('הוצאות חודשיות'!B20:B20)</f>
        <v>0</v>
      </c>
      <c r="D20" s="54">
        <f ca="1">AVERAGE('הוצאות חודשיות'!B20:C20)</f>
        <v>0</v>
      </c>
      <c r="E20" s="54">
        <f ca="1">AVERAGE('הוצאות חודשיות'!B20:D20)</f>
        <v>0</v>
      </c>
      <c r="F20" s="54">
        <f ca="1">AVERAGE('הוצאות חודשיות'!B20:E20)</f>
        <v>0</v>
      </c>
      <c r="G20" s="54">
        <f ca="1">AVERAGE('הוצאות חודשיות'!B20:F20)</f>
        <v>0</v>
      </c>
      <c r="H20" s="54">
        <f ca="1">AVERAGE('הוצאות חודשיות'!B20:G20)</f>
        <v>0</v>
      </c>
      <c r="I20" s="54">
        <f ca="1">AVERAGE('הוצאות חודשיות'!B20:H20)</f>
        <v>0</v>
      </c>
      <c r="J20" s="54">
        <f ca="1">AVERAGE('הוצאות חודשיות'!B20:I20)</f>
        <v>0</v>
      </c>
      <c r="K20" s="54">
        <f ca="1">AVERAGE('הוצאות חודשיות'!B20:J20)</f>
        <v>0</v>
      </c>
      <c r="L20" s="54">
        <f ca="1">AVERAGE('הוצאות חודשיות'!B20:K20)</f>
        <v>0</v>
      </c>
      <c r="M20" s="54">
        <f ca="1">AVERAGE('הוצאות חודשיות'!B20:L20)</f>
        <v>0</v>
      </c>
      <c r="N20" s="374">
        <v>0</v>
      </c>
      <c r="O20" s="375"/>
    </row>
    <row r="21" spans="1:15">
      <c r="A21" t="s">
        <v>8</v>
      </c>
      <c r="B21" s="54">
        <f ca="1">AVERAGE('הוצאות חודשיות'!B21)</f>
        <v>0</v>
      </c>
      <c r="C21" s="54">
        <f ca="1">AVERAGE('הוצאות חודשיות'!B21:B21)</f>
        <v>0</v>
      </c>
      <c r="D21" s="54">
        <f ca="1">AVERAGE('הוצאות חודשיות'!B21:C21)</f>
        <v>0</v>
      </c>
      <c r="E21" s="54">
        <f ca="1">AVERAGE('הוצאות חודשיות'!B21:D21)</f>
        <v>0</v>
      </c>
      <c r="F21" s="54">
        <f ca="1">AVERAGE('הוצאות חודשיות'!B21:E21)</f>
        <v>0</v>
      </c>
      <c r="G21" s="54">
        <f ca="1">AVERAGE('הוצאות חודשיות'!B21:F21)</f>
        <v>0</v>
      </c>
      <c r="H21" s="54">
        <f ca="1">AVERAGE('הוצאות חודשיות'!B21:G21)</f>
        <v>0</v>
      </c>
      <c r="I21" s="54">
        <f ca="1">AVERAGE('הוצאות חודשיות'!B21:H21)</f>
        <v>0</v>
      </c>
      <c r="J21" s="54">
        <f ca="1">AVERAGE('הוצאות חודשיות'!B21:I21)</f>
        <v>0</v>
      </c>
      <c r="K21" s="54">
        <f ca="1">AVERAGE('הוצאות חודשיות'!B21:J21)</f>
        <v>0</v>
      </c>
      <c r="L21" s="54">
        <f ca="1">AVERAGE('הוצאות חודשיות'!B21:K21)</f>
        <v>0</v>
      </c>
      <c r="M21" s="54">
        <f ca="1">AVERAGE('הוצאות חודשיות'!B21:L21)</f>
        <v>0</v>
      </c>
      <c r="N21" s="374">
        <v>0</v>
      </c>
      <c r="O21" s="375"/>
    </row>
    <row r="22" spans="1:15" ht="13.5" thickBot="1">
      <c r="A22" s="378" t="s">
        <v>254</v>
      </c>
      <c r="B22" s="379">
        <f t="shared" ref="B22:M22" ca="1" si="0">SUM(B3:B21)</f>
        <v>6424.64</v>
      </c>
      <c r="C22" s="379">
        <f t="shared" ca="1" si="0"/>
        <v>6424.64</v>
      </c>
      <c r="D22" s="379">
        <f t="shared" ca="1" si="0"/>
        <v>7997.9350000000004</v>
      </c>
      <c r="E22" s="379">
        <f t="shared" ca="1" si="0"/>
        <v>8055.1400000000012</v>
      </c>
      <c r="F22" s="379">
        <f t="shared" ca="1" si="0"/>
        <v>9236.9750000000004</v>
      </c>
      <c r="G22" s="379">
        <f t="shared" ca="1" si="0"/>
        <v>10030.372000000001</v>
      </c>
      <c r="H22" s="379">
        <f t="shared" ca="1" si="0"/>
        <v>10734.303333333333</v>
      </c>
      <c r="I22" s="379">
        <f t="shared" ca="1" si="0"/>
        <v>11087.111428571428</v>
      </c>
      <c r="J22" s="379">
        <f t="shared" ca="1" si="0"/>
        <v>11482.967499999999</v>
      </c>
      <c r="K22" s="379">
        <f t="shared" ca="1" si="0"/>
        <v>11674.188888888892</v>
      </c>
      <c r="L22" s="379">
        <f t="shared" ca="1" si="0"/>
        <v>11932.166000000001</v>
      </c>
      <c r="M22" s="379">
        <f t="shared" ca="1" si="0"/>
        <v>12047.783636363638</v>
      </c>
      <c r="N22" s="376">
        <f>SUM(N3:N21)</f>
        <v>12822</v>
      </c>
      <c r="O22" s="377"/>
    </row>
    <row r="23" spans="1:15" ht="13.5" thickBot="1">
      <c r="A23" s="380"/>
      <c r="B23" s="381"/>
      <c r="C23" s="381"/>
      <c r="D23" s="381"/>
      <c r="E23" s="381"/>
      <c r="F23" s="381"/>
      <c r="G23" s="381"/>
      <c r="H23" s="381"/>
      <c r="I23" s="381"/>
      <c r="J23" s="381"/>
      <c r="K23" s="381"/>
      <c r="L23" s="381"/>
      <c r="M23" s="381"/>
      <c r="N23" s="382"/>
      <c r="O23" s="383"/>
    </row>
    <row r="24" spans="1:15">
      <c r="A24" s="404" t="s">
        <v>89</v>
      </c>
      <c r="B24" s="405"/>
      <c r="C24" s="405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6"/>
      <c r="O24" s="407"/>
    </row>
    <row r="25" spans="1:15">
      <c r="A25" s="408" t="s">
        <v>67</v>
      </c>
      <c r="B25" s="409">
        <v>1</v>
      </c>
      <c r="C25" s="409">
        <v>2</v>
      </c>
      <c r="D25" s="409">
        <v>3</v>
      </c>
      <c r="E25" s="409">
        <v>4</v>
      </c>
      <c r="F25" s="409">
        <v>5</v>
      </c>
      <c r="G25" s="409">
        <v>6</v>
      </c>
      <c r="H25" s="409">
        <v>7</v>
      </c>
      <c r="I25" s="409">
        <v>8</v>
      </c>
      <c r="J25" s="409">
        <v>9</v>
      </c>
      <c r="K25" s="409">
        <v>10</v>
      </c>
      <c r="L25" s="409">
        <v>11</v>
      </c>
      <c r="M25" s="409">
        <v>12</v>
      </c>
      <c r="N25" s="410" t="s">
        <v>181</v>
      </c>
      <c r="O25" s="411"/>
    </row>
    <row r="26" spans="1:15">
      <c r="A26" t="s">
        <v>91</v>
      </c>
      <c r="B26" s="54">
        <f ca="1">AVERAGE('הוצאות חודשיות'!B26)</f>
        <v>7918.380000000001</v>
      </c>
      <c r="C26" s="54">
        <f ca="1">AVERAGE('הוצאות חודשיות'!B26:B26)</f>
        <v>7918.380000000001</v>
      </c>
      <c r="D26" s="54">
        <f ca="1">AVERAGE('הוצאות חודשיות'!B26:C26)</f>
        <v>7817.3900000000012</v>
      </c>
      <c r="E26" s="54">
        <f ca="1">AVERAGE('הוצאות חודשיות'!B26:D26)</f>
        <v>8790.76</v>
      </c>
      <c r="F26" s="54">
        <f ca="1">AVERAGE('הוצאות חודשיות'!B26:E26)</f>
        <v>8569.4750000000004</v>
      </c>
      <c r="G26" s="54">
        <f ca="1">AVERAGE('הוצאות חודשיות'!B26:F26)</f>
        <v>7655.58</v>
      </c>
      <c r="H26" s="54">
        <f ca="1">AVERAGE('הוצאות חודשיות'!B26:G26)</f>
        <v>7046.3166666666666</v>
      </c>
      <c r="I26" s="54">
        <f ca="1">AVERAGE('הוצאות חודשיות'!B26:H26)</f>
        <v>6611.1285714285714</v>
      </c>
      <c r="J26" s="54">
        <f ca="1">AVERAGE('הוצאות חודשיות'!B26:I26)</f>
        <v>6284.7375000000002</v>
      </c>
      <c r="K26" s="54">
        <f ca="1">AVERAGE('הוצאות חודשיות'!B26:J26)</f>
        <v>6030.8777777777777</v>
      </c>
      <c r="L26" s="54">
        <f ca="1">AVERAGE('הוצאות חודשיות'!B26:K26)</f>
        <v>5827.79</v>
      </c>
      <c r="M26" s="54">
        <f ca="1">AVERAGE('הוצאות חודשיות'!B26:L26)</f>
        <v>5661.6272727272726</v>
      </c>
      <c r="N26" s="374">
        <v>6000</v>
      </c>
      <c r="O26" s="375" t="s">
        <v>299</v>
      </c>
    </row>
    <row r="27" spans="1:15">
      <c r="A27" t="s">
        <v>92</v>
      </c>
      <c r="B27" s="54">
        <f ca="1">AVERAGE('הוצאות חודשיות'!B27)</f>
        <v>0</v>
      </c>
      <c r="C27" s="54">
        <f ca="1">AVERAGE('הוצאות חודשיות'!B27:B27)</f>
        <v>0</v>
      </c>
      <c r="D27" s="54">
        <f ca="1">AVERAGE('הוצאות חודשיות'!B27:C27)</f>
        <v>0</v>
      </c>
      <c r="E27" s="54">
        <f ca="1">AVERAGE('הוצאות חודשיות'!B27:D27)</f>
        <v>0</v>
      </c>
      <c r="F27" s="54">
        <f ca="1">AVERAGE('הוצאות חודשיות'!B27:E27)</f>
        <v>0</v>
      </c>
      <c r="G27" s="54">
        <f ca="1">AVERAGE('הוצאות חודשיות'!B27:F27)</f>
        <v>0</v>
      </c>
      <c r="H27" s="54">
        <f ca="1">AVERAGE('הוצאות חודשיות'!B27:G27)</f>
        <v>0</v>
      </c>
      <c r="I27" s="54">
        <f ca="1">AVERAGE('הוצאות חודשיות'!B27:H27)</f>
        <v>0</v>
      </c>
      <c r="J27" s="54">
        <f ca="1">AVERAGE('הוצאות חודשיות'!B27:I27)</f>
        <v>0</v>
      </c>
      <c r="K27" s="54">
        <f ca="1">AVERAGE('הוצאות חודשיות'!B27:J27)</f>
        <v>0</v>
      </c>
      <c r="L27" s="54">
        <f ca="1">AVERAGE('הוצאות חודשיות'!B27:K27)</f>
        <v>0</v>
      </c>
      <c r="M27" s="54">
        <f ca="1">AVERAGE('הוצאות חודשיות'!B27:L27)</f>
        <v>0</v>
      </c>
      <c r="N27" s="374">
        <v>0</v>
      </c>
      <c r="O27" s="375"/>
    </row>
    <row r="28" spans="1:15">
      <c r="A28" t="s">
        <v>93</v>
      </c>
      <c r="B28" s="54">
        <f ca="1">AVERAGE('הוצאות חודשיות'!B28)</f>
        <v>430</v>
      </c>
      <c r="C28" s="54">
        <f ca="1">AVERAGE('הוצאות חודשיות'!B28:B28)</f>
        <v>430</v>
      </c>
      <c r="D28" s="54">
        <f ca="1">AVERAGE('הוצאות חודשיות'!B28:C28)</f>
        <v>215</v>
      </c>
      <c r="E28" s="54">
        <f ca="1">AVERAGE('הוצאות חודשיות'!B28:D28)</f>
        <v>143.33333333333334</v>
      </c>
      <c r="F28" s="54">
        <f ca="1">AVERAGE('הוצאות חודשיות'!B28:E28)</f>
        <v>285</v>
      </c>
      <c r="G28" s="54">
        <f ca="1">AVERAGE('הוצאות חודשיות'!B28:F28)</f>
        <v>228</v>
      </c>
      <c r="H28" s="54">
        <f ca="1">AVERAGE('הוצאות חודשיות'!B28:G28)</f>
        <v>190</v>
      </c>
      <c r="I28" s="54">
        <f ca="1">AVERAGE('הוצאות חודשיות'!B28:H28)</f>
        <v>162.85714285714286</v>
      </c>
      <c r="J28" s="54">
        <f ca="1">AVERAGE('הוצאות חודשיות'!B28:I28)</f>
        <v>142.5</v>
      </c>
      <c r="K28" s="54">
        <f ca="1">AVERAGE('הוצאות חודשיות'!B28:J28)</f>
        <v>126.66666666666667</v>
      </c>
      <c r="L28" s="54">
        <f ca="1">AVERAGE('הוצאות חודשיות'!B28:K28)</f>
        <v>114</v>
      </c>
      <c r="M28" s="54">
        <f ca="1">AVERAGE('הוצאות חודשיות'!B28:L28)</f>
        <v>103.63636363636364</v>
      </c>
      <c r="N28" s="374">
        <v>300</v>
      </c>
      <c r="O28" s="375"/>
    </row>
    <row r="29" spans="1:15">
      <c r="A29" t="s">
        <v>94</v>
      </c>
      <c r="B29" s="54">
        <f ca="1">AVERAGE('הוצאות חודשיות'!B29)</f>
        <v>0</v>
      </c>
      <c r="C29" s="54">
        <f ca="1">AVERAGE('הוצאות חודשיות'!B29:B29)</f>
        <v>0</v>
      </c>
      <c r="D29" s="54">
        <f ca="1">AVERAGE('הוצאות חודשיות'!B29:C29)</f>
        <v>0</v>
      </c>
      <c r="E29" s="54">
        <f ca="1">AVERAGE('הוצאות חודשיות'!B29:D29)</f>
        <v>0</v>
      </c>
      <c r="F29" s="54">
        <f ca="1">AVERAGE('הוצאות חודשיות'!B29:E29)</f>
        <v>0</v>
      </c>
      <c r="G29" s="54">
        <f ca="1">AVERAGE('הוצאות חודשיות'!B29:F29)</f>
        <v>0</v>
      </c>
      <c r="H29" s="54">
        <f ca="1">AVERAGE('הוצאות חודשיות'!B29:G29)</f>
        <v>0</v>
      </c>
      <c r="I29" s="54">
        <f ca="1">AVERAGE('הוצאות חודשיות'!B29:H29)</f>
        <v>0</v>
      </c>
      <c r="J29" s="54">
        <f ca="1">AVERAGE('הוצאות חודשיות'!B29:I29)</f>
        <v>0</v>
      </c>
      <c r="K29" s="54">
        <f ca="1">AVERAGE('הוצאות חודשיות'!B29:J29)</f>
        <v>0</v>
      </c>
      <c r="L29" s="54">
        <f ca="1">AVERAGE('הוצאות חודשיות'!B29:K29)</f>
        <v>0</v>
      </c>
      <c r="M29" s="54">
        <f ca="1">AVERAGE('הוצאות חודשיות'!B29:L29)</f>
        <v>0</v>
      </c>
      <c r="N29" s="374">
        <v>0</v>
      </c>
      <c r="O29" s="375"/>
    </row>
    <row r="30" spans="1:15">
      <c r="A30" t="s">
        <v>95</v>
      </c>
      <c r="B30" s="54">
        <f ca="1">AVERAGE('הוצאות חודשיות'!B30)</f>
        <v>1038.5</v>
      </c>
      <c r="C30" s="54">
        <f ca="1">AVERAGE('הוצאות חודשיות'!B30:B30)</f>
        <v>1038.5</v>
      </c>
      <c r="D30" s="54">
        <f ca="1">AVERAGE('הוצאות חודשיות'!B30:C30)</f>
        <v>950.76</v>
      </c>
      <c r="E30" s="54">
        <f ca="1">AVERAGE('הוצאות חודשיות'!B30:D30)</f>
        <v>1046.7699999999998</v>
      </c>
      <c r="F30" s="54">
        <f ca="1">AVERAGE('הוצאות חודשיות'!B30:E30)</f>
        <v>948.71499999999992</v>
      </c>
      <c r="G30" s="54">
        <f ca="1">AVERAGE('הוצאות חודשיות'!B30:F30)</f>
        <v>758.97199999999998</v>
      </c>
      <c r="H30" s="54">
        <f ca="1">AVERAGE('הוצאות חודשיות'!B30:G30)</f>
        <v>632.47666666666657</v>
      </c>
      <c r="I30" s="54">
        <f ca="1">AVERAGE('הוצאות חודשיות'!B30:H30)</f>
        <v>542.12285714285713</v>
      </c>
      <c r="J30" s="54">
        <f ca="1">AVERAGE('הוצאות חודשיות'!B30:I30)</f>
        <v>474.35749999999996</v>
      </c>
      <c r="K30" s="54">
        <f ca="1">AVERAGE('הוצאות חודשיות'!B30:J30)</f>
        <v>421.65111111111105</v>
      </c>
      <c r="L30" s="54">
        <f ca="1">AVERAGE('הוצאות חודשיות'!B30:K30)</f>
        <v>379.48599999999999</v>
      </c>
      <c r="M30" s="54">
        <f ca="1">AVERAGE('הוצאות חודשיות'!B30:L30)</f>
        <v>344.98727272727268</v>
      </c>
      <c r="N30" s="374">
        <v>900</v>
      </c>
      <c r="O30" s="375" t="s">
        <v>299</v>
      </c>
    </row>
    <row r="31" spans="1:15">
      <c r="A31" t="s">
        <v>96</v>
      </c>
      <c r="B31" s="54">
        <f ca="1">AVERAGE('הוצאות חודשיות'!B31)</f>
        <v>3729.3399999999997</v>
      </c>
      <c r="C31" s="54">
        <f ca="1">AVERAGE('הוצאות חודשיות'!B31:B31)</f>
        <v>3729.3399999999997</v>
      </c>
      <c r="D31" s="54">
        <f ca="1">AVERAGE('הוצאות חודשיות'!B31:C31)</f>
        <v>2747.2</v>
      </c>
      <c r="E31" s="54">
        <f ca="1">AVERAGE('הוצאות חודשיות'!B31:D31)</f>
        <v>2800.8233333333333</v>
      </c>
      <c r="F31" s="54">
        <f ca="1">AVERAGE('הוצאות חודשיות'!B31:E31)</f>
        <v>2547.25</v>
      </c>
      <c r="G31" s="54">
        <f ca="1">AVERAGE('הוצאות חודשיות'!B31:F31)</f>
        <v>2037.8</v>
      </c>
      <c r="H31" s="54">
        <f ca="1">AVERAGE('הוצאות חודשיות'!B31:G31)</f>
        <v>1698.1666666666667</v>
      </c>
      <c r="I31" s="54">
        <f ca="1">AVERAGE('הוצאות חודשיות'!B31:H31)</f>
        <v>1455.5714285714287</v>
      </c>
      <c r="J31" s="54">
        <f ca="1">AVERAGE('הוצאות חודשיות'!B31:I31)</f>
        <v>1273.625</v>
      </c>
      <c r="K31" s="54">
        <f ca="1">AVERAGE('הוצאות חודשיות'!B31:J31)</f>
        <v>1132.1111111111111</v>
      </c>
      <c r="L31" s="54">
        <f ca="1">AVERAGE('הוצאות חודשיות'!B31:K31)</f>
        <v>1018.9</v>
      </c>
      <c r="M31" s="54">
        <f ca="1">AVERAGE('הוצאות חודשיות'!B31:L31)</f>
        <v>926.27272727272725</v>
      </c>
      <c r="N31" s="374">
        <v>1500</v>
      </c>
      <c r="O31" s="375" t="s">
        <v>299</v>
      </c>
    </row>
    <row r="32" spans="1:15">
      <c r="A32" t="s">
        <v>97</v>
      </c>
      <c r="B32" s="54">
        <f ca="1">AVERAGE('הוצאות חודשיות'!B32)</f>
        <v>0</v>
      </c>
      <c r="C32" s="54">
        <f ca="1">AVERAGE('הוצאות חודשיות'!B32:B32)</f>
        <v>0</v>
      </c>
      <c r="D32" s="54">
        <f ca="1">AVERAGE('הוצאות חודשיות'!B32:C32)</f>
        <v>0</v>
      </c>
      <c r="E32" s="54">
        <f ca="1">AVERAGE('הוצאות חודשיות'!B32:D32)</f>
        <v>0</v>
      </c>
      <c r="F32" s="54">
        <f ca="1">AVERAGE('הוצאות חודשיות'!B32:E32)</f>
        <v>0</v>
      </c>
      <c r="G32" s="54">
        <f ca="1">AVERAGE('הוצאות חודשיות'!B32:F32)</f>
        <v>0</v>
      </c>
      <c r="H32" s="54">
        <f ca="1">AVERAGE('הוצאות חודשיות'!B32:G32)</f>
        <v>0</v>
      </c>
      <c r="I32" s="54">
        <f ca="1">AVERAGE('הוצאות חודשיות'!B32:H32)</f>
        <v>0</v>
      </c>
      <c r="J32" s="54">
        <f ca="1">AVERAGE('הוצאות חודשיות'!B32:I32)</f>
        <v>0</v>
      </c>
      <c r="K32" s="54">
        <f ca="1">AVERAGE('הוצאות חודשיות'!B32:J32)</f>
        <v>0</v>
      </c>
      <c r="L32" s="54">
        <f ca="1">AVERAGE('הוצאות חודשיות'!B32:K32)</f>
        <v>0</v>
      </c>
      <c r="M32" s="54">
        <f ca="1">AVERAGE('הוצאות חודשיות'!B32:L32)</f>
        <v>0</v>
      </c>
      <c r="N32" s="374">
        <v>0</v>
      </c>
      <c r="O32" s="375"/>
    </row>
    <row r="33" spans="1:15">
      <c r="A33" t="s">
        <v>277</v>
      </c>
      <c r="B33" s="54">
        <f ca="1">AVERAGE('הוצאות חודשיות'!B33)</f>
        <v>0</v>
      </c>
      <c r="C33" s="54">
        <f ca="1">AVERAGE('הוצאות חודשיות'!B33:B33)</f>
        <v>0</v>
      </c>
      <c r="D33" s="54">
        <f ca="1">AVERAGE('הוצאות חודשיות'!B33:C33)</f>
        <v>0</v>
      </c>
      <c r="E33" s="54">
        <f ca="1">AVERAGE('הוצאות חודשיות'!B33:D33)</f>
        <v>0</v>
      </c>
      <c r="F33" s="54">
        <f ca="1">AVERAGE('הוצאות חודשיות'!B33:E33)</f>
        <v>0</v>
      </c>
      <c r="G33" s="54">
        <f ca="1">AVERAGE('הוצאות חודשיות'!B33:F33)</f>
        <v>0</v>
      </c>
      <c r="H33" s="54">
        <f ca="1">AVERAGE('הוצאות חודשיות'!B33:G33)</f>
        <v>0</v>
      </c>
      <c r="I33" s="54">
        <f ca="1">AVERAGE('הוצאות חודשיות'!B33:H33)</f>
        <v>0</v>
      </c>
      <c r="J33" s="54">
        <f ca="1">AVERAGE('הוצאות חודשיות'!B33:I33)</f>
        <v>0</v>
      </c>
      <c r="K33" s="54">
        <f ca="1">AVERAGE('הוצאות חודשיות'!B33:J33)</f>
        <v>0</v>
      </c>
      <c r="L33" s="54">
        <f ca="1">AVERAGE('הוצאות חודשיות'!B33:K33)</f>
        <v>0</v>
      </c>
      <c r="M33" s="54">
        <f ca="1">AVERAGE('הוצאות חודשיות'!B33:L33)</f>
        <v>0</v>
      </c>
      <c r="N33" s="374">
        <v>0</v>
      </c>
      <c r="O33" s="375"/>
    </row>
    <row r="34" spans="1:15">
      <c r="A34" t="s">
        <v>279</v>
      </c>
      <c r="B34" s="54">
        <f ca="1">AVERAGE('הוצאות חודשיות'!B34)</f>
        <v>2322.13</v>
      </c>
      <c r="C34" s="54">
        <f ca="1">AVERAGE('הוצאות חודשיות'!B34:B34)</f>
        <v>2322.13</v>
      </c>
      <c r="D34" s="54">
        <f ca="1">AVERAGE('הוצאות חודשיות'!B34:C34)</f>
        <v>1730.4650000000001</v>
      </c>
      <c r="E34" s="54">
        <f ca="1">AVERAGE('הוצאות חודשיות'!B34:D34)</f>
        <v>1999.2433333333336</v>
      </c>
      <c r="F34" s="54">
        <f ca="1">AVERAGE('הוצאות חודשיות'!B34:E34)</f>
        <v>1574.4325000000001</v>
      </c>
      <c r="G34" s="54">
        <f ca="1">AVERAGE('הוצאות חודשיות'!B34:F34)</f>
        <v>1319.546</v>
      </c>
      <c r="H34" s="54">
        <f ca="1">AVERAGE('הוצאות חודשיות'!B34:G34)</f>
        <v>1099.6216666666667</v>
      </c>
      <c r="I34" s="54">
        <f ca="1">AVERAGE('הוצאות חודשיות'!B34:H34)</f>
        <v>942.53285714285721</v>
      </c>
      <c r="J34" s="54">
        <f ca="1">AVERAGE('הוצאות חודשיות'!B34:I34)</f>
        <v>824.71625000000006</v>
      </c>
      <c r="K34" s="54">
        <f ca="1">AVERAGE('הוצאות חודשיות'!B34:J34)</f>
        <v>733.08111111111111</v>
      </c>
      <c r="L34" s="54">
        <f ca="1">AVERAGE('הוצאות חודשיות'!B34:K34)</f>
        <v>659.77300000000002</v>
      </c>
      <c r="M34" s="54">
        <f ca="1">AVERAGE('הוצאות חודשיות'!B34:L34)</f>
        <v>599.79363636363644</v>
      </c>
      <c r="N34" s="374">
        <v>300</v>
      </c>
      <c r="O34" s="375" t="s">
        <v>299</v>
      </c>
    </row>
    <row r="35" spans="1:15">
      <c r="A35" t="s">
        <v>275</v>
      </c>
      <c r="B35" s="54">
        <f ca="1">AVERAGE('הוצאות חודשיות'!B35)</f>
        <v>0</v>
      </c>
      <c r="C35" s="54">
        <f ca="1">AVERAGE('הוצאות חודשיות'!B35:B35)</f>
        <v>0</v>
      </c>
      <c r="D35" s="54">
        <f ca="1">AVERAGE('הוצאות חודשיות'!B35:C35)</f>
        <v>410.6</v>
      </c>
      <c r="E35" s="54">
        <f ca="1">AVERAGE('הוצאות חודשיות'!B35:D35)</f>
        <v>273.73333333333335</v>
      </c>
      <c r="F35" s="54">
        <f ca="1">AVERAGE('הוצאות חודשיות'!B35:E35)</f>
        <v>205.3</v>
      </c>
      <c r="G35" s="54">
        <f ca="1">AVERAGE('הוצאות חודשיות'!B35:F35)</f>
        <v>164.24</v>
      </c>
      <c r="H35" s="54">
        <f ca="1">AVERAGE('הוצאות חודשיות'!B35:G35)</f>
        <v>136.86666666666667</v>
      </c>
      <c r="I35" s="54">
        <f ca="1">AVERAGE('הוצאות חודשיות'!B35:H35)</f>
        <v>117.31428571428572</v>
      </c>
      <c r="J35" s="54">
        <f ca="1">AVERAGE('הוצאות חודשיות'!B35:I35)</f>
        <v>102.65</v>
      </c>
      <c r="K35" s="54">
        <f ca="1">AVERAGE('הוצאות חודשיות'!B35:J35)</f>
        <v>91.244444444444454</v>
      </c>
      <c r="L35" s="54">
        <f ca="1">AVERAGE('הוצאות חודשיות'!B35:K35)</f>
        <v>82.12</v>
      </c>
      <c r="M35" s="54">
        <f ca="1">AVERAGE('הוצאות חודשיות'!B35:L35)</f>
        <v>74.654545454545456</v>
      </c>
      <c r="N35" s="374">
        <v>0</v>
      </c>
      <c r="O35" s="375"/>
    </row>
    <row r="36" spans="1:15">
      <c r="A36" t="s">
        <v>8</v>
      </c>
      <c r="B36" s="54">
        <f ca="1">AVERAGE('הוצאות חודשיות'!B36)</f>
        <v>0</v>
      </c>
      <c r="C36" s="54">
        <f ca="1">AVERAGE('הוצאות חודשיות'!B36:B36)</f>
        <v>0</v>
      </c>
      <c r="D36" s="54">
        <f ca="1">AVERAGE('הוצאות חודשיות'!B36:C36)</f>
        <v>0</v>
      </c>
      <c r="E36" s="54">
        <f ca="1">AVERAGE('הוצאות חודשיות'!B36:D36)</f>
        <v>0</v>
      </c>
      <c r="F36" s="54">
        <f ca="1">AVERAGE('הוצאות חודשיות'!B36:E36)</f>
        <v>0</v>
      </c>
      <c r="G36" s="54">
        <f ca="1">AVERAGE('הוצאות חודשיות'!B36:F36)</f>
        <v>0</v>
      </c>
      <c r="H36" s="54">
        <f ca="1">AVERAGE('הוצאות חודשיות'!B36:G36)</f>
        <v>0</v>
      </c>
      <c r="I36" s="54">
        <f ca="1">AVERAGE('הוצאות חודשיות'!B36:H36)</f>
        <v>0</v>
      </c>
      <c r="J36" s="54">
        <f ca="1">AVERAGE('הוצאות חודשיות'!B36:I36)</f>
        <v>0</v>
      </c>
      <c r="K36" s="54">
        <f ca="1">AVERAGE('הוצאות חודשיות'!B36:J36)</f>
        <v>0</v>
      </c>
      <c r="L36" s="54">
        <f ca="1">AVERAGE('הוצאות חודשיות'!B36:K36)</f>
        <v>0</v>
      </c>
      <c r="M36" s="54">
        <f ca="1">AVERAGE('הוצאות חודשיות'!B36:L36)</f>
        <v>0</v>
      </c>
      <c r="N36" s="374">
        <v>0</v>
      </c>
      <c r="O36" s="375"/>
    </row>
    <row r="37" spans="1:15">
      <c r="A37" t="s">
        <v>8</v>
      </c>
      <c r="B37" s="54">
        <f ca="1">AVERAGE('הוצאות חודשיות'!B37)</f>
        <v>0</v>
      </c>
      <c r="C37" s="54">
        <f ca="1">AVERAGE('הוצאות חודשיות'!B37:B37)</f>
        <v>0</v>
      </c>
      <c r="D37" s="54">
        <f ca="1">AVERAGE('הוצאות חודשיות'!B37:C37)</f>
        <v>0</v>
      </c>
      <c r="E37" s="54">
        <f ca="1">AVERAGE('הוצאות חודשיות'!B37:D37)</f>
        <v>0</v>
      </c>
      <c r="F37" s="54">
        <f ca="1">AVERAGE('הוצאות חודשיות'!B37:E37)</f>
        <v>0</v>
      </c>
      <c r="G37" s="54">
        <f ca="1">AVERAGE('הוצאות חודשיות'!B37:F37)</f>
        <v>0</v>
      </c>
      <c r="H37" s="54">
        <f ca="1">AVERAGE('הוצאות חודשיות'!B37:G37)</f>
        <v>0</v>
      </c>
      <c r="I37" s="54">
        <f ca="1">AVERAGE('הוצאות חודשיות'!B37:H37)</f>
        <v>0</v>
      </c>
      <c r="J37" s="54">
        <f ca="1">AVERAGE('הוצאות חודשיות'!B37:I37)</f>
        <v>0</v>
      </c>
      <c r="K37" s="54">
        <f ca="1">AVERAGE('הוצאות חודשיות'!B37:J37)</f>
        <v>0</v>
      </c>
      <c r="L37" s="54">
        <f ca="1">AVERAGE('הוצאות חודשיות'!B37:K37)</f>
        <v>0</v>
      </c>
      <c r="M37" s="54">
        <f ca="1">AVERAGE('הוצאות חודשיות'!B37:L37)</f>
        <v>0</v>
      </c>
      <c r="N37" s="374">
        <v>0</v>
      </c>
      <c r="O37" s="375"/>
    </row>
    <row r="38" spans="1:15" ht="13.5" thickBot="1">
      <c r="A38" s="384" t="s">
        <v>255</v>
      </c>
      <c r="B38" s="385">
        <f t="shared" ref="B38:N38" ca="1" si="1">SUM(B26:B37)</f>
        <v>15438.350000000002</v>
      </c>
      <c r="C38" s="385">
        <f t="shared" ca="1" si="1"/>
        <v>15438.350000000002</v>
      </c>
      <c r="D38" s="385">
        <f t="shared" ca="1" si="1"/>
        <v>13871.415000000003</v>
      </c>
      <c r="E38" s="385">
        <f t="shared" ca="1" si="1"/>
        <v>15054.663333333336</v>
      </c>
      <c r="F38" s="385">
        <f t="shared" ca="1" si="1"/>
        <v>14130.172500000001</v>
      </c>
      <c r="G38" s="385">
        <f t="shared" ca="1" si="1"/>
        <v>12164.137999999999</v>
      </c>
      <c r="H38" s="385">
        <f t="shared" ca="1" si="1"/>
        <v>10803.448333333332</v>
      </c>
      <c r="I38" s="385">
        <f t="shared" ca="1" si="1"/>
        <v>9831.527142857145</v>
      </c>
      <c r="J38" s="385">
        <f t="shared" ca="1" si="1"/>
        <v>9102.5862500000003</v>
      </c>
      <c r="K38" s="385">
        <f t="shared" ca="1" si="1"/>
        <v>8535.6322222222225</v>
      </c>
      <c r="L38" s="385">
        <f t="shared" ca="1" si="1"/>
        <v>8082.0689999999995</v>
      </c>
      <c r="M38" s="385">
        <f t="shared" ca="1" si="1"/>
        <v>7710.971818181818</v>
      </c>
      <c r="N38" s="386">
        <f t="shared" si="1"/>
        <v>9000</v>
      </c>
      <c r="O38" s="387"/>
    </row>
    <row r="39" spans="1:15" ht="13.5" thickBot="1">
      <c r="A39" s="380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2"/>
      <c r="O39" s="383"/>
    </row>
    <row r="40" spans="1:15">
      <c r="A40" s="404" t="s">
        <v>98</v>
      </c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6"/>
      <c r="O40" s="407"/>
    </row>
    <row r="41" spans="1:15">
      <c r="A41" s="408" t="s">
        <v>67</v>
      </c>
      <c r="B41" s="409">
        <v>1</v>
      </c>
      <c r="C41" s="409">
        <v>2</v>
      </c>
      <c r="D41" s="409">
        <v>3</v>
      </c>
      <c r="E41" s="409">
        <v>4</v>
      </c>
      <c r="F41" s="409">
        <v>5</v>
      </c>
      <c r="G41" s="409">
        <v>6</v>
      </c>
      <c r="H41" s="409">
        <v>7</v>
      </c>
      <c r="I41" s="409">
        <v>8</v>
      </c>
      <c r="J41" s="409">
        <v>9</v>
      </c>
      <c r="K41" s="409">
        <v>10</v>
      </c>
      <c r="L41" s="409">
        <v>11</v>
      </c>
      <c r="M41" s="409">
        <v>12</v>
      </c>
      <c r="N41" s="410" t="s">
        <v>181</v>
      </c>
      <c r="O41" s="411"/>
    </row>
    <row r="42" spans="1:15">
      <c r="A42" t="s">
        <v>99</v>
      </c>
      <c r="B42" s="54">
        <f ca="1">AVERAGE('הוצאות חודשיות'!B42)</f>
        <v>1299.8699999999999</v>
      </c>
      <c r="C42" s="54">
        <f ca="1">AVERAGE('הוצאות חודשיות'!B42:B42)</f>
        <v>1299.8699999999999</v>
      </c>
      <c r="D42" s="54">
        <f ca="1">AVERAGE('הוצאות חודשיות'!B42:C42)</f>
        <v>1308.4449999999999</v>
      </c>
      <c r="E42" s="54">
        <f ca="1">AVERAGE('הוצאות חודשיות'!B42:D42)</f>
        <v>1015.2166666666666</v>
      </c>
      <c r="F42" s="54">
        <f ca="1">AVERAGE('הוצאות חודשיות'!B42:E42)</f>
        <v>1097.3575000000001</v>
      </c>
      <c r="G42" s="54">
        <f ca="1">AVERAGE('הוצאות חודשיות'!B42:F42)</f>
        <v>877.88600000000008</v>
      </c>
      <c r="H42" s="54">
        <f ca="1">AVERAGE('הוצאות חודשיות'!B42:G42)</f>
        <v>731.57166666666672</v>
      </c>
      <c r="I42" s="54">
        <f ca="1">AVERAGE('הוצאות חודשיות'!B42:H42)</f>
        <v>627.06142857142856</v>
      </c>
      <c r="J42" s="54">
        <f ca="1">AVERAGE('הוצאות חודשיות'!B42:I42)</f>
        <v>548.67875000000004</v>
      </c>
      <c r="K42" s="54">
        <f ca="1">AVERAGE('הוצאות חודשיות'!B42:J42)</f>
        <v>487.7144444444445</v>
      </c>
      <c r="L42" s="54">
        <f ca="1">AVERAGE('הוצאות חודשיות'!B42:K42)</f>
        <v>438.94300000000004</v>
      </c>
      <c r="M42" s="54">
        <f ca="1">AVERAGE('הוצאות חודשיות'!B42:L42)</f>
        <v>399.03909090909093</v>
      </c>
      <c r="N42" s="374">
        <v>1400</v>
      </c>
      <c r="O42" s="375"/>
    </row>
    <row r="43" spans="1:15">
      <c r="A43" t="s">
        <v>100</v>
      </c>
      <c r="B43" s="54">
        <f ca="1">AVERAGE('הוצאות חודשיות'!B43)</f>
        <v>0</v>
      </c>
      <c r="C43" s="54">
        <f ca="1">AVERAGE('הוצאות חודשיות'!B43:B43)</f>
        <v>0</v>
      </c>
      <c r="D43" s="54">
        <f ca="1">AVERAGE('הוצאות חודשיות'!B43:C43)</f>
        <v>0</v>
      </c>
      <c r="E43" s="54">
        <f ca="1">AVERAGE('הוצאות חודשיות'!B43:D43)</f>
        <v>0</v>
      </c>
      <c r="F43" s="54">
        <f ca="1">AVERAGE('הוצאות חודשיות'!B43:E43)</f>
        <v>150</v>
      </c>
      <c r="G43" s="54">
        <f ca="1">AVERAGE('הוצאות חודשיות'!B43:F43)</f>
        <v>240</v>
      </c>
      <c r="H43" s="54">
        <f ca="1">AVERAGE('הוצאות חודשיות'!B43:G43)</f>
        <v>200</v>
      </c>
      <c r="I43" s="54">
        <f ca="1">AVERAGE('הוצאות חודשיות'!B43:H43)</f>
        <v>171.42857142857142</v>
      </c>
      <c r="J43" s="54">
        <f ca="1">AVERAGE('הוצאות חודשיות'!B43:I43)</f>
        <v>150</v>
      </c>
      <c r="K43" s="54">
        <f ca="1">AVERAGE('הוצאות חודשיות'!B43:J43)</f>
        <v>133.33333333333334</v>
      </c>
      <c r="L43" s="54">
        <f ca="1">AVERAGE('הוצאות חודשיות'!B43:K43)</f>
        <v>120</v>
      </c>
      <c r="M43" s="54">
        <f ca="1">AVERAGE('הוצאות חודשיות'!B43:L43)</f>
        <v>109.09090909090909</v>
      </c>
      <c r="N43" s="374">
        <v>200</v>
      </c>
      <c r="O43" s="375"/>
    </row>
    <row r="44" spans="1:15">
      <c r="A44" t="s">
        <v>101</v>
      </c>
      <c r="B44" s="54">
        <f ca="1">AVERAGE('הוצאות חודשיות'!B44)</f>
        <v>0</v>
      </c>
      <c r="C44" s="54">
        <f ca="1">AVERAGE('הוצאות חודשיות'!B44:B44)</f>
        <v>0</v>
      </c>
      <c r="D44" s="54">
        <f ca="1">AVERAGE('הוצאות חודשיות'!B44:C44)</f>
        <v>0</v>
      </c>
      <c r="E44" s="54">
        <f ca="1">AVERAGE('הוצאות חודשיות'!B44:D44)</f>
        <v>0</v>
      </c>
      <c r="F44" s="54">
        <f ca="1">AVERAGE('הוצאות חודשיות'!B44:E44)</f>
        <v>0</v>
      </c>
      <c r="G44" s="54">
        <f ca="1">AVERAGE('הוצאות חודשיות'!B44:F44)</f>
        <v>0</v>
      </c>
      <c r="H44" s="54">
        <f ca="1">AVERAGE('הוצאות חודשיות'!B44:G44)</f>
        <v>0</v>
      </c>
      <c r="I44" s="54">
        <f ca="1">AVERAGE('הוצאות חודשיות'!B44:H44)</f>
        <v>0</v>
      </c>
      <c r="J44" s="54">
        <f ca="1">AVERAGE('הוצאות חודשיות'!B44:I44)</f>
        <v>148.375</v>
      </c>
      <c r="K44" s="54">
        <f ca="1">AVERAGE('הוצאות חודשיות'!B44:J44)</f>
        <v>131.88888888888889</v>
      </c>
      <c r="L44" s="54">
        <f ca="1">AVERAGE('הוצאות חודשיות'!B44:K44)</f>
        <v>118.7</v>
      </c>
      <c r="M44" s="54">
        <f ca="1">AVERAGE('הוצאות חודשיות'!B44:L44)</f>
        <v>252.27272727272728</v>
      </c>
      <c r="N44" s="374">
        <v>300</v>
      </c>
      <c r="O44" s="375"/>
    </row>
    <row r="45" spans="1:15">
      <c r="A45" t="s">
        <v>102</v>
      </c>
      <c r="B45" s="54">
        <f ca="1">AVERAGE('הוצאות חודשיות'!B45)</f>
        <v>0</v>
      </c>
      <c r="C45" s="54">
        <f ca="1">AVERAGE('הוצאות חודשיות'!B45:B45)</f>
        <v>0</v>
      </c>
      <c r="D45" s="54">
        <f ca="1">AVERAGE('הוצאות חודשיות'!B45:C45)</f>
        <v>0</v>
      </c>
      <c r="E45" s="54">
        <f ca="1">AVERAGE('הוצאות חודשיות'!B45:D45)</f>
        <v>394.91666666666669</v>
      </c>
      <c r="F45" s="54">
        <f ca="1">AVERAGE('הוצאות חודשיות'!B45:E45)</f>
        <v>593.08249999999998</v>
      </c>
      <c r="G45" s="54">
        <f ca="1">AVERAGE('הוצאות חודשיות'!B45:F45)</f>
        <v>711.41599999999994</v>
      </c>
      <c r="H45" s="54">
        <f ca="1">AVERAGE('הוצאות חודשיות'!B45:G45)</f>
        <v>790.30499999999995</v>
      </c>
      <c r="I45" s="54">
        <f ca="1">AVERAGE('הוצאות חודשיות'!B45:H45)</f>
        <v>677.40428571428572</v>
      </c>
      <c r="J45" s="54">
        <f ca="1">AVERAGE('הוצאות חודשיות'!B45:I45)</f>
        <v>592.72874999999999</v>
      </c>
      <c r="K45" s="54">
        <f ca="1">AVERAGE('הוצאות חודשיות'!B45:J45)</f>
        <v>526.87</v>
      </c>
      <c r="L45" s="54">
        <f ca="1">AVERAGE('הוצאות חודשיות'!B45:K45)</f>
        <v>888.88300000000004</v>
      </c>
      <c r="M45" s="54">
        <f ca="1">AVERAGE('הוצאות חודשיות'!B45:L45)</f>
        <v>808.07545454545459</v>
      </c>
      <c r="N45" s="374">
        <v>710</v>
      </c>
      <c r="O45" s="375"/>
    </row>
    <row r="46" spans="1:15">
      <c r="A46" t="s">
        <v>103</v>
      </c>
      <c r="B46" s="54">
        <f ca="1">AVERAGE('הוצאות חודשיות'!B46)</f>
        <v>410.25</v>
      </c>
      <c r="C46" s="54">
        <f ca="1">AVERAGE('הוצאות חודשיות'!B46:B46)</f>
        <v>410.25</v>
      </c>
      <c r="D46" s="54">
        <f ca="1">AVERAGE('הוצאות חודשיות'!B46:C46)</f>
        <v>477.56</v>
      </c>
      <c r="E46" s="54">
        <f ca="1">AVERAGE('הוצאות חודשיות'!B46:D46)</f>
        <v>341.84</v>
      </c>
      <c r="F46" s="54">
        <f ca="1">AVERAGE('הוצאות חודשיות'!B46:E46)</f>
        <v>313.67500000000001</v>
      </c>
      <c r="G46" s="54">
        <f ca="1">AVERAGE('הוצאות חודשיות'!B46:F46)</f>
        <v>250.94</v>
      </c>
      <c r="H46" s="54">
        <f ca="1">AVERAGE('הוצאות חודשיות'!B46:G46)</f>
        <v>209.11666666666667</v>
      </c>
      <c r="I46" s="54">
        <f ca="1">AVERAGE('הוצאות חודשיות'!B46:H46)</f>
        <v>179.24285714285716</v>
      </c>
      <c r="J46" s="54">
        <f ca="1">AVERAGE('הוצאות חודשיות'!B46:I46)</f>
        <v>156.83750000000001</v>
      </c>
      <c r="K46" s="54">
        <f ca="1">AVERAGE('הוצאות חודשיות'!B46:J46)</f>
        <v>139.41111111111113</v>
      </c>
      <c r="L46" s="54">
        <f ca="1">AVERAGE('הוצאות חודשיות'!B46:K46)</f>
        <v>125.47</v>
      </c>
      <c r="M46" s="54">
        <f ca="1">AVERAGE('הוצאות חודשיות'!B46:L46)</f>
        <v>114.06363636363636</v>
      </c>
      <c r="N46" s="374">
        <v>500</v>
      </c>
      <c r="O46" s="375"/>
    </row>
    <row r="47" spans="1:15">
      <c r="A47" t="s">
        <v>138</v>
      </c>
      <c r="B47" s="54">
        <f ca="1">AVERAGE('הוצאות חודשיות'!B47)</f>
        <v>245.06</v>
      </c>
      <c r="C47" s="54">
        <f ca="1">AVERAGE('הוצאות חודשיות'!B47:B47)</f>
        <v>245.06</v>
      </c>
      <c r="D47" s="54">
        <f ca="1">AVERAGE('הוצאות חודשיות'!B47:C47)</f>
        <v>169.43</v>
      </c>
      <c r="E47" s="54">
        <f ca="1">AVERAGE('הוצאות חודשיות'!B47:D47)</f>
        <v>112.95333333333333</v>
      </c>
      <c r="F47" s="54">
        <f ca="1">AVERAGE('הוצאות חודשיות'!B47:E47)</f>
        <v>100.24000000000001</v>
      </c>
      <c r="G47" s="54">
        <f ca="1">AVERAGE('הוצאות חודשיות'!B47:F47)</f>
        <v>80.192000000000007</v>
      </c>
      <c r="H47" s="54">
        <f ca="1">AVERAGE('הוצאות חודשיות'!B47:G47)</f>
        <v>66.826666666666668</v>
      </c>
      <c r="I47" s="54">
        <f ca="1">AVERAGE('הוצאות חודשיות'!B47:H47)</f>
        <v>57.280000000000008</v>
      </c>
      <c r="J47" s="54">
        <f ca="1">AVERAGE('הוצאות חודשיות'!B47:I47)</f>
        <v>50.120000000000005</v>
      </c>
      <c r="K47" s="54">
        <f ca="1">AVERAGE('הוצאות חודשיות'!B47:J47)</f>
        <v>44.551111111111112</v>
      </c>
      <c r="L47" s="54">
        <f ca="1">AVERAGE('הוצאות חודשיות'!B47:K47)</f>
        <v>40.096000000000004</v>
      </c>
      <c r="M47" s="54">
        <f ca="1">AVERAGE('הוצאות חודשיות'!B47:L47)</f>
        <v>36.450909090909093</v>
      </c>
      <c r="N47" s="374">
        <v>30</v>
      </c>
      <c r="O47" s="375"/>
    </row>
    <row r="48" spans="1:15">
      <c r="A48" t="s">
        <v>104</v>
      </c>
      <c r="B48" s="54">
        <f ca="1">AVERAGE('הוצאות חודשיות'!B48)</f>
        <v>0</v>
      </c>
      <c r="C48" s="54">
        <f ca="1">AVERAGE('הוצאות חודשיות'!B48:B48)</f>
        <v>0</v>
      </c>
      <c r="D48" s="54">
        <f ca="1">AVERAGE('הוצאות חודשיות'!B48:C48)</f>
        <v>0</v>
      </c>
      <c r="E48" s="54">
        <f ca="1">AVERAGE('הוצאות חודשיות'!B48:D48)</f>
        <v>0</v>
      </c>
      <c r="F48" s="54">
        <f ca="1">AVERAGE('הוצאות חודשיות'!B48:E48)</f>
        <v>0</v>
      </c>
      <c r="G48" s="54">
        <f ca="1">AVERAGE('הוצאות חודשיות'!B48:F48)</f>
        <v>0</v>
      </c>
      <c r="H48" s="54">
        <f ca="1">AVERAGE('הוצאות חודשיות'!B48:G48)</f>
        <v>0</v>
      </c>
      <c r="I48" s="54">
        <f ca="1">AVERAGE('הוצאות חודשיות'!B48:H48)</f>
        <v>0</v>
      </c>
      <c r="J48" s="54">
        <f ca="1">AVERAGE('הוצאות חודשיות'!B48:I48)</f>
        <v>0</v>
      </c>
      <c r="K48" s="54">
        <f ca="1">AVERAGE('הוצאות חודשיות'!B48:J48)</f>
        <v>0</v>
      </c>
      <c r="L48" s="54">
        <f ca="1">AVERAGE('הוצאות חודשיות'!B48:K48)</f>
        <v>0</v>
      </c>
      <c r="M48" s="54">
        <f ca="1">AVERAGE('הוצאות חודשיות'!B48:L48)</f>
        <v>0</v>
      </c>
      <c r="N48" s="374">
        <v>100</v>
      </c>
      <c r="O48" s="375"/>
    </row>
    <row r="49" spans="1:15">
      <c r="A49" t="s">
        <v>278</v>
      </c>
      <c r="B49" s="54">
        <f ca="1">AVERAGE('הוצאות חודשיות'!B49)</f>
        <v>0</v>
      </c>
      <c r="C49" s="54">
        <f ca="1">AVERAGE('הוצאות חודשיות'!B49:B49)</f>
        <v>0</v>
      </c>
      <c r="D49" s="54">
        <f ca="1">AVERAGE('הוצאות חודשיות'!B49:C49)</f>
        <v>0</v>
      </c>
      <c r="E49" s="54">
        <f ca="1">AVERAGE('הוצאות חודשיות'!B49:D49)</f>
        <v>0</v>
      </c>
      <c r="F49" s="54">
        <f ca="1">AVERAGE('הוצאות חודשיות'!B49:E49)</f>
        <v>150</v>
      </c>
      <c r="G49" s="54">
        <f ca="1">AVERAGE('הוצאות חודשיות'!B49:F49)</f>
        <v>120</v>
      </c>
      <c r="H49" s="54">
        <f ca="1">AVERAGE('הוצאות חודשיות'!B49:G49)</f>
        <v>100</v>
      </c>
      <c r="I49" s="54">
        <f ca="1">AVERAGE('הוצאות חודשיות'!B49:H49)</f>
        <v>85.714285714285708</v>
      </c>
      <c r="J49" s="54">
        <f ca="1">AVERAGE('הוצאות חודשיות'!B49:I49)</f>
        <v>75</v>
      </c>
      <c r="K49" s="54">
        <f ca="1">AVERAGE('הוצאות חודשיות'!B49:J49)</f>
        <v>66.666666666666671</v>
      </c>
      <c r="L49" s="54">
        <f ca="1">AVERAGE('הוצאות חודשיות'!B49:K49)</f>
        <v>60</v>
      </c>
      <c r="M49" s="54">
        <f ca="1">AVERAGE('הוצאות חודשיות'!B49:L49)</f>
        <v>54.545454545454547</v>
      </c>
      <c r="N49" s="374">
        <v>0</v>
      </c>
      <c r="O49" s="375"/>
    </row>
    <row r="50" spans="1:15">
      <c r="A50" t="s">
        <v>280</v>
      </c>
      <c r="B50" s="54">
        <f ca="1">AVERAGE('הוצאות חודשיות'!B50)</f>
        <v>0</v>
      </c>
      <c r="C50" s="54">
        <f ca="1">AVERAGE('הוצאות חודשיות'!B50:B50)</f>
        <v>0</v>
      </c>
      <c r="D50" s="54">
        <f ca="1">AVERAGE('הוצאות חודשיות'!B50:C50)</f>
        <v>0</v>
      </c>
      <c r="E50" s="54">
        <f ca="1">AVERAGE('הוצאות חודשיות'!B50:D50)</f>
        <v>0</v>
      </c>
      <c r="F50" s="54">
        <f ca="1">AVERAGE('הוצאות חודשיות'!B50:E50)</f>
        <v>0</v>
      </c>
      <c r="G50" s="54">
        <f ca="1">AVERAGE('הוצאות חודשיות'!B50:F50)</f>
        <v>0</v>
      </c>
      <c r="H50" s="54">
        <f ca="1">AVERAGE('הוצאות חודשיות'!B50:G50)</f>
        <v>0</v>
      </c>
      <c r="I50" s="54">
        <f ca="1">AVERAGE('הוצאות חודשיות'!B50:H50)</f>
        <v>0</v>
      </c>
      <c r="J50" s="54">
        <f ca="1">AVERAGE('הוצאות חודשיות'!B50:I50)</f>
        <v>0</v>
      </c>
      <c r="K50" s="54">
        <f ca="1">AVERAGE('הוצאות חודשיות'!B50:J50)</f>
        <v>0</v>
      </c>
      <c r="L50" s="54">
        <f ca="1">AVERAGE('הוצאות חודשיות'!B50:K50)</f>
        <v>0</v>
      </c>
      <c r="M50" s="54">
        <f ca="1">AVERAGE('הוצאות חודשיות'!B50:L50)</f>
        <v>0</v>
      </c>
      <c r="N50" s="374">
        <v>0</v>
      </c>
      <c r="O50" s="375"/>
    </row>
    <row r="51" spans="1:15">
      <c r="A51" t="s">
        <v>281</v>
      </c>
      <c r="B51" s="54">
        <f ca="1">AVERAGE('הוצאות חודשיות'!B51)</f>
        <v>25.36</v>
      </c>
      <c r="C51" s="54">
        <f ca="1">AVERAGE('הוצאות חודשיות'!B51:B51)</f>
        <v>25.36</v>
      </c>
      <c r="D51" s="54">
        <f ca="1">AVERAGE('הוצאות חודשיות'!B51:C51)</f>
        <v>36.18</v>
      </c>
      <c r="E51" s="54">
        <f ca="1">AVERAGE('הוצאות חודשיות'!B51:D51)</f>
        <v>24.12</v>
      </c>
      <c r="F51" s="54">
        <f ca="1">AVERAGE('הוצאות חודשיות'!B51:E51)</f>
        <v>18.09</v>
      </c>
      <c r="G51" s="54">
        <f ca="1">AVERAGE('הוצאות חודשיות'!B51:F51)</f>
        <v>14.472</v>
      </c>
      <c r="H51" s="54">
        <f ca="1">AVERAGE('הוצאות חודשיות'!B51:G51)</f>
        <v>12.06</v>
      </c>
      <c r="I51" s="54">
        <f ca="1">AVERAGE('הוצאות חודשיות'!B51:H51)</f>
        <v>10.337142857142856</v>
      </c>
      <c r="J51" s="54">
        <f ca="1">AVERAGE('הוצאות חודשיות'!B51:I51)</f>
        <v>9.0449999999999999</v>
      </c>
      <c r="K51" s="54">
        <f ca="1">AVERAGE('הוצאות חודשיות'!B51:J51)</f>
        <v>8.0399999999999991</v>
      </c>
      <c r="L51" s="54">
        <f ca="1">AVERAGE('הוצאות חודשיות'!B51:K51)</f>
        <v>7.2359999999999998</v>
      </c>
      <c r="M51" s="54">
        <f ca="1">AVERAGE('הוצאות חודשיות'!B51:L51)</f>
        <v>6.5781818181818181</v>
      </c>
      <c r="N51" s="374">
        <v>0</v>
      </c>
      <c r="O51" s="375"/>
    </row>
    <row r="52" spans="1:15">
      <c r="A52" t="s">
        <v>310</v>
      </c>
      <c r="B52" s="54">
        <f ca="1">AVERAGE('הוצאות חודשיות'!B52)</f>
        <v>0</v>
      </c>
      <c r="C52" s="54">
        <f ca="1">AVERAGE('הוצאות חודשיות'!B52:B52)</f>
        <v>0</v>
      </c>
      <c r="D52" s="54">
        <f ca="1">AVERAGE('הוצאות חודשיות'!B52:C52)</f>
        <v>0</v>
      </c>
      <c r="E52" s="54">
        <f ca="1">AVERAGE('הוצאות חודשיות'!B52:D52)</f>
        <v>0</v>
      </c>
      <c r="F52" s="54">
        <f ca="1">AVERAGE('הוצאות חודשיות'!B52:E52)</f>
        <v>0</v>
      </c>
      <c r="G52" s="54">
        <f ca="1">AVERAGE('הוצאות חודשיות'!B52:F52)</f>
        <v>0</v>
      </c>
      <c r="H52" s="54">
        <f ca="1">AVERAGE('הוצאות חודשיות'!B52:G52)</f>
        <v>0</v>
      </c>
      <c r="I52" s="54">
        <f ca="1">AVERAGE('הוצאות חודשיות'!B52:H52)</f>
        <v>0</v>
      </c>
      <c r="J52" s="54">
        <f ca="1">AVERAGE('הוצאות חודשיות'!B52:I52)</f>
        <v>0</v>
      </c>
      <c r="K52" s="54">
        <f ca="1">AVERAGE('הוצאות חודשיות'!B52:J52)</f>
        <v>0</v>
      </c>
      <c r="L52" s="54">
        <f ca="1">AVERAGE('הוצאות חודשיות'!B52:K52)</f>
        <v>0</v>
      </c>
      <c r="M52" s="54">
        <f ca="1">AVERAGE('הוצאות חודשיות'!B52:L52)</f>
        <v>0</v>
      </c>
      <c r="N52" s="374">
        <v>0</v>
      </c>
      <c r="O52" s="375"/>
    </row>
    <row r="53" spans="1:15">
      <c r="A53" t="s">
        <v>8</v>
      </c>
      <c r="B53" s="54">
        <f ca="1">AVERAGE('הוצאות חודשיות'!B53)</f>
        <v>0</v>
      </c>
      <c r="C53" s="54">
        <f ca="1">AVERAGE('הוצאות חודשיות'!B53:B53)</f>
        <v>0</v>
      </c>
      <c r="D53" s="54">
        <f ca="1">AVERAGE('הוצאות חודשיות'!B53:C53)</f>
        <v>0</v>
      </c>
      <c r="E53" s="54">
        <f ca="1">AVERAGE('הוצאות חודשיות'!B53:D53)</f>
        <v>0</v>
      </c>
      <c r="F53" s="54">
        <f ca="1">AVERAGE('הוצאות חודשיות'!B53:E53)</f>
        <v>0</v>
      </c>
      <c r="G53" s="54">
        <f ca="1">AVERAGE('הוצאות חודשיות'!B53:F53)</f>
        <v>0</v>
      </c>
      <c r="H53" s="54">
        <f ca="1">AVERAGE('הוצאות חודשיות'!B53:G53)</f>
        <v>0</v>
      </c>
      <c r="I53" s="54">
        <f ca="1">AVERAGE('הוצאות חודשיות'!B53:H53)</f>
        <v>0</v>
      </c>
      <c r="J53" s="54">
        <f ca="1">AVERAGE('הוצאות חודשיות'!B53:I53)</f>
        <v>0</v>
      </c>
      <c r="K53" s="54">
        <f ca="1">AVERAGE('הוצאות חודשיות'!B53:J53)</f>
        <v>0</v>
      </c>
      <c r="L53" s="54">
        <f ca="1">AVERAGE('הוצאות חודשיות'!B53:K53)</f>
        <v>0</v>
      </c>
      <c r="M53" s="54">
        <f ca="1">AVERAGE('הוצאות חודשיות'!B53:L53)</f>
        <v>0</v>
      </c>
      <c r="N53" s="374">
        <v>0</v>
      </c>
      <c r="O53" s="375"/>
    </row>
    <row r="54" spans="1:15" ht="13.5" thickBot="1">
      <c r="A54" s="384" t="s">
        <v>256</v>
      </c>
      <c r="B54" s="385">
        <f t="shared" ref="B54:N54" ca="1" si="2">SUM(B42:B53)</f>
        <v>1980.5399999999997</v>
      </c>
      <c r="C54" s="385">
        <f t="shared" ca="1" si="2"/>
        <v>1980.5399999999997</v>
      </c>
      <c r="D54" s="385">
        <f t="shared" ca="1" si="2"/>
        <v>1991.615</v>
      </c>
      <c r="E54" s="385">
        <f t="shared" ca="1" si="2"/>
        <v>1889.0466666666664</v>
      </c>
      <c r="F54" s="385">
        <f t="shared" ca="1" si="2"/>
        <v>2422.4450000000006</v>
      </c>
      <c r="G54" s="385">
        <f t="shared" ca="1" si="2"/>
        <v>2294.9059999999999</v>
      </c>
      <c r="H54" s="385">
        <f t="shared" ca="1" si="2"/>
        <v>2109.8799999999997</v>
      </c>
      <c r="I54" s="385">
        <f t="shared" ca="1" si="2"/>
        <v>1808.4685714285715</v>
      </c>
      <c r="J54" s="385">
        <f t="shared" ca="1" si="2"/>
        <v>1730.7850000000003</v>
      </c>
      <c r="K54" s="385">
        <f t="shared" ca="1" si="2"/>
        <v>1538.4755555555557</v>
      </c>
      <c r="L54" s="385">
        <f t="shared" ca="1" si="2"/>
        <v>1799.3280000000002</v>
      </c>
      <c r="M54" s="385">
        <f t="shared" ca="1" si="2"/>
        <v>1780.1163636363635</v>
      </c>
      <c r="N54" s="386">
        <f t="shared" si="2"/>
        <v>3240</v>
      </c>
      <c r="O54" s="387"/>
    </row>
    <row r="55" spans="1:15" ht="13.5" thickBot="1">
      <c r="A55" s="380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2"/>
      <c r="O55" s="383"/>
    </row>
    <row r="56" spans="1:15">
      <c r="A56" s="404" t="s">
        <v>105</v>
      </c>
      <c r="B56" s="405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6"/>
      <c r="O56" s="407"/>
    </row>
    <row r="57" spans="1:15">
      <c r="A57" s="408" t="s">
        <v>67</v>
      </c>
      <c r="B57" s="409">
        <v>1</v>
      </c>
      <c r="C57" s="409">
        <v>2</v>
      </c>
      <c r="D57" s="409">
        <v>3</v>
      </c>
      <c r="E57" s="409">
        <v>4</v>
      </c>
      <c r="F57" s="409">
        <v>5</v>
      </c>
      <c r="G57" s="409">
        <v>6</v>
      </c>
      <c r="H57" s="409">
        <v>7</v>
      </c>
      <c r="I57" s="409">
        <v>8</v>
      </c>
      <c r="J57" s="409">
        <v>9</v>
      </c>
      <c r="K57" s="409">
        <v>10</v>
      </c>
      <c r="L57" s="409">
        <v>11</v>
      </c>
      <c r="M57" s="409">
        <v>12</v>
      </c>
      <c r="N57" s="410" t="s">
        <v>181</v>
      </c>
      <c r="O57" s="411"/>
    </row>
    <row r="58" spans="1:15">
      <c r="A58" t="s">
        <v>106</v>
      </c>
      <c r="B58" s="54">
        <f ca="1">AVERAGE('הוצאות חודשיות'!B58)</f>
        <v>0</v>
      </c>
      <c r="C58" s="54">
        <f ca="1">AVERAGE('הוצאות חודשיות'!B58:B58)</f>
        <v>0</v>
      </c>
      <c r="D58" s="54">
        <f ca="1">AVERAGE('הוצאות חודשיות'!B58:C58)</f>
        <v>0</v>
      </c>
      <c r="E58" s="54">
        <f ca="1">AVERAGE('הוצאות חודשיות'!B58:D58)</f>
        <v>0</v>
      </c>
      <c r="F58" s="54">
        <f ca="1">AVERAGE('הוצאות חודשיות'!B58:E58)</f>
        <v>0</v>
      </c>
      <c r="G58" s="54">
        <f ca="1">AVERAGE('הוצאות חודשיות'!B58:F58)</f>
        <v>0</v>
      </c>
      <c r="H58" s="54">
        <f ca="1">AVERAGE('הוצאות חודשיות'!B58:G58)</f>
        <v>0</v>
      </c>
      <c r="I58" s="54">
        <f ca="1">AVERAGE('הוצאות חודשיות'!B58:H58)</f>
        <v>0</v>
      </c>
      <c r="J58" s="54">
        <f ca="1">AVERAGE('הוצאות חודשיות'!B58:I58)</f>
        <v>0</v>
      </c>
      <c r="K58" s="54">
        <f ca="1">AVERAGE('הוצאות חודשיות'!B58:J58)</f>
        <v>0</v>
      </c>
      <c r="L58" s="54">
        <f ca="1">AVERAGE('הוצאות חודשיות'!B58:K58)</f>
        <v>0</v>
      </c>
      <c r="M58" s="54">
        <f ca="1">AVERAGE('הוצאות חודשיות'!B58:L58)</f>
        <v>0</v>
      </c>
      <c r="N58" s="374">
        <v>0</v>
      </c>
      <c r="O58" s="375"/>
    </row>
    <row r="59" spans="1:15">
      <c r="A59" t="s">
        <v>107</v>
      </c>
      <c r="B59" s="54">
        <f ca="1">AVERAGE('הוצאות חודשיות'!B59)</f>
        <v>628</v>
      </c>
      <c r="C59" s="54">
        <f ca="1">AVERAGE('הוצאות חודשיות'!B59:B59)</f>
        <v>628</v>
      </c>
      <c r="D59" s="54">
        <f ca="1">AVERAGE('הוצאות חודשיות'!B59:C59)</f>
        <v>628</v>
      </c>
      <c r="E59" s="54">
        <f ca="1">AVERAGE('הוצאות חודשיות'!B59:D59)</f>
        <v>418.66666666666669</v>
      </c>
      <c r="F59" s="54">
        <f ca="1">AVERAGE('הוצאות חודשיות'!B59:E59)</f>
        <v>314</v>
      </c>
      <c r="G59" s="54">
        <f ca="1">AVERAGE('הוצאות חודשיות'!B59:F59)</f>
        <v>251.2</v>
      </c>
      <c r="H59" s="54">
        <f ca="1">AVERAGE('הוצאות חודשיות'!B59:G59)</f>
        <v>209.33333333333334</v>
      </c>
      <c r="I59" s="54">
        <f ca="1">AVERAGE('הוצאות חודשיות'!B59:H59)</f>
        <v>179.42857142857142</v>
      </c>
      <c r="J59" s="54">
        <f ca="1">AVERAGE('הוצאות חודשיות'!B59:I59)</f>
        <v>157</v>
      </c>
      <c r="K59" s="54">
        <f ca="1">AVERAGE('הוצאות חודשיות'!B59:J59)</f>
        <v>139.55555555555554</v>
      </c>
      <c r="L59" s="54">
        <f ca="1">AVERAGE('הוצאות חודשיות'!B59:K59)</f>
        <v>125.6</v>
      </c>
      <c r="M59" s="54">
        <f ca="1">AVERAGE('הוצאות חודשיות'!B59:L59)</f>
        <v>114.18181818181819</v>
      </c>
      <c r="N59" s="374">
        <v>650</v>
      </c>
      <c r="O59" s="375"/>
    </row>
    <row r="60" spans="1:15">
      <c r="A60" t="s">
        <v>311</v>
      </c>
      <c r="B60" s="54">
        <f ca="1">AVERAGE('הוצאות חודשיות'!B60)</f>
        <v>0</v>
      </c>
      <c r="C60" s="54">
        <f ca="1">AVERAGE('הוצאות חודשיות'!B60:B60)</f>
        <v>0</v>
      </c>
      <c r="D60" s="54">
        <f ca="1">AVERAGE('הוצאות חודשיות'!B60:C60)</f>
        <v>0</v>
      </c>
      <c r="E60" s="54">
        <f ca="1">AVERAGE('הוצאות חודשיות'!B60:D60)</f>
        <v>0</v>
      </c>
      <c r="F60" s="54">
        <f ca="1">AVERAGE('הוצאות חודשיות'!B60:E60)</f>
        <v>0</v>
      </c>
      <c r="G60" s="54">
        <f ca="1">AVERAGE('הוצאות חודשיות'!B60:F60)</f>
        <v>0</v>
      </c>
      <c r="H60" s="54">
        <f ca="1">AVERAGE('הוצאות חודשיות'!B60:G60)</f>
        <v>0</v>
      </c>
      <c r="I60" s="54">
        <f ca="1">AVERAGE('הוצאות חודשיות'!B60:H60)</f>
        <v>0</v>
      </c>
      <c r="J60" s="54">
        <f ca="1">AVERAGE('הוצאות חודשיות'!B60:I60)</f>
        <v>0</v>
      </c>
      <c r="K60" s="54">
        <f ca="1">AVERAGE('הוצאות חודשיות'!B60:J60)</f>
        <v>0</v>
      </c>
      <c r="L60" s="54">
        <f ca="1">AVERAGE('הוצאות חודשיות'!B60:K60)</f>
        <v>0</v>
      </c>
      <c r="M60" s="54">
        <f ca="1">AVERAGE('הוצאות חודשיות'!B60:L60)</f>
        <v>0</v>
      </c>
      <c r="N60" s="374">
        <v>0</v>
      </c>
      <c r="O60" s="375"/>
    </row>
    <row r="61" spans="1:15">
      <c r="A61" t="s">
        <v>108</v>
      </c>
      <c r="B61" s="54">
        <f ca="1">AVERAGE('הוצאות חודשיות'!B61)</f>
        <v>44</v>
      </c>
      <c r="C61" s="54">
        <f ca="1">AVERAGE('הוצאות חודשיות'!B61:B61)</f>
        <v>44</v>
      </c>
      <c r="D61" s="54">
        <f ca="1">AVERAGE('הוצאות חודשיות'!B61:C61)</f>
        <v>22</v>
      </c>
      <c r="E61" s="54">
        <f ca="1">AVERAGE('הוצאות חודשיות'!B61:D61)</f>
        <v>14.666666666666666</v>
      </c>
      <c r="F61" s="54">
        <f ca="1">AVERAGE('הוצאות חודשיות'!B61:E61)</f>
        <v>11</v>
      </c>
      <c r="G61" s="54">
        <f ca="1">AVERAGE('הוצאות חודשיות'!B61:F61)</f>
        <v>8.8000000000000007</v>
      </c>
      <c r="H61" s="54">
        <f ca="1">AVERAGE('הוצאות חודשיות'!B61:G61)</f>
        <v>7.333333333333333</v>
      </c>
      <c r="I61" s="54">
        <f ca="1">AVERAGE('הוצאות חודשיות'!B61:H61)</f>
        <v>6.2857142857142856</v>
      </c>
      <c r="J61" s="54">
        <f ca="1">AVERAGE('הוצאות חודשיות'!B61:I61)</f>
        <v>5.5</v>
      </c>
      <c r="K61" s="54">
        <f ca="1">AVERAGE('הוצאות חודשיות'!B61:J61)</f>
        <v>4.8888888888888893</v>
      </c>
      <c r="L61" s="54">
        <f ca="1">AVERAGE('הוצאות חודשיות'!B61:K61)</f>
        <v>4.4000000000000004</v>
      </c>
      <c r="M61" s="54">
        <f ca="1">AVERAGE('הוצאות חודשיות'!B61:L61)</f>
        <v>4</v>
      </c>
      <c r="N61" s="374">
        <v>0</v>
      </c>
      <c r="O61" s="375"/>
    </row>
    <row r="62" spans="1:15">
      <c r="A62" t="s">
        <v>109</v>
      </c>
      <c r="B62" s="54">
        <f ca="1">AVERAGE('הוצאות חודשיות'!B62)</f>
        <v>450</v>
      </c>
      <c r="C62" s="54">
        <f ca="1">AVERAGE('הוצאות חודשיות'!B62:B62)</f>
        <v>450</v>
      </c>
      <c r="D62" s="54">
        <f ca="1">AVERAGE('הוצאות חודשיות'!B62:C62)</f>
        <v>300</v>
      </c>
      <c r="E62" s="54">
        <f ca="1">AVERAGE('הוצאות חודשיות'!B62:D62)</f>
        <v>350</v>
      </c>
      <c r="F62" s="54">
        <f ca="1">AVERAGE('הוצאות חודשיות'!B62:E62)</f>
        <v>524.5</v>
      </c>
      <c r="G62" s="54">
        <f ca="1">AVERAGE('הוצאות חודשיות'!B62:F62)</f>
        <v>419.6</v>
      </c>
      <c r="H62" s="54">
        <f ca="1">AVERAGE('הוצאות חודשיות'!B62:G62)</f>
        <v>349.66666666666669</v>
      </c>
      <c r="I62" s="54">
        <f ca="1">AVERAGE('הוצאות חודשיות'!B62:H62)</f>
        <v>299.71428571428572</v>
      </c>
      <c r="J62" s="54">
        <f ca="1">AVERAGE('הוצאות חודשיות'!B62:I62)</f>
        <v>262.25</v>
      </c>
      <c r="K62" s="54">
        <f ca="1">AVERAGE('הוצאות חודשיות'!B62:J62)</f>
        <v>233.11111111111111</v>
      </c>
      <c r="L62" s="54">
        <f ca="1">AVERAGE('הוצאות חודשיות'!B62:K62)</f>
        <v>209.8</v>
      </c>
      <c r="M62" s="54">
        <f ca="1">AVERAGE('הוצאות חודשיות'!B62:L62)</f>
        <v>190.72727272727272</v>
      </c>
      <c r="N62" s="374">
        <v>600</v>
      </c>
      <c r="O62" s="375"/>
    </row>
    <row r="63" spans="1:15">
      <c r="A63" t="s">
        <v>110</v>
      </c>
      <c r="B63" s="54">
        <f ca="1">AVERAGE('הוצאות חודשיות'!B63)</f>
        <v>0</v>
      </c>
      <c r="C63" s="54">
        <f ca="1">AVERAGE('הוצאות חודשיות'!B63:B63)</f>
        <v>0</v>
      </c>
      <c r="D63" s="54">
        <f ca="1">AVERAGE('הוצאות חודשיות'!B63:C63)</f>
        <v>0</v>
      </c>
      <c r="E63" s="54">
        <f ca="1">AVERAGE('הוצאות חודשיות'!B63:D63)</f>
        <v>0</v>
      </c>
      <c r="F63" s="54">
        <f ca="1">AVERAGE('הוצאות חודשיות'!B63:E63)</f>
        <v>0</v>
      </c>
      <c r="G63" s="54">
        <f ca="1">AVERAGE('הוצאות חודשיות'!B63:F63)</f>
        <v>0</v>
      </c>
      <c r="H63" s="54">
        <f ca="1">AVERAGE('הוצאות חודשיות'!B63:G63)</f>
        <v>0</v>
      </c>
      <c r="I63" s="54">
        <f ca="1">AVERAGE('הוצאות חודשיות'!B63:H63)</f>
        <v>0</v>
      </c>
      <c r="J63" s="54">
        <f ca="1">AVERAGE('הוצאות חודשיות'!B63:I63)</f>
        <v>0</v>
      </c>
      <c r="K63" s="54">
        <f ca="1">AVERAGE('הוצאות חודשיות'!B63:J63)</f>
        <v>0</v>
      </c>
      <c r="L63" s="54">
        <f ca="1">AVERAGE('הוצאות חודשיות'!B63:K63)</f>
        <v>0</v>
      </c>
      <c r="M63" s="54">
        <f ca="1">AVERAGE('הוצאות חודשיות'!B63:L63)</f>
        <v>0</v>
      </c>
      <c r="N63" s="374">
        <v>0</v>
      </c>
      <c r="O63" s="375"/>
    </row>
    <row r="64" spans="1:15">
      <c r="A64" t="s">
        <v>111</v>
      </c>
      <c r="B64" s="54">
        <f ca="1">AVERAGE('הוצאות חודשיות'!B64)</f>
        <v>3257.7200000000003</v>
      </c>
      <c r="C64" s="54">
        <f ca="1">AVERAGE('הוצאות חודשיות'!B64:B64)</f>
        <v>3257.7200000000003</v>
      </c>
      <c r="D64" s="54">
        <f ca="1">AVERAGE('הוצאות חודשיות'!B64:C64)</f>
        <v>3357.7200000000003</v>
      </c>
      <c r="E64" s="54">
        <f ca="1">AVERAGE('הוצאות חודשיות'!B64:D64)</f>
        <v>3324.3866666666668</v>
      </c>
      <c r="F64" s="54">
        <f ca="1">AVERAGE('הוצאות חודשיות'!B64:E64)</f>
        <v>3140.2200000000003</v>
      </c>
      <c r="G64" s="54">
        <f ca="1">AVERAGE('הוצאות חודשיות'!B64:F64)</f>
        <v>3163.7200000000003</v>
      </c>
      <c r="H64" s="54">
        <f ca="1">AVERAGE('הוצאות חודשיות'!B64:G64)</f>
        <v>3179.3866666666672</v>
      </c>
      <c r="I64" s="54">
        <f ca="1">AVERAGE('הוצאות חודשיות'!B64:H64)</f>
        <v>3190.5771428571434</v>
      </c>
      <c r="J64" s="54">
        <f ca="1">AVERAGE('הוצאות חודשיות'!B64:I64)</f>
        <v>3125.5050000000006</v>
      </c>
      <c r="K64" s="54">
        <f ca="1">AVERAGE('הוצאות חודשיות'!B64:J64)</f>
        <v>3074.8933333333339</v>
      </c>
      <c r="L64" s="54">
        <f ca="1">AVERAGE('הוצאות חודשיות'!B64:K64)</f>
        <v>3034.4040000000005</v>
      </c>
      <c r="M64" s="54">
        <f ca="1">AVERAGE('הוצאות חודשיות'!B64:L64)</f>
        <v>3001.2763636363643</v>
      </c>
      <c r="N64" s="374">
        <v>3500</v>
      </c>
      <c r="O64" s="375"/>
    </row>
    <row r="65" spans="1:15">
      <c r="A65" t="s">
        <v>112</v>
      </c>
      <c r="B65" s="54">
        <f ca="1">AVERAGE('הוצאות חודשיות'!B65)</f>
        <v>0</v>
      </c>
      <c r="C65" s="54">
        <f ca="1">AVERAGE('הוצאות חודשיות'!B65:B65)</f>
        <v>0</v>
      </c>
      <c r="D65" s="54">
        <f ca="1">AVERAGE('הוצאות חודשיות'!B65:C65)</f>
        <v>0</v>
      </c>
      <c r="E65" s="54">
        <f ca="1">AVERAGE('הוצאות חודשיות'!B65:D65)</f>
        <v>0</v>
      </c>
      <c r="F65" s="54">
        <f ca="1">AVERAGE('הוצאות חודשיות'!B65:E65)</f>
        <v>0</v>
      </c>
      <c r="G65" s="54">
        <f ca="1">AVERAGE('הוצאות חודשיות'!B65:F65)</f>
        <v>0</v>
      </c>
      <c r="H65" s="54">
        <f ca="1">AVERAGE('הוצאות חודשיות'!B65:G65)</f>
        <v>0</v>
      </c>
      <c r="I65" s="54">
        <f ca="1">AVERAGE('הוצאות חודשיות'!B65:H65)</f>
        <v>0</v>
      </c>
      <c r="J65" s="54">
        <f ca="1">AVERAGE('הוצאות חודשיות'!B65:I65)</f>
        <v>0</v>
      </c>
      <c r="K65" s="54">
        <f ca="1">AVERAGE('הוצאות חודשיות'!B65:J65)</f>
        <v>0</v>
      </c>
      <c r="L65" s="54">
        <f ca="1">AVERAGE('הוצאות חודשיות'!B65:K65)</f>
        <v>0</v>
      </c>
      <c r="M65" s="54">
        <f ca="1">AVERAGE('הוצאות חודשיות'!B65:L65)</f>
        <v>0</v>
      </c>
      <c r="N65" s="374">
        <v>0</v>
      </c>
      <c r="O65" s="375"/>
    </row>
    <row r="66" spans="1:15">
      <c r="A66" t="s">
        <v>113</v>
      </c>
      <c r="B66" s="54">
        <f ca="1">AVERAGE('הוצאות חודשיות'!B66)</f>
        <v>0</v>
      </c>
      <c r="C66" s="54">
        <f ca="1">AVERAGE('הוצאות חודשיות'!B66:B66)</f>
        <v>0</v>
      </c>
      <c r="D66" s="54">
        <f ca="1">AVERAGE('הוצאות חודשיות'!B66:C66)</f>
        <v>123.85000000000001</v>
      </c>
      <c r="E66" s="54">
        <f ca="1">AVERAGE('הוצאות חודשיות'!B66:D66)</f>
        <v>82.566666666666677</v>
      </c>
      <c r="F66" s="54">
        <f ca="1">AVERAGE('הוצאות חודשיות'!B66:E66)</f>
        <v>61.925000000000004</v>
      </c>
      <c r="G66" s="54">
        <f ca="1">AVERAGE('הוצאות חודשיות'!B66:F66)</f>
        <v>49.540000000000006</v>
      </c>
      <c r="H66" s="54">
        <f ca="1">AVERAGE('הוצאות חודשיות'!B66:G66)</f>
        <v>41.283333333333339</v>
      </c>
      <c r="I66" s="54">
        <f ca="1">AVERAGE('הוצאות חודשיות'!B66:H66)</f>
        <v>35.385714285714286</v>
      </c>
      <c r="J66" s="54">
        <f ca="1">AVERAGE('הוצאות חודשיות'!B66:I66)</f>
        <v>30.962500000000002</v>
      </c>
      <c r="K66" s="54">
        <f ca="1">AVERAGE('הוצאות חודשיות'!B66:J66)</f>
        <v>27.522222222222226</v>
      </c>
      <c r="L66" s="54">
        <f ca="1">AVERAGE('הוצאות חודשיות'!B66:K66)</f>
        <v>24.770000000000003</v>
      </c>
      <c r="M66" s="54">
        <f ca="1">AVERAGE('הוצאות חודשיות'!B66:L66)</f>
        <v>22.518181818181819</v>
      </c>
      <c r="N66" s="374">
        <v>100</v>
      </c>
      <c r="O66" s="375"/>
    </row>
    <row r="67" spans="1:15">
      <c r="A67" t="s">
        <v>114</v>
      </c>
      <c r="B67" s="54">
        <f ca="1">AVERAGE('הוצאות חודשיות'!B67)</f>
        <v>0</v>
      </c>
      <c r="C67" s="54">
        <f ca="1">AVERAGE('הוצאות חודשיות'!B67:B67)</f>
        <v>0</v>
      </c>
      <c r="D67" s="54">
        <f ca="1">AVERAGE('הוצאות חודשיות'!B67:C67)</f>
        <v>0</v>
      </c>
      <c r="E67" s="54">
        <f ca="1">AVERAGE('הוצאות חודשיות'!B67:D67)</f>
        <v>0</v>
      </c>
      <c r="F67" s="54">
        <f ca="1">AVERAGE('הוצאות חודשיות'!B67:E67)</f>
        <v>0</v>
      </c>
      <c r="G67" s="54">
        <f ca="1">AVERAGE('הוצאות חודשיות'!B67:F67)</f>
        <v>0</v>
      </c>
      <c r="H67" s="54">
        <f ca="1">AVERAGE('הוצאות חודשיות'!B67:G67)</f>
        <v>0</v>
      </c>
      <c r="I67" s="54">
        <f ca="1">AVERAGE('הוצאות חודשיות'!B67:H67)</f>
        <v>0</v>
      </c>
      <c r="J67" s="54">
        <f ca="1">AVERAGE('הוצאות חודשיות'!B67:I67)</f>
        <v>0</v>
      </c>
      <c r="K67" s="54">
        <f ca="1">AVERAGE('הוצאות חודשיות'!B67:J67)</f>
        <v>0</v>
      </c>
      <c r="L67" s="54">
        <f ca="1">AVERAGE('הוצאות חודשיות'!B67:K67)</f>
        <v>0</v>
      </c>
      <c r="M67" s="54">
        <f ca="1">AVERAGE('הוצאות חודשיות'!B67:L67)</f>
        <v>0</v>
      </c>
      <c r="N67" s="374">
        <v>0</v>
      </c>
      <c r="O67" s="375"/>
    </row>
    <row r="68" spans="1:15">
      <c r="A68" t="s">
        <v>115</v>
      </c>
      <c r="B68" s="54">
        <f ca="1">AVERAGE('הוצאות חודשיות'!B68)</f>
        <v>0</v>
      </c>
      <c r="C68" s="54">
        <f ca="1">AVERAGE('הוצאות חודשיות'!B68:B68)</f>
        <v>0</v>
      </c>
      <c r="D68" s="54">
        <f ca="1">AVERAGE('הוצאות חודשיות'!B68:C68)</f>
        <v>0</v>
      </c>
      <c r="E68" s="54">
        <f ca="1">AVERAGE('הוצאות חודשיות'!B68:D68)</f>
        <v>0</v>
      </c>
      <c r="F68" s="54">
        <f ca="1">AVERAGE('הוצאות חודשיות'!B68:E68)</f>
        <v>0</v>
      </c>
      <c r="G68" s="54">
        <f ca="1">AVERAGE('הוצאות חודשיות'!B68:F68)</f>
        <v>0</v>
      </c>
      <c r="H68" s="54">
        <f ca="1">AVERAGE('הוצאות חודשיות'!B68:G68)</f>
        <v>0</v>
      </c>
      <c r="I68" s="54">
        <f ca="1">AVERAGE('הוצאות חודשיות'!B68:H68)</f>
        <v>0</v>
      </c>
      <c r="J68" s="54">
        <f ca="1">AVERAGE('הוצאות חודשיות'!B68:I68)</f>
        <v>0</v>
      </c>
      <c r="K68" s="54">
        <f ca="1">AVERAGE('הוצאות חודשיות'!B68:J68)</f>
        <v>0</v>
      </c>
      <c r="L68" s="54">
        <f ca="1">AVERAGE('הוצאות חודשיות'!B68:K68)</f>
        <v>0</v>
      </c>
      <c r="M68" s="54">
        <f ca="1">AVERAGE('הוצאות חודשיות'!B68:L68)</f>
        <v>0</v>
      </c>
      <c r="N68" s="374">
        <v>50</v>
      </c>
      <c r="O68" s="375"/>
    </row>
    <row r="69" spans="1:15">
      <c r="A69" t="s">
        <v>116</v>
      </c>
      <c r="B69" s="54">
        <f ca="1">AVERAGE('הוצאות חודשיות'!B69)</f>
        <v>0</v>
      </c>
      <c r="C69" s="54">
        <f ca="1">AVERAGE('הוצאות חודשיות'!B69:B69)</f>
        <v>0</v>
      </c>
      <c r="D69" s="54">
        <f ca="1">AVERAGE('הוצאות חודשיות'!B69:C69)</f>
        <v>0</v>
      </c>
      <c r="E69" s="54">
        <f ca="1">AVERAGE('הוצאות חודשיות'!B69:D69)</f>
        <v>0</v>
      </c>
      <c r="F69" s="54">
        <f ca="1">AVERAGE('הוצאות חודשיות'!B69:E69)</f>
        <v>0</v>
      </c>
      <c r="G69" s="54">
        <f ca="1">AVERAGE('הוצאות חודשיות'!B69:F69)</f>
        <v>0</v>
      </c>
      <c r="H69" s="54">
        <f ca="1">AVERAGE('הוצאות חודשיות'!B69:G69)</f>
        <v>0</v>
      </c>
      <c r="I69" s="54">
        <f ca="1">AVERAGE('הוצאות חודשיות'!B69:H69)</f>
        <v>0</v>
      </c>
      <c r="J69" s="54">
        <f ca="1">AVERAGE('הוצאות חודשיות'!B69:I69)</f>
        <v>0</v>
      </c>
      <c r="K69" s="54">
        <f ca="1">AVERAGE('הוצאות חודשיות'!B69:J69)</f>
        <v>0</v>
      </c>
      <c r="L69" s="54">
        <f ca="1">AVERAGE('הוצאות חודשיות'!B69:K69)</f>
        <v>0</v>
      </c>
      <c r="M69" s="54">
        <f ca="1">AVERAGE('הוצאות חודשיות'!B69:L69)</f>
        <v>0</v>
      </c>
      <c r="N69" s="374">
        <v>0</v>
      </c>
      <c r="O69" s="375"/>
    </row>
    <row r="70" spans="1:15">
      <c r="A70" t="s">
        <v>8</v>
      </c>
      <c r="B70" s="54">
        <f ca="1">AVERAGE('הוצאות חודשיות'!B70)</f>
        <v>0</v>
      </c>
      <c r="C70" s="54">
        <f ca="1">AVERAGE('הוצאות חודשיות'!B70:B70)</f>
        <v>0</v>
      </c>
      <c r="D70" s="54">
        <f ca="1">AVERAGE('הוצאות חודשיות'!B70:C70)</f>
        <v>0</v>
      </c>
      <c r="E70" s="54">
        <f ca="1">AVERAGE('הוצאות חודשיות'!B70:D70)</f>
        <v>0</v>
      </c>
      <c r="F70" s="54">
        <f ca="1">AVERAGE('הוצאות חודשיות'!B70:E70)</f>
        <v>0</v>
      </c>
      <c r="G70" s="54">
        <f ca="1">AVERAGE('הוצאות חודשיות'!B70:F70)</f>
        <v>0</v>
      </c>
      <c r="H70" s="54">
        <f ca="1">AVERAGE('הוצאות חודשיות'!B70:G70)</f>
        <v>0</v>
      </c>
      <c r="I70" s="54">
        <f ca="1">AVERAGE('הוצאות חודשיות'!B70:H70)</f>
        <v>0</v>
      </c>
      <c r="J70" s="54">
        <f ca="1">AVERAGE('הוצאות חודשיות'!B70:I70)</f>
        <v>0</v>
      </c>
      <c r="K70" s="54">
        <f ca="1">AVERAGE('הוצאות חודשיות'!B70:J70)</f>
        <v>0</v>
      </c>
      <c r="L70" s="54">
        <f ca="1">AVERAGE('הוצאות חודשיות'!B70:K70)</f>
        <v>0</v>
      </c>
      <c r="M70" s="54">
        <f ca="1">AVERAGE('הוצאות חודשיות'!B70:L70)</f>
        <v>0</v>
      </c>
      <c r="N70" s="374">
        <v>0</v>
      </c>
      <c r="O70" s="375"/>
    </row>
    <row r="71" spans="1:15" ht="13.5" thickBot="1">
      <c r="A71" s="384" t="s">
        <v>257</v>
      </c>
      <c r="B71" s="385">
        <f t="shared" ref="B71:N71" ca="1" si="3">SUM(B58:B70)</f>
        <v>4379.72</v>
      </c>
      <c r="C71" s="385">
        <f t="shared" ca="1" si="3"/>
        <v>4379.72</v>
      </c>
      <c r="D71" s="385">
        <f t="shared" ca="1" si="3"/>
        <v>4431.5700000000006</v>
      </c>
      <c r="E71" s="385">
        <f t="shared" ca="1" si="3"/>
        <v>4190.2866666666669</v>
      </c>
      <c r="F71" s="385">
        <f t="shared" ca="1" si="3"/>
        <v>4051.6450000000004</v>
      </c>
      <c r="G71" s="385">
        <f t="shared" ca="1" si="3"/>
        <v>3892.86</v>
      </c>
      <c r="H71" s="385">
        <f t="shared" ca="1" si="3"/>
        <v>3787.003333333334</v>
      </c>
      <c r="I71" s="385">
        <f t="shared" ca="1" si="3"/>
        <v>3711.3914285714291</v>
      </c>
      <c r="J71" s="385">
        <f t="shared" ca="1" si="3"/>
        <v>3581.2175000000007</v>
      </c>
      <c r="K71" s="385">
        <f t="shared" ca="1" si="3"/>
        <v>3479.9711111111119</v>
      </c>
      <c r="L71" s="385">
        <f t="shared" ca="1" si="3"/>
        <v>3398.9740000000006</v>
      </c>
      <c r="M71" s="385">
        <f t="shared" ca="1" si="3"/>
        <v>3332.7036363636371</v>
      </c>
      <c r="N71" s="386">
        <f t="shared" si="3"/>
        <v>4900</v>
      </c>
      <c r="O71" s="387"/>
    </row>
    <row r="72" spans="1:15" ht="13.5" thickBot="1">
      <c r="A72" s="380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2"/>
      <c r="O72" s="383"/>
    </row>
    <row r="73" spans="1:15">
      <c r="A73" s="404" t="s">
        <v>117</v>
      </c>
      <c r="B73" s="405"/>
      <c r="C73" s="405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6"/>
      <c r="O73" s="407"/>
    </row>
    <row r="74" spans="1:15">
      <c r="A74" s="408" t="s">
        <v>67</v>
      </c>
      <c r="B74" s="409">
        <v>1</v>
      </c>
      <c r="C74" s="409">
        <v>2</v>
      </c>
      <c r="D74" s="409">
        <v>3</v>
      </c>
      <c r="E74" s="409">
        <v>4</v>
      </c>
      <c r="F74" s="409">
        <v>5</v>
      </c>
      <c r="G74" s="409">
        <v>6</v>
      </c>
      <c r="H74" s="409">
        <v>7</v>
      </c>
      <c r="I74" s="409">
        <v>8</v>
      </c>
      <c r="J74" s="409">
        <v>9</v>
      </c>
      <c r="K74" s="409">
        <v>10</v>
      </c>
      <c r="L74" s="409">
        <v>11</v>
      </c>
      <c r="M74" s="409">
        <v>12</v>
      </c>
      <c r="N74" s="410" t="s">
        <v>181</v>
      </c>
      <c r="O74" s="411"/>
    </row>
    <row r="75" spans="1:15">
      <c r="A75" t="s">
        <v>118</v>
      </c>
      <c r="B75" s="54">
        <f ca="1">AVERAGE('הוצאות חודשיות'!B75)</f>
        <v>0</v>
      </c>
      <c r="C75" s="54">
        <f ca="1">AVERAGE('הוצאות חודשיות'!B75:B75)</f>
        <v>0</v>
      </c>
      <c r="D75" s="54">
        <f ca="1">AVERAGE('הוצאות חודשיות'!B75:C75)</f>
        <v>1418.35</v>
      </c>
      <c r="E75" s="54">
        <f ca="1">AVERAGE('הוצאות חודשיות'!B75:D75)</f>
        <v>1445.8966666666665</v>
      </c>
      <c r="F75" s="54">
        <f ca="1">AVERAGE('הוצאות חודשיות'!B75:E75)</f>
        <v>1729.5724999999998</v>
      </c>
      <c r="G75" s="54">
        <f ca="1">AVERAGE('הוצאות חודשיות'!B75:F75)</f>
        <v>1899.7799999999995</v>
      </c>
      <c r="H75" s="54">
        <f ca="1">AVERAGE('הוצאות חודשיות'!B75:G75)</f>
        <v>2013.2516666666663</v>
      </c>
      <c r="I75" s="54">
        <f ca="1">AVERAGE('הוצאות חודשיות'!B75:H75)</f>
        <v>1725.6442857142854</v>
      </c>
      <c r="J75" s="54">
        <f ca="1">AVERAGE('הוצאות חודשיות'!B75:I75)</f>
        <v>1509.9387499999998</v>
      </c>
      <c r="K75" s="54">
        <f ca="1">AVERAGE('הוצאות חודשיות'!B75:J75)</f>
        <v>1342.1677777777777</v>
      </c>
      <c r="L75" s="54">
        <f ca="1">AVERAGE('הוצאות חודשיות'!B75:K75)</f>
        <v>1207.9509999999998</v>
      </c>
      <c r="M75" s="54">
        <f ca="1">AVERAGE('הוצאות חודשיות'!B75:L75)</f>
        <v>1098.1372727272726</v>
      </c>
      <c r="N75" s="374">
        <v>1000</v>
      </c>
      <c r="O75" s="375" t="s">
        <v>299</v>
      </c>
    </row>
    <row r="76" spans="1:15">
      <c r="A76" t="s">
        <v>119</v>
      </c>
      <c r="B76" s="54">
        <f ca="1">AVERAGE('הוצאות חודשיות'!B76)</f>
        <v>0</v>
      </c>
      <c r="C76" s="54">
        <f ca="1">AVERAGE('הוצאות חודשיות'!B76:B76)</f>
        <v>0</v>
      </c>
      <c r="D76" s="54">
        <f ca="1">AVERAGE('הוצאות חודשיות'!B76:C76)</f>
        <v>0</v>
      </c>
      <c r="E76" s="54">
        <f ca="1">AVERAGE('הוצאות חודשיות'!B76:D76)</f>
        <v>0</v>
      </c>
      <c r="F76" s="54">
        <f ca="1">AVERAGE('הוצאות חודשיות'!B76:E76)</f>
        <v>0</v>
      </c>
      <c r="G76" s="54">
        <f ca="1">AVERAGE('הוצאות חודשיות'!B76:F76)</f>
        <v>0</v>
      </c>
      <c r="H76" s="54">
        <f ca="1">AVERAGE('הוצאות חודשיות'!B76:G76)</f>
        <v>0</v>
      </c>
      <c r="I76" s="54">
        <f ca="1">AVERAGE('הוצאות חודשיות'!B76:H76)</f>
        <v>0</v>
      </c>
      <c r="J76" s="54">
        <f ca="1">AVERAGE('הוצאות חודשיות'!B76:I76)</f>
        <v>0</v>
      </c>
      <c r="K76" s="54">
        <f ca="1">AVERAGE('הוצאות חודשיות'!B76:J76)</f>
        <v>0</v>
      </c>
      <c r="L76" s="54">
        <f ca="1">AVERAGE('הוצאות חודשיות'!B76:K76)</f>
        <v>0</v>
      </c>
      <c r="M76" s="54">
        <f ca="1">AVERAGE('הוצאות חודשיות'!B76:L76)</f>
        <v>0</v>
      </c>
      <c r="N76" s="374">
        <v>0</v>
      </c>
      <c r="O76" s="375"/>
    </row>
    <row r="77" spans="1:15">
      <c r="A77" t="s">
        <v>120</v>
      </c>
      <c r="B77" s="54">
        <f ca="1">AVERAGE('הוצאות חודשיות'!B77)</f>
        <v>0</v>
      </c>
      <c r="C77" s="54">
        <f ca="1">AVERAGE('הוצאות חודשיות'!B77:B77)</f>
        <v>0</v>
      </c>
      <c r="D77" s="54">
        <f ca="1">AVERAGE('הוצאות חודשיות'!B77:C77)</f>
        <v>0</v>
      </c>
      <c r="E77" s="54">
        <f ca="1">AVERAGE('הוצאות חודשיות'!B77:D77)</f>
        <v>83</v>
      </c>
      <c r="F77" s="54">
        <f ca="1">AVERAGE('הוצאות חודשיות'!B77:E77)</f>
        <v>62.25</v>
      </c>
      <c r="G77" s="54">
        <f ca="1">AVERAGE('הוצאות חודשיות'!B77:F77)</f>
        <v>49.8</v>
      </c>
      <c r="H77" s="54">
        <f ca="1">AVERAGE('הוצאות חודשיות'!B77:G77)</f>
        <v>41.5</v>
      </c>
      <c r="I77" s="54">
        <f ca="1">AVERAGE('הוצאות חודשיות'!B77:H77)</f>
        <v>35.571428571428569</v>
      </c>
      <c r="J77" s="54">
        <f ca="1">AVERAGE('הוצאות חודשיות'!B77:I77)</f>
        <v>31.125</v>
      </c>
      <c r="K77" s="54">
        <f ca="1">AVERAGE('הוצאות חודשיות'!B77:J77)</f>
        <v>27.666666666666668</v>
      </c>
      <c r="L77" s="54">
        <f ca="1">AVERAGE('הוצאות חודשיות'!B77:K77)</f>
        <v>24.9</v>
      </c>
      <c r="M77" s="54">
        <f ca="1">AVERAGE('הוצאות חודשיות'!B77:L77)</f>
        <v>22.636363636363637</v>
      </c>
      <c r="N77" s="374">
        <v>0</v>
      </c>
      <c r="O77" s="375"/>
    </row>
    <row r="78" spans="1:15">
      <c r="A78" t="s">
        <v>276</v>
      </c>
      <c r="B78" s="54">
        <f ca="1">AVERAGE('הוצאות חודשיות'!B78)</f>
        <v>1193.5999999999999</v>
      </c>
      <c r="C78" s="54">
        <f ca="1">AVERAGE('הוצאות חודשיות'!B78:B78)</f>
        <v>1193.5999999999999</v>
      </c>
      <c r="D78" s="54">
        <f ca="1">AVERAGE('הוצאות חודשיות'!B78:C78)</f>
        <v>1333.2649999999999</v>
      </c>
      <c r="E78" s="54">
        <f ca="1">AVERAGE('הוצאות חודשיות'!B78:D78)</f>
        <v>1180.5266666666666</v>
      </c>
      <c r="F78" s="54">
        <f ca="1">AVERAGE('הוצאות חודשיות'!B78:E78)</f>
        <v>1585.2449999999999</v>
      </c>
      <c r="G78" s="54">
        <f ca="1">AVERAGE('הוצאות חודשיות'!B78:F78)</f>
        <v>1268.1959999999999</v>
      </c>
      <c r="H78" s="54">
        <f ca="1">AVERAGE('הוצאות חודשיות'!B78:G78)</f>
        <v>1056.83</v>
      </c>
      <c r="I78" s="54">
        <f ca="1">AVERAGE('הוצאות חודשיות'!B78:H78)</f>
        <v>905.85428571428565</v>
      </c>
      <c r="J78" s="54">
        <f ca="1">AVERAGE('הוצאות חודשיות'!B78:I78)</f>
        <v>792.62249999999995</v>
      </c>
      <c r="K78" s="54">
        <f ca="1">AVERAGE('הוצאות חודשיות'!B78:J78)</f>
        <v>704.55333333333328</v>
      </c>
      <c r="L78" s="54">
        <f ca="1">AVERAGE('הוצאות חודשיות'!B78:K78)</f>
        <v>634.09799999999996</v>
      </c>
      <c r="M78" s="54">
        <f ca="1">AVERAGE('הוצאות חודשיות'!B78:L78)</f>
        <v>576.4527272727272</v>
      </c>
      <c r="N78" s="374">
        <v>500</v>
      </c>
      <c r="O78" s="375" t="s">
        <v>299</v>
      </c>
    </row>
    <row r="79" spans="1:15">
      <c r="A79" t="s">
        <v>121</v>
      </c>
      <c r="B79" s="54">
        <f ca="1">AVERAGE('הוצאות חודשיות'!B79)</f>
        <v>320.40000000000003</v>
      </c>
      <c r="C79" s="54">
        <f ca="1">AVERAGE('הוצאות חודשיות'!B79:B79)</f>
        <v>320.40000000000003</v>
      </c>
      <c r="D79" s="54">
        <f ca="1">AVERAGE('הוצאות חודשיות'!B79:C79)</f>
        <v>356.70000000000005</v>
      </c>
      <c r="E79" s="54">
        <f ca="1">AVERAGE('הוצאות חודשיות'!B79:D79)</f>
        <v>312.8</v>
      </c>
      <c r="F79" s="54">
        <f ca="1">AVERAGE('הוצאות חודשיות'!B79:E79)</f>
        <v>516.97500000000002</v>
      </c>
      <c r="G79" s="54">
        <f ca="1">AVERAGE('הוצאות חודשיות'!B79:F79)</f>
        <v>413.58000000000004</v>
      </c>
      <c r="H79" s="54">
        <f ca="1">AVERAGE('הוצאות חודשיות'!B79:G79)</f>
        <v>344.65000000000003</v>
      </c>
      <c r="I79" s="54">
        <f ca="1">AVERAGE('הוצאות חודשיות'!B79:H79)</f>
        <v>295.41428571428571</v>
      </c>
      <c r="J79" s="54">
        <f ca="1">AVERAGE('הוצאות חודשיות'!B79:I79)</f>
        <v>258.48750000000001</v>
      </c>
      <c r="K79" s="54">
        <f ca="1">AVERAGE('הוצאות חודשיות'!B79:J79)</f>
        <v>229.76666666666668</v>
      </c>
      <c r="L79" s="54">
        <f ca="1">AVERAGE('הוצאות חודשיות'!B79:K79)</f>
        <v>206.79000000000002</v>
      </c>
      <c r="M79" s="54">
        <f ca="1">AVERAGE('הוצאות חודשיות'!B79:L79)</f>
        <v>187.9909090909091</v>
      </c>
      <c r="N79" s="374">
        <v>300</v>
      </c>
      <c r="O79" s="375" t="s">
        <v>299</v>
      </c>
    </row>
    <row r="80" spans="1:15">
      <c r="A80" t="s">
        <v>139</v>
      </c>
      <c r="B80" s="54">
        <f ca="1">AVERAGE('הוצאות חודשיות'!B80)</f>
        <v>877.43000000000006</v>
      </c>
      <c r="C80" s="54">
        <f ca="1">AVERAGE('הוצאות חודשיות'!B80:B80)</f>
        <v>877.43000000000006</v>
      </c>
      <c r="D80" s="54">
        <f ca="1">AVERAGE('הוצאות חודשיות'!B80:C80)</f>
        <v>691.61500000000001</v>
      </c>
      <c r="E80" s="54">
        <f ca="1">AVERAGE('הוצאות חודשיות'!B80:D80)</f>
        <v>461.07666666666665</v>
      </c>
      <c r="F80" s="54">
        <f ca="1">AVERAGE('הוצאות חודשיות'!B80:E80)</f>
        <v>488.8075</v>
      </c>
      <c r="G80" s="54">
        <f ca="1">AVERAGE('הוצאות חודשיות'!B80:F80)</f>
        <v>391.04599999999999</v>
      </c>
      <c r="H80" s="54">
        <f ca="1">AVERAGE('הוצאות חודשיות'!B80:G80)</f>
        <v>325.87166666666667</v>
      </c>
      <c r="I80" s="54">
        <f ca="1">AVERAGE('הוצאות חודשיות'!B80:H80)</f>
        <v>279.31857142857143</v>
      </c>
      <c r="J80" s="54">
        <f ca="1">AVERAGE('הוצאות חודשיות'!B80:I80)</f>
        <v>244.40375</v>
      </c>
      <c r="K80" s="54">
        <f ca="1">AVERAGE('הוצאות חודשיות'!B80:J80)</f>
        <v>217.24777777777777</v>
      </c>
      <c r="L80" s="54">
        <f ca="1">AVERAGE('הוצאות חודשיות'!B80:K80)</f>
        <v>195.523</v>
      </c>
      <c r="M80" s="54">
        <f ca="1">AVERAGE('הוצאות חודשיות'!B80:L80)</f>
        <v>177.74818181818182</v>
      </c>
      <c r="N80" s="374">
        <v>100</v>
      </c>
      <c r="O80" s="375" t="s">
        <v>299</v>
      </c>
    </row>
    <row r="81" spans="1:15">
      <c r="A81" t="s">
        <v>140</v>
      </c>
      <c r="B81" s="54">
        <f ca="1">AVERAGE('הוצאות חודשיות'!B81)</f>
        <v>95</v>
      </c>
      <c r="C81" s="54">
        <f ca="1">AVERAGE('הוצאות חודשיות'!B81:B81)</f>
        <v>95</v>
      </c>
      <c r="D81" s="54">
        <f ca="1">AVERAGE('הוצאות חודשיות'!B81:C81)</f>
        <v>115.5</v>
      </c>
      <c r="E81" s="54">
        <f ca="1">AVERAGE('הוצאות חודשיות'!B81:D81)</f>
        <v>116.33333333333333</v>
      </c>
      <c r="F81" s="54">
        <f ca="1">AVERAGE('הוצאות חודשיות'!B81:E81)</f>
        <v>132.25</v>
      </c>
      <c r="G81" s="54">
        <f ca="1">AVERAGE('הוצאות חודשיות'!B81:F81)</f>
        <v>105.8</v>
      </c>
      <c r="H81" s="54">
        <f ca="1">AVERAGE('הוצאות חודשיות'!B81:G81)</f>
        <v>88.166666666666671</v>
      </c>
      <c r="I81" s="54">
        <f ca="1">AVERAGE('הוצאות חודשיות'!B81:H81)</f>
        <v>75.571428571428569</v>
      </c>
      <c r="J81" s="54">
        <f ca="1">AVERAGE('הוצאות חודשיות'!B81:I81)</f>
        <v>66.125</v>
      </c>
      <c r="K81" s="54">
        <f ca="1">AVERAGE('הוצאות חודשיות'!B81:J81)</f>
        <v>58.777777777777779</v>
      </c>
      <c r="L81" s="54">
        <f ca="1">AVERAGE('הוצאות חודשיות'!B81:K81)</f>
        <v>52.9</v>
      </c>
      <c r="M81" s="54">
        <f ca="1">AVERAGE('הוצאות חודשיות'!B81:L81)</f>
        <v>48.090909090909093</v>
      </c>
      <c r="N81" s="374">
        <v>500</v>
      </c>
      <c r="O81" s="375" t="s">
        <v>299</v>
      </c>
    </row>
    <row r="82" spans="1:15">
      <c r="A82" t="s">
        <v>122</v>
      </c>
      <c r="B82" s="54">
        <f ca="1">AVERAGE('הוצאות חודשיות'!B82)</f>
        <v>0</v>
      </c>
      <c r="C82" s="54">
        <f ca="1">AVERAGE('הוצאות חודשיות'!B82:B82)</f>
        <v>0</v>
      </c>
      <c r="D82" s="54">
        <f ca="1">AVERAGE('הוצאות חודשיות'!B82:C82)</f>
        <v>0</v>
      </c>
      <c r="E82" s="54">
        <f ca="1">AVERAGE('הוצאות חודשיות'!B82:D82)</f>
        <v>0</v>
      </c>
      <c r="F82" s="54">
        <f ca="1">AVERAGE('הוצאות חודשיות'!B82:E82)</f>
        <v>0</v>
      </c>
      <c r="G82" s="54">
        <f ca="1">AVERAGE('הוצאות חודשיות'!B82:F82)</f>
        <v>0</v>
      </c>
      <c r="H82" s="54">
        <f ca="1">AVERAGE('הוצאות חודשיות'!B82:G82)</f>
        <v>0</v>
      </c>
      <c r="I82" s="54">
        <f ca="1">AVERAGE('הוצאות חודשיות'!B82:H82)</f>
        <v>0</v>
      </c>
      <c r="J82" s="54">
        <f ca="1">AVERAGE('הוצאות חודשיות'!B82:I82)</f>
        <v>0</v>
      </c>
      <c r="K82" s="54">
        <f ca="1">AVERAGE('הוצאות חודשיות'!B82:J82)</f>
        <v>0</v>
      </c>
      <c r="L82" s="54">
        <f ca="1">AVERAGE('הוצאות חודשיות'!B82:K82)</f>
        <v>0</v>
      </c>
      <c r="M82" s="54">
        <f ca="1">AVERAGE('הוצאות חודשיות'!B82:L82)</f>
        <v>0</v>
      </c>
      <c r="N82" s="374">
        <v>0</v>
      </c>
      <c r="O82" s="375"/>
    </row>
    <row r="83" spans="1:15">
      <c r="A83" t="s">
        <v>123</v>
      </c>
      <c r="B83" s="54">
        <f ca="1">AVERAGE('הוצאות חודשיות'!B83)</f>
        <v>174.8</v>
      </c>
      <c r="C83" s="54">
        <f ca="1">AVERAGE('הוצאות חודשיות'!B83:B83)</f>
        <v>174.8</v>
      </c>
      <c r="D83" s="54">
        <f ca="1">AVERAGE('הוצאות חודשיות'!B83:C83)</f>
        <v>270.39999999999998</v>
      </c>
      <c r="E83" s="54">
        <f ca="1">AVERAGE('הוצאות חודשיות'!B83:D83)</f>
        <v>411.27</v>
      </c>
      <c r="F83" s="54">
        <f ca="1">AVERAGE('הוצאות חודשיות'!B83:E83)</f>
        <v>587.42750000000001</v>
      </c>
      <c r="G83" s="54">
        <f ca="1">AVERAGE('הוצאות חודשיות'!B83:F83)</f>
        <v>469.94200000000001</v>
      </c>
      <c r="H83" s="54">
        <f ca="1">AVERAGE('הוצאות חודשיות'!B83:G83)</f>
        <v>391.61833333333334</v>
      </c>
      <c r="I83" s="54">
        <f ca="1">AVERAGE('הוצאות חודשיות'!B83:H83)</f>
        <v>335.67285714285714</v>
      </c>
      <c r="J83" s="54">
        <f ca="1">AVERAGE('הוצאות חודשיות'!B83:I83)</f>
        <v>293.71375</v>
      </c>
      <c r="K83" s="54">
        <f ca="1">AVERAGE('הוצאות חודשיות'!B83:J83)</f>
        <v>261.07888888888891</v>
      </c>
      <c r="L83" s="54">
        <f ca="1">AVERAGE('הוצאות חודשיות'!B83:K83)</f>
        <v>234.971</v>
      </c>
      <c r="M83" s="54">
        <f ca="1">AVERAGE('הוצאות חודשיות'!B83:L83)</f>
        <v>213.61</v>
      </c>
      <c r="N83" s="374">
        <v>200</v>
      </c>
      <c r="O83" s="375"/>
    </row>
    <row r="84" spans="1:15">
      <c r="A84" t="s">
        <v>124</v>
      </c>
      <c r="B84" s="54">
        <f ca="1">AVERAGE('הוצאות חודשיות'!B84)</f>
        <v>0</v>
      </c>
      <c r="C84" s="54">
        <f ca="1">AVERAGE('הוצאות חודשיות'!B84:B84)</f>
        <v>0</v>
      </c>
      <c r="D84" s="54">
        <f ca="1">AVERAGE('הוצאות חודשיות'!B84:C84)</f>
        <v>553.125</v>
      </c>
      <c r="E84" s="54">
        <f ca="1">AVERAGE('הוצאות חודשיות'!B84:D84)</f>
        <v>793.75</v>
      </c>
      <c r="F84" s="54">
        <f ca="1">AVERAGE('הוצאות חודשיות'!B84:E84)</f>
        <v>871.875</v>
      </c>
      <c r="G84" s="54">
        <f ca="1">AVERAGE('הוצאות חודשיות'!B84:F84)</f>
        <v>918.75</v>
      </c>
      <c r="H84" s="54">
        <f ca="1">AVERAGE('הוצאות חודשיות'!B84:G84)</f>
        <v>765.625</v>
      </c>
      <c r="I84" s="54">
        <f ca="1">AVERAGE('הוצאות חודשיות'!B84:H84)</f>
        <v>656.25</v>
      </c>
      <c r="J84" s="54">
        <f ca="1">AVERAGE('הוצאות חודשיות'!B84:I84)</f>
        <v>574.21875</v>
      </c>
      <c r="K84" s="54">
        <f ca="1">AVERAGE('הוצאות חודשיות'!B84:J84)</f>
        <v>510.41666666666669</v>
      </c>
      <c r="L84" s="54">
        <f ca="1">AVERAGE('הוצאות חודשיות'!B84:K84)</f>
        <v>459.375</v>
      </c>
      <c r="M84" s="54">
        <f ca="1">AVERAGE('הוצאות חודשיות'!B84:L84)</f>
        <v>417.61363636363637</v>
      </c>
      <c r="N84" s="374">
        <v>0</v>
      </c>
      <c r="O84" s="375"/>
    </row>
    <row r="85" spans="1:15">
      <c r="A85" t="s">
        <v>282</v>
      </c>
      <c r="B85" s="54">
        <f ca="1">AVERAGE('הוצאות חודשיות'!B85)</f>
        <v>0</v>
      </c>
      <c r="C85" s="54">
        <f ca="1">AVERAGE('הוצאות חודשיות'!B85:B85)</f>
        <v>0</v>
      </c>
      <c r="D85" s="54">
        <f ca="1">AVERAGE('הוצאות חודשיות'!B85:C85)</f>
        <v>0</v>
      </c>
      <c r="E85" s="54">
        <f ca="1">AVERAGE('הוצאות חודשיות'!B85:D85)</f>
        <v>0</v>
      </c>
      <c r="F85" s="54">
        <f ca="1">AVERAGE('הוצאות חודשיות'!B85:E85)</f>
        <v>0</v>
      </c>
      <c r="G85" s="54">
        <f ca="1">AVERAGE('הוצאות חודשיות'!B85:F85)</f>
        <v>0</v>
      </c>
      <c r="H85" s="54">
        <f ca="1">AVERAGE('הוצאות חודשיות'!B85:G85)</f>
        <v>0</v>
      </c>
      <c r="I85" s="54">
        <f ca="1">AVERAGE('הוצאות חודשיות'!B85:H85)</f>
        <v>0</v>
      </c>
      <c r="J85" s="54">
        <f ca="1">AVERAGE('הוצאות חודשיות'!B85:I85)</f>
        <v>0</v>
      </c>
      <c r="K85" s="54">
        <f ca="1">AVERAGE('הוצאות חודשיות'!B85:J85)</f>
        <v>0</v>
      </c>
      <c r="L85" s="54">
        <f ca="1">AVERAGE('הוצאות חודשיות'!B85:K85)</f>
        <v>0</v>
      </c>
      <c r="M85" s="54">
        <f ca="1">AVERAGE('הוצאות חודשיות'!B85:L85)</f>
        <v>0</v>
      </c>
      <c r="N85" s="374">
        <v>0</v>
      </c>
      <c r="O85" s="375"/>
    </row>
    <row r="86" spans="1:15">
      <c r="A86" t="s">
        <v>8</v>
      </c>
      <c r="B86" s="54">
        <f ca="1">AVERAGE('הוצאות חודשיות'!B86)</f>
        <v>0</v>
      </c>
      <c r="C86" s="54">
        <f ca="1">AVERAGE('הוצאות חודשיות'!B86:B86)</f>
        <v>0</v>
      </c>
      <c r="D86" s="54">
        <f ca="1">AVERAGE('הוצאות חודשיות'!B86:C86)</f>
        <v>0</v>
      </c>
      <c r="E86" s="54">
        <f ca="1">AVERAGE('הוצאות חודשיות'!B86:D86)</f>
        <v>0</v>
      </c>
      <c r="F86" s="54">
        <f ca="1">AVERAGE('הוצאות חודשיות'!B86:E86)</f>
        <v>0</v>
      </c>
      <c r="G86" s="54">
        <f ca="1">AVERAGE('הוצאות חודשיות'!B86:F86)</f>
        <v>0</v>
      </c>
      <c r="H86" s="54">
        <f ca="1">AVERAGE('הוצאות חודשיות'!B86:G86)</f>
        <v>0</v>
      </c>
      <c r="I86" s="54">
        <f ca="1">AVERAGE('הוצאות חודשיות'!B86:H86)</f>
        <v>0</v>
      </c>
      <c r="J86" s="54">
        <f ca="1">AVERAGE('הוצאות חודשיות'!B86:I86)</f>
        <v>0</v>
      </c>
      <c r="K86" s="54">
        <f ca="1">AVERAGE('הוצאות חודשיות'!B86:J86)</f>
        <v>0</v>
      </c>
      <c r="L86" s="54">
        <f ca="1">AVERAGE('הוצאות חודשיות'!B86:K86)</f>
        <v>0</v>
      </c>
      <c r="M86" s="54">
        <f ca="1">AVERAGE('הוצאות חודשיות'!B86:L86)</f>
        <v>0</v>
      </c>
      <c r="N86" s="374">
        <v>0</v>
      </c>
      <c r="O86" s="375"/>
    </row>
    <row r="87" spans="1:15">
      <c r="A87" t="s">
        <v>8</v>
      </c>
      <c r="B87" s="54">
        <f ca="1">AVERAGE('הוצאות חודשיות'!B87)</f>
        <v>0</v>
      </c>
      <c r="C87" s="54">
        <f ca="1">AVERAGE('הוצאות חודשיות'!B87:B87)</f>
        <v>0</v>
      </c>
      <c r="D87" s="54">
        <f ca="1">AVERAGE('הוצאות חודשיות'!B87:C87)</f>
        <v>0</v>
      </c>
      <c r="E87" s="54">
        <f ca="1">AVERAGE('הוצאות חודשיות'!B87:D87)</f>
        <v>0</v>
      </c>
      <c r="F87" s="54">
        <f ca="1">AVERAGE('הוצאות חודשיות'!B87:E87)</f>
        <v>0</v>
      </c>
      <c r="G87" s="54">
        <f ca="1">AVERAGE('הוצאות חודשיות'!B87:F87)</f>
        <v>0</v>
      </c>
      <c r="H87" s="54">
        <f ca="1">AVERAGE('הוצאות חודשיות'!B87:G87)</f>
        <v>0</v>
      </c>
      <c r="I87" s="54">
        <f ca="1">AVERAGE('הוצאות חודשיות'!B87:H87)</f>
        <v>0</v>
      </c>
      <c r="J87" s="54">
        <f ca="1">AVERAGE('הוצאות חודשיות'!B87:I87)</f>
        <v>0</v>
      </c>
      <c r="K87" s="54">
        <f ca="1">AVERAGE('הוצאות חודשיות'!B87:J87)</f>
        <v>0</v>
      </c>
      <c r="L87" s="54">
        <f ca="1">AVERAGE('הוצאות חודשיות'!B87:K87)</f>
        <v>0</v>
      </c>
      <c r="M87" s="54">
        <f ca="1">AVERAGE('הוצאות חודשיות'!B87:L87)</f>
        <v>0</v>
      </c>
      <c r="N87" s="374">
        <v>0</v>
      </c>
      <c r="O87" s="375"/>
    </row>
    <row r="88" spans="1:15" ht="13.5" thickBot="1">
      <c r="A88" s="384" t="s">
        <v>258</v>
      </c>
      <c r="B88" s="385">
        <f t="shared" ref="B88:N88" ca="1" si="4">SUM(B75:B87)</f>
        <v>2661.2300000000005</v>
      </c>
      <c r="C88" s="385">
        <f t="shared" ca="1" si="4"/>
        <v>2661.2300000000005</v>
      </c>
      <c r="D88" s="385">
        <f t="shared" ca="1" si="4"/>
        <v>4738.954999999999</v>
      </c>
      <c r="E88" s="385">
        <f t="shared" ca="1" si="4"/>
        <v>4804.6533333333336</v>
      </c>
      <c r="F88" s="385">
        <f t="shared" ca="1" si="4"/>
        <v>5974.4024999999992</v>
      </c>
      <c r="G88" s="385">
        <f t="shared" ca="1" si="4"/>
        <v>5516.8939999999993</v>
      </c>
      <c r="H88" s="385">
        <f t="shared" ca="1" si="4"/>
        <v>5027.5133333333324</v>
      </c>
      <c r="I88" s="385">
        <f t="shared" ca="1" si="4"/>
        <v>4309.2971428571418</v>
      </c>
      <c r="J88" s="385">
        <f t="shared" ca="1" si="4"/>
        <v>3770.6349999999998</v>
      </c>
      <c r="K88" s="385">
        <f t="shared" ca="1" si="4"/>
        <v>3351.6755555555555</v>
      </c>
      <c r="L88" s="385">
        <f t="shared" ca="1" si="4"/>
        <v>3016.5080000000003</v>
      </c>
      <c r="M88" s="385">
        <f t="shared" ca="1" si="4"/>
        <v>2742.28</v>
      </c>
      <c r="N88" s="386">
        <f t="shared" si="4"/>
        <v>2600</v>
      </c>
      <c r="O88" s="387"/>
    </row>
    <row r="89" spans="1:15" ht="13.5" thickBot="1">
      <c r="A89" s="380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2"/>
      <c r="O89" s="383"/>
    </row>
    <row r="90" spans="1:15">
      <c r="A90" s="404" t="s">
        <v>125</v>
      </c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6"/>
      <c r="O90" s="407"/>
    </row>
    <row r="91" spans="1:15">
      <c r="A91" s="408" t="s">
        <v>67</v>
      </c>
      <c r="B91" s="409">
        <v>1</v>
      </c>
      <c r="C91" s="409">
        <v>2</v>
      </c>
      <c r="D91" s="409">
        <v>3</v>
      </c>
      <c r="E91" s="409">
        <v>4</v>
      </c>
      <c r="F91" s="409">
        <v>5</v>
      </c>
      <c r="G91" s="409">
        <v>6</v>
      </c>
      <c r="H91" s="409">
        <v>7</v>
      </c>
      <c r="I91" s="409">
        <v>8</v>
      </c>
      <c r="J91" s="409">
        <v>9</v>
      </c>
      <c r="K91" s="409">
        <v>10</v>
      </c>
      <c r="L91" s="409">
        <v>11</v>
      </c>
      <c r="M91" s="409">
        <v>12</v>
      </c>
      <c r="N91" s="410" t="s">
        <v>181</v>
      </c>
      <c r="O91" s="411"/>
    </row>
    <row r="92" spans="1:15">
      <c r="A92" t="s">
        <v>126</v>
      </c>
      <c r="B92" s="54">
        <f ca="1">AVERAGE('הוצאות חודשיות'!B92)</f>
        <v>471.38</v>
      </c>
      <c r="C92" s="54">
        <f ca="1">AVERAGE('הוצאות חודשיות'!B92:B92)</f>
        <v>471.38</v>
      </c>
      <c r="D92" s="54">
        <f ca="1">AVERAGE('הוצאות חודשיות'!B92:C92)</f>
        <v>493.97999999999996</v>
      </c>
      <c r="E92" s="54">
        <f ca="1">AVERAGE('הוצאות חודשיות'!B92:D92)</f>
        <v>458.02</v>
      </c>
      <c r="F92" s="54">
        <f ca="1">AVERAGE('הוצאות חודשיות'!B92:E92)</f>
        <v>454.05500000000001</v>
      </c>
      <c r="G92" s="54">
        <f ca="1">AVERAGE('הוצאות חודשיות'!B92:F92)</f>
        <v>444.44400000000007</v>
      </c>
      <c r="H92" s="54">
        <f ca="1">AVERAGE('הוצאות חודשיות'!B92:G92)</f>
        <v>438.03666666666669</v>
      </c>
      <c r="I92" s="54">
        <f ca="1">AVERAGE('הוצאות חודשיות'!B92:H92)</f>
        <v>433.46000000000004</v>
      </c>
      <c r="J92" s="54">
        <f ca="1">AVERAGE('הוצאות חודשיות'!B92:I92)</f>
        <v>430.02750000000003</v>
      </c>
      <c r="K92" s="54">
        <f ca="1">AVERAGE('הוצאות חודשיות'!B92:J92)</f>
        <v>427.35777777777781</v>
      </c>
      <c r="L92" s="54">
        <f ca="1">AVERAGE('הוצאות חודשיות'!B92:K92)</f>
        <v>425.22200000000004</v>
      </c>
      <c r="M92" s="54">
        <f ca="1">AVERAGE('הוצאות חודשיות'!B92:L92)</f>
        <v>423.47454545454548</v>
      </c>
      <c r="N92" s="374">
        <v>480</v>
      </c>
      <c r="O92" s="375"/>
    </row>
    <row r="93" spans="1:15">
      <c r="A93" t="s">
        <v>127</v>
      </c>
      <c r="B93" s="54">
        <f ca="1">AVERAGE('הוצאות חודשיות'!B93)</f>
        <v>1074.17</v>
      </c>
      <c r="C93" s="54">
        <f ca="1">AVERAGE('הוצאות חודשיות'!B93:B93)</f>
        <v>1074.17</v>
      </c>
      <c r="D93" s="54">
        <f ca="1">AVERAGE('הוצאות חודשיות'!B93:C93)</f>
        <v>1043.355</v>
      </c>
      <c r="E93" s="54">
        <f ca="1">AVERAGE('הוצאות חודשיות'!B93:D93)</f>
        <v>1032.6933333333334</v>
      </c>
      <c r="F93" s="54">
        <f ca="1">AVERAGE('הוצאות חודשיות'!B93:E93)</f>
        <v>1022.8425</v>
      </c>
      <c r="G93" s="54">
        <f ca="1">AVERAGE('הוצאות חודשיות'!B93:F93)</f>
        <v>1017.4739999999999</v>
      </c>
      <c r="H93" s="54">
        <f ca="1">AVERAGE('הוצאות חודשיות'!B93:G93)</f>
        <v>1013.895</v>
      </c>
      <c r="I93" s="54">
        <f ca="1">AVERAGE('הוצאות חודשיות'!B93:H93)</f>
        <v>1011.3385714285714</v>
      </c>
      <c r="J93" s="54">
        <f ca="1">AVERAGE('הוצאות חודשיות'!B93:I93)</f>
        <v>1009.42125</v>
      </c>
      <c r="K93" s="54">
        <f ca="1">AVERAGE('הוצאות חודשיות'!B93:J93)</f>
        <v>1007.9299999999998</v>
      </c>
      <c r="L93" s="54">
        <f ca="1">AVERAGE('הוצאות חודשיות'!B93:K93)</f>
        <v>1006.7369999999999</v>
      </c>
      <c r="M93" s="54">
        <f ca="1">AVERAGE('הוצאות חודשיות'!B93:L93)</f>
        <v>1005.760909090909</v>
      </c>
      <c r="N93" s="374">
        <v>400</v>
      </c>
      <c r="O93" s="375"/>
    </row>
    <row r="94" spans="1:15">
      <c r="A94" t="s">
        <v>128</v>
      </c>
      <c r="B94" s="54">
        <f ca="1">AVERAGE('הוצאות חודשיות'!B94)</f>
        <v>0</v>
      </c>
      <c r="C94" s="54">
        <f ca="1">AVERAGE('הוצאות חודשיות'!B94:B94)</f>
        <v>0</v>
      </c>
      <c r="D94" s="54">
        <f ca="1">AVERAGE('הוצאות חודשיות'!B94:C94)</f>
        <v>0</v>
      </c>
      <c r="E94" s="54">
        <f ca="1">AVERAGE('הוצאות חודשיות'!B94:D94)</f>
        <v>0</v>
      </c>
      <c r="F94" s="54">
        <f ca="1">AVERAGE('הוצאות חודשיות'!B94:E94)</f>
        <v>13</v>
      </c>
      <c r="G94" s="54">
        <f ca="1">AVERAGE('הוצאות חודשיות'!B94:F94)</f>
        <v>10.4</v>
      </c>
      <c r="H94" s="54">
        <f ca="1">AVERAGE('הוצאות חודשיות'!B94:G94)</f>
        <v>8.6666666666666661</v>
      </c>
      <c r="I94" s="54">
        <f ca="1">AVERAGE('הוצאות חודשיות'!B94:H94)</f>
        <v>7.4285714285714288</v>
      </c>
      <c r="J94" s="54">
        <f ca="1">AVERAGE('הוצאות חודשיות'!B94:I94)</f>
        <v>6.5</v>
      </c>
      <c r="K94" s="54">
        <f ca="1">AVERAGE('הוצאות חודשיות'!B94:J94)</f>
        <v>5.7777777777777777</v>
      </c>
      <c r="L94" s="54">
        <f ca="1">AVERAGE('הוצאות חודשיות'!B94:K94)</f>
        <v>5.2</v>
      </c>
      <c r="M94" s="54">
        <f ca="1">AVERAGE('הוצאות חודשיות'!B94:L94)</f>
        <v>4.7272727272727275</v>
      </c>
      <c r="N94" s="374">
        <v>100</v>
      </c>
      <c r="O94" s="375"/>
    </row>
    <row r="95" spans="1:15">
      <c r="A95" t="s">
        <v>129</v>
      </c>
      <c r="B95" s="54">
        <f ca="1">AVERAGE('הוצאות חודשיות'!B95)</f>
        <v>0</v>
      </c>
      <c r="C95" s="54">
        <f ca="1">AVERAGE('הוצאות חודשיות'!B95:B95)</f>
        <v>0</v>
      </c>
      <c r="D95" s="54">
        <f ca="1">AVERAGE('הוצאות חודשיות'!B95:C95)</f>
        <v>49.95</v>
      </c>
      <c r="E95" s="54">
        <f ca="1">AVERAGE('הוצאות חודשיות'!B95:D95)</f>
        <v>33.300000000000004</v>
      </c>
      <c r="F95" s="54">
        <f ca="1">AVERAGE('הוצאות חודשיות'!B95:E95)</f>
        <v>24.975000000000001</v>
      </c>
      <c r="G95" s="54">
        <f ca="1">AVERAGE('הוצאות חודשיות'!B95:F95)</f>
        <v>19.98</v>
      </c>
      <c r="H95" s="54">
        <f ca="1">AVERAGE('הוצאות חודשיות'!B95:G95)</f>
        <v>16.650000000000002</v>
      </c>
      <c r="I95" s="54">
        <f ca="1">AVERAGE('הוצאות חודשיות'!B95:H95)</f>
        <v>14.271428571428572</v>
      </c>
      <c r="J95" s="54">
        <f ca="1">AVERAGE('הוצאות חודשיות'!B95:I95)</f>
        <v>12.487500000000001</v>
      </c>
      <c r="K95" s="54">
        <f ca="1">AVERAGE('הוצאות חודשיות'!B95:J95)</f>
        <v>11.100000000000001</v>
      </c>
      <c r="L95" s="54">
        <f ca="1">AVERAGE('הוצאות חודשיות'!B95:K95)</f>
        <v>9.99</v>
      </c>
      <c r="M95" s="54">
        <f ca="1">AVERAGE('הוצאות חודשיות'!B95:L95)</f>
        <v>9.081818181818182</v>
      </c>
      <c r="N95" s="374">
        <v>0</v>
      </c>
      <c r="O95" s="375"/>
    </row>
    <row r="96" spans="1:15">
      <c r="A96" t="s">
        <v>8</v>
      </c>
      <c r="B96" s="54">
        <f ca="1">AVERAGE('הוצאות חודשיות'!B96)</f>
        <v>0</v>
      </c>
      <c r="C96" s="54">
        <f ca="1">AVERAGE('הוצאות חודשיות'!B96:B96)</f>
        <v>0</v>
      </c>
      <c r="D96" s="54">
        <f ca="1">AVERAGE('הוצאות חודשיות'!B96:C96)</f>
        <v>0</v>
      </c>
      <c r="E96" s="54">
        <f ca="1">AVERAGE('הוצאות חודשיות'!B96:D96)</f>
        <v>0</v>
      </c>
      <c r="F96" s="54">
        <f ca="1">AVERAGE('הוצאות חודשיות'!B96:E96)</f>
        <v>0</v>
      </c>
      <c r="G96" s="54">
        <f ca="1">AVERAGE('הוצאות חודשיות'!B96:F96)</f>
        <v>0</v>
      </c>
      <c r="H96" s="54">
        <f ca="1">AVERAGE('הוצאות חודשיות'!B96:G96)</f>
        <v>0</v>
      </c>
      <c r="I96" s="54">
        <f ca="1">AVERAGE('הוצאות חודשיות'!B96:H96)</f>
        <v>0</v>
      </c>
      <c r="J96" s="54">
        <f ca="1">AVERAGE('הוצאות חודשיות'!B96:I96)</f>
        <v>0</v>
      </c>
      <c r="K96" s="54">
        <f ca="1">AVERAGE('הוצאות חודשיות'!B96:J96)</f>
        <v>0</v>
      </c>
      <c r="L96" s="54">
        <f ca="1">AVERAGE('הוצאות חודשיות'!B96:K96)</f>
        <v>0</v>
      </c>
      <c r="M96" s="54">
        <f ca="1">AVERAGE('הוצאות חודשיות'!B96:L96)</f>
        <v>0</v>
      </c>
      <c r="N96" s="374">
        <v>0</v>
      </c>
      <c r="O96" s="375"/>
    </row>
    <row r="97" spans="1:15">
      <c r="A97" t="s">
        <v>8</v>
      </c>
      <c r="B97" s="54">
        <f ca="1">AVERAGE('הוצאות חודשיות'!B97)</f>
        <v>0</v>
      </c>
      <c r="C97" s="54">
        <f ca="1">AVERAGE('הוצאות חודשיות'!B97:B97)</f>
        <v>0</v>
      </c>
      <c r="D97" s="54">
        <f ca="1">AVERAGE('הוצאות חודשיות'!B97:C97)</f>
        <v>0</v>
      </c>
      <c r="E97" s="54">
        <f ca="1">AVERAGE('הוצאות חודשיות'!B97:D97)</f>
        <v>0</v>
      </c>
      <c r="F97" s="54">
        <f ca="1">AVERAGE('הוצאות חודשיות'!B97:E97)</f>
        <v>0</v>
      </c>
      <c r="G97" s="54">
        <f ca="1">AVERAGE('הוצאות חודשיות'!B97:F97)</f>
        <v>0</v>
      </c>
      <c r="H97" s="54">
        <f ca="1">AVERAGE('הוצאות חודשיות'!B97:G97)</f>
        <v>0</v>
      </c>
      <c r="I97" s="54">
        <f ca="1">AVERAGE('הוצאות חודשיות'!B97:H97)</f>
        <v>0</v>
      </c>
      <c r="J97" s="54">
        <f ca="1">AVERAGE('הוצאות חודשיות'!B97:I97)</f>
        <v>0</v>
      </c>
      <c r="K97" s="54">
        <f ca="1">AVERAGE('הוצאות חודשיות'!B97:J97)</f>
        <v>0</v>
      </c>
      <c r="L97" s="54">
        <f ca="1">AVERAGE('הוצאות חודשיות'!B97:K97)</f>
        <v>0</v>
      </c>
      <c r="M97" s="54">
        <f ca="1">AVERAGE('הוצאות חודשיות'!B97:L97)</f>
        <v>0</v>
      </c>
      <c r="N97" s="374">
        <v>0</v>
      </c>
      <c r="O97" s="375"/>
    </row>
    <row r="98" spans="1:15" ht="13.5" thickBot="1">
      <c r="A98" s="384" t="s">
        <v>259</v>
      </c>
      <c r="B98" s="385">
        <f t="shared" ref="B98:N98" ca="1" si="5">SUM(B92:B97)</f>
        <v>1545.5500000000002</v>
      </c>
      <c r="C98" s="385">
        <f t="shared" ca="1" si="5"/>
        <v>1545.5500000000002</v>
      </c>
      <c r="D98" s="385">
        <f t="shared" ca="1" si="5"/>
        <v>1587.2850000000001</v>
      </c>
      <c r="E98" s="385">
        <f t="shared" ca="1" si="5"/>
        <v>1524.0133333333333</v>
      </c>
      <c r="F98" s="385">
        <f t="shared" ca="1" si="5"/>
        <v>1514.8724999999999</v>
      </c>
      <c r="G98" s="385">
        <f t="shared" ca="1" si="5"/>
        <v>1492.2980000000002</v>
      </c>
      <c r="H98" s="385">
        <f t="shared" ca="1" si="5"/>
        <v>1477.2483333333334</v>
      </c>
      <c r="I98" s="385">
        <f t="shared" ca="1" si="5"/>
        <v>1466.4985714285713</v>
      </c>
      <c r="J98" s="385">
        <f t="shared" ca="1" si="5"/>
        <v>1458.43625</v>
      </c>
      <c r="K98" s="385">
        <f t="shared" ca="1" si="5"/>
        <v>1452.1655555555553</v>
      </c>
      <c r="L98" s="385">
        <f t="shared" ca="1" si="5"/>
        <v>1447.1489999999999</v>
      </c>
      <c r="M98" s="385">
        <f t="shared" ca="1" si="5"/>
        <v>1443.0445454545454</v>
      </c>
      <c r="N98" s="386">
        <f t="shared" si="5"/>
        <v>980</v>
      </c>
      <c r="O98" s="387"/>
    </row>
    <row r="99" spans="1:15" ht="13.5" thickBot="1">
      <c r="A99" s="380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2"/>
      <c r="O99" s="383"/>
    </row>
    <row r="100" spans="1:15">
      <c r="A100" s="404" t="s">
        <v>130</v>
      </c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6"/>
      <c r="O100" s="407"/>
    </row>
    <row r="101" spans="1:15">
      <c r="A101" s="408" t="s">
        <v>67</v>
      </c>
      <c r="B101" s="409">
        <v>1</v>
      </c>
      <c r="C101" s="409">
        <v>2</v>
      </c>
      <c r="D101" s="409">
        <v>3</v>
      </c>
      <c r="E101" s="409">
        <v>4</v>
      </c>
      <c r="F101" s="409">
        <v>5</v>
      </c>
      <c r="G101" s="409">
        <v>6</v>
      </c>
      <c r="H101" s="409">
        <v>7</v>
      </c>
      <c r="I101" s="409">
        <v>8</v>
      </c>
      <c r="J101" s="409">
        <v>9</v>
      </c>
      <c r="K101" s="409">
        <v>10</v>
      </c>
      <c r="L101" s="409">
        <v>11</v>
      </c>
      <c r="M101" s="409">
        <v>12</v>
      </c>
      <c r="N101" s="410" t="s">
        <v>181</v>
      </c>
      <c r="O101" s="411"/>
    </row>
    <row r="102" spans="1:15">
      <c r="A102" t="s">
        <v>176</v>
      </c>
      <c r="B102" s="54">
        <f ca="1">AVERAGE('הוצאות חודשיות'!B102)</f>
        <v>500</v>
      </c>
      <c r="C102" s="54">
        <f ca="1">AVERAGE('הוצאות חודשיות'!B102:B102)</f>
        <v>500</v>
      </c>
      <c r="D102" s="54">
        <f ca="1">AVERAGE('הוצאות חודשיות'!B102:C102)</f>
        <v>500</v>
      </c>
      <c r="E102" s="54">
        <f ca="1">AVERAGE('הוצאות חודשיות'!B102:D102)</f>
        <v>500</v>
      </c>
      <c r="F102" s="54">
        <f ca="1">AVERAGE('הוצאות חודשיות'!B102:E102)</f>
        <v>500</v>
      </c>
      <c r="G102" s="54">
        <f ca="1">AVERAGE('הוצאות חודשיות'!B102:F102)</f>
        <v>500</v>
      </c>
      <c r="H102" s="54">
        <f ca="1">AVERAGE('הוצאות חודשיות'!B102:G102)</f>
        <v>500</v>
      </c>
      <c r="I102" s="54">
        <f ca="1">AVERAGE('הוצאות חודשיות'!B102:H102)</f>
        <v>500</v>
      </c>
      <c r="J102" s="54">
        <f ca="1">AVERAGE('הוצאות חודשיות'!B102:I102)</f>
        <v>500</v>
      </c>
      <c r="K102" s="54">
        <f ca="1">AVERAGE('הוצאות חודשיות'!B102:J102)</f>
        <v>500</v>
      </c>
      <c r="L102" s="54">
        <f ca="1">AVERAGE('הוצאות חודשיות'!B102:K102)</f>
        <v>500</v>
      </c>
      <c r="M102" s="54">
        <f ca="1">AVERAGE('הוצאות חודשיות'!B102:L102)</f>
        <v>500</v>
      </c>
      <c r="N102" s="374">
        <v>500</v>
      </c>
      <c r="O102" s="375"/>
    </row>
    <row r="103" spans="1:15">
      <c r="A103" t="s">
        <v>131</v>
      </c>
      <c r="B103" s="54">
        <f ca="1">AVERAGE('הוצאות חודשיות'!B103)</f>
        <v>0</v>
      </c>
      <c r="C103" s="54">
        <f ca="1">AVERAGE('הוצאות חודשיות'!B103:B103)</f>
        <v>0</v>
      </c>
      <c r="D103" s="54">
        <f ca="1">AVERAGE('הוצאות חודשיות'!B103:C103)</f>
        <v>0</v>
      </c>
      <c r="E103" s="54">
        <f ca="1">AVERAGE('הוצאות חודשיות'!B103:D103)</f>
        <v>0</v>
      </c>
      <c r="F103" s="54">
        <f ca="1">AVERAGE('הוצאות חודשיות'!B103:E103)</f>
        <v>0</v>
      </c>
      <c r="G103" s="54">
        <f ca="1">AVERAGE('הוצאות חודשיות'!B103:F103)</f>
        <v>0</v>
      </c>
      <c r="H103" s="54">
        <f ca="1">AVERAGE('הוצאות חודשיות'!B103:G103)</f>
        <v>0</v>
      </c>
      <c r="I103" s="54">
        <f ca="1">AVERAGE('הוצאות חודשיות'!B103:H103)</f>
        <v>0</v>
      </c>
      <c r="J103" s="54">
        <f ca="1">AVERAGE('הוצאות חודשיות'!B103:I103)</f>
        <v>0</v>
      </c>
      <c r="K103" s="54">
        <f ca="1">AVERAGE('הוצאות חודשיות'!B103:J103)</f>
        <v>0</v>
      </c>
      <c r="L103" s="54">
        <f ca="1">AVERAGE('הוצאות חודשיות'!B103:K103)</f>
        <v>0</v>
      </c>
      <c r="M103" s="54">
        <f ca="1">AVERAGE('הוצאות חודשיות'!B103:L103)</f>
        <v>0</v>
      </c>
      <c r="N103" s="374">
        <v>0</v>
      </c>
      <c r="O103" s="375"/>
    </row>
    <row r="104" spans="1:15">
      <c r="A104" t="s">
        <v>132</v>
      </c>
      <c r="B104" s="54">
        <f ca="1">AVERAGE('הוצאות חודשיות'!B104)</f>
        <v>0</v>
      </c>
      <c r="C104" s="54">
        <f ca="1">AVERAGE('הוצאות חודשיות'!B104:B104)</f>
        <v>0</v>
      </c>
      <c r="D104" s="54">
        <f ca="1">AVERAGE('הוצאות חודשיות'!B104:C104)</f>
        <v>0</v>
      </c>
      <c r="E104" s="54">
        <f ca="1">AVERAGE('הוצאות חודשיות'!B104:D104)</f>
        <v>0</v>
      </c>
      <c r="F104" s="54">
        <f ca="1">AVERAGE('הוצאות חודשיות'!B104:E104)</f>
        <v>0</v>
      </c>
      <c r="G104" s="54">
        <f ca="1">AVERAGE('הוצאות חודשיות'!B104:F104)</f>
        <v>0</v>
      </c>
      <c r="H104" s="54">
        <f ca="1">AVERAGE('הוצאות חודשיות'!B104:G104)</f>
        <v>0</v>
      </c>
      <c r="I104" s="54">
        <f ca="1">AVERAGE('הוצאות חודשיות'!B104:H104)</f>
        <v>0</v>
      </c>
      <c r="J104" s="54">
        <f ca="1">AVERAGE('הוצאות חודשיות'!B104:I104)</f>
        <v>0</v>
      </c>
      <c r="K104" s="54">
        <f ca="1">AVERAGE('הוצאות חודשיות'!B104:J104)</f>
        <v>0</v>
      </c>
      <c r="L104" s="54">
        <f ca="1">AVERAGE('הוצאות חודשיות'!B104:K104)</f>
        <v>0</v>
      </c>
      <c r="M104" s="54">
        <f ca="1">AVERAGE('הוצאות חודשיות'!B104:L104)</f>
        <v>0</v>
      </c>
      <c r="N104" s="374">
        <v>0</v>
      </c>
      <c r="O104" s="375"/>
    </row>
    <row r="105" spans="1:15">
      <c r="A105" t="s">
        <v>133</v>
      </c>
      <c r="B105" s="54">
        <f ca="1">AVERAGE('הוצאות חודשיות'!B105)</f>
        <v>702.68000000000006</v>
      </c>
      <c r="C105" s="54">
        <f ca="1">AVERAGE('הוצאות חודשיות'!B105:B105)</f>
        <v>702.68000000000006</v>
      </c>
      <c r="D105" s="54">
        <f ca="1">AVERAGE('הוצאות חודשיות'!B105:C105)</f>
        <v>770.89</v>
      </c>
      <c r="E105" s="54">
        <f ca="1">AVERAGE('הוצאות חודשיות'!B105:D105)</f>
        <v>817.88</v>
      </c>
      <c r="F105" s="54">
        <f ca="1">AVERAGE('הוצאות חודשיות'!B105:E105)</f>
        <v>842.25249999999994</v>
      </c>
      <c r="G105" s="54">
        <f ca="1">AVERAGE('הוצאות חודשיות'!B105:F105)</f>
        <v>866.80200000000002</v>
      </c>
      <c r="H105" s="54">
        <f ca="1">AVERAGE('הוצאות חודשיות'!B105:G105)</f>
        <v>883.16833333333341</v>
      </c>
      <c r="I105" s="54">
        <f ca="1">AVERAGE('הוצאות חודשיות'!B105:H105)</f>
        <v>894.85857142857151</v>
      </c>
      <c r="J105" s="54">
        <f ca="1">AVERAGE('הוצאות חודשיות'!B105:I105)</f>
        <v>903.62625000000003</v>
      </c>
      <c r="K105" s="54">
        <f ca="1">AVERAGE('הוצאות חודשיות'!B105:J105)</f>
        <v>910.44555555555553</v>
      </c>
      <c r="L105" s="54">
        <f ca="1">AVERAGE('הוצאות חודשיות'!B105:K105)</f>
        <v>915.90100000000007</v>
      </c>
      <c r="M105" s="54">
        <f ca="1">AVERAGE('הוצאות חודשיות'!B105:L105)</f>
        <v>920.36454545454546</v>
      </c>
      <c r="N105" s="374">
        <v>710</v>
      </c>
      <c r="O105" s="375"/>
    </row>
    <row r="106" spans="1:15">
      <c r="A106" t="s">
        <v>134</v>
      </c>
      <c r="B106" s="54">
        <f ca="1">AVERAGE('הוצאות חודשיות'!B106)</f>
        <v>1732.33</v>
      </c>
      <c r="C106" s="54">
        <f ca="1">AVERAGE('הוצאות חודשיות'!B106:B106)</f>
        <v>1732.33</v>
      </c>
      <c r="D106" s="54">
        <f ca="1">AVERAGE('הוצאות חודשיות'!B106:C106)</f>
        <v>1732.335</v>
      </c>
      <c r="E106" s="54">
        <f ca="1">AVERAGE('הוצאות חודשיות'!B106:D106)</f>
        <v>1154.8900000000001</v>
      </c>
      <c r="F106" s="54">
        <f ca="1">AVERAGE('הוצאות חודשיות'!B106:E106)</f>
        <v>866.16750000000002</v>
      </c>
      <c r="G106" s="54">
        <f ca="1">AVERAGE('הוצאות חודשיות'!B106:F106)</f>
        <v>692.93399999999997</v>
      </c>
      <c r="H106" s="54">
        <f ca="1">AVERAGE('הוצאות חודשיות'!B106:G106)</f>
        <v>577.44500000000005</v>
      </c>
      <c r="I106" s="54">
        <f ca="1">AVERAGE('הוצאות חודשיות'!B106:H106)</f>
        <v>494.95285714285717</v>
      </c>
      <c r="J106" s="54">
        <f ca="1">AVERAGE('הוצאות חודשיות'!B106:I106)</f>
        <v>433.08375000000001</v>
      </c>
      <c r="K106" s="54">
        <f ca="1">AVERAGE('הוצאות חודשיות'!B106:J106)</f>
        <v>384.96333333333337</v>
      </c>
      <c r="L106" s="54">
        <f ca="1">AVERAGE('הוצאות חודשיות'!B106:K106)</f>
        <v>346.46699999999998</v>
      </c>
      <c r="M106" s="54">
        <f ca="1">AVERAGE('הוצאות חודשיות'!B106:L106)</f>
        <v>314.97000000000003</v>
      </c>
      <c r="N106" s="374">
        <v>100</v>
      </c>
      <c r="O106" s="375"/>
    </row>
    <row r="107" spans="1:15">
      <c r="A107" t="s">
        <v>135</v>
      </c>
      <c r="B107" s="54">
        <f ca="1">AVERAGE('הוצאות חודשיות'!B107)</f>
        <v>0</v>
      </c>
      <c r="C107" s="54">
        <f ca="1">AVERAGE('הוצאות חודשיות'!B107:B107)</f>
        <v>0</v>
      </c>
      <c r="D107" s="54">
        <f ca="1">AVERAGE('הוצאות חודשיות'!B107:C107)</f>
        <v>0</v>
      </c>
      <c r="E107" s="54">
        <f ca="1">AVERAGE('הוצאות חודשיות'!B107:D107)</f>
        <v>0</v>
      </c>
      <c r="F107" s="54">
        <f ca="1">AVERAGE('הוצאות חודשיות'!B107:E107)</f>
        <v>0</v>
      </c>
      <c r="G107" s="54">
        <f ca="1">AVERAGE('הוצאות חודשיות'!B107:F107)</f>
        <v>0</v>
      </c>
      <c r="H107" s="54">
        <f ca="1">AVERAGE('הוצאות חודשיות'!B107:G107)</f>
        <v>0</v>
      </c>
      <c r="I107" s="54">
        <f ca="1">AVERAGE('הוצאות חודשיות'!B107:H107)</f>
        <v>0</v>
      </c>
      <c r="J107" s="54">
        <f ca="1">AVERAGE('הוצאות חודשיות'!B107:I107)</f>
        <v>0</v>
      </c>
      <c r="K107" s="54">
        <f ca="1">AVERAGE('הוצאות חודשיות'!B107:J107)</f>
        <v>0</v>
      </c>
      <c r="L107" s="54">
        <f ca="1">AVERAGE('הוצאות חודשיות'!B107:K107)</f>
        <v>0</v>
      </c>
      <c r="M107" s="54">
        <f ca="1">AVERAGE('הוצאות חודשיות'!B107:L107)</f>
        <v>0</v>
      </c>
      <c r="N107" s="374">
        <v>0</v>
      </c>
      <c r="O107" s="375"/>
    </row>
    <row r="108" spans="1:15">
      <c r="A108" t="s">
        <v>19</v>
      </c>
      <c r="B108" s="54">
        <f ca="1">AVERAGE('הוצאות חודשיות'!B108)</f>
        <v>104.9</v>
      </c>
      <c r="C108" s="54">
        <f ca="1">AVERAGE('הוצאות חודשיות'!B108:B108)</f>
        <v>104.9</v>
      </c>
      <c r="D108" s="54">
        <f ca="1">AVERAGE('הוצאות חודשיות'!B108:C108)</f>
        <v>74.900000000000006</v>
      </c>
      <c r="E108" s="54">
        <f ca="1">AVERAGE('הוצאות חודשיות'!B108:D108)</f>
        <v>72.2</v>
      </c>
      <c r="F108" s="54">
        <f ca="1">AVERAGE('הוצאות חודשיות'!B108:E108)</f>
        <v>65.375</v>
      </c>
      <c r="G108" s="54">
        <f ca="1">AVERAGE('הוצאות חודשיות'!B108:F108)</f>
        <v>54.3</v>
      </c>
      <c r="H108" s="54">
        <f ca="1">AVERAGE('הוצאות חודשיות'!B108:G108)</f>
        <v>46.916666666666664</v>
      </c>
      <c r="I108" s="54">
        <f ca="1">AVERAGE('הוצאות חודשיות'!B108:H108)</f>
        <v>41.642857142857146</v>
      </c>
      <c r="J108" s="54">
        <f ca="1">AVERAGE('הוצאות חודשיות'!B108:I108)</f>
        <v>37.6875</v>
      </c>
      <c r="K108" s="54">
        <f ca="1">AVERAGE('הוצאות חודשיות'!B108:J108)</f>
        <v>34.611111111111114</v>
      </c>
      <c r="L108" s="54">
        <f ca="1">AVERAGE('הוצאות חודשיות'!B108:K108)</f>
        <v>32.15</v>
      </c>
      <c r="M108" s="54">
        <f ca="1">AVERAGE('הוצאות חודשיות'!B108:L108)</f>
        <v>30.136363636363637</v>
      </c>
      <c r="N108" s="374">
        <v>20</v>
      </c>
      <c r="O108" s="375"/>
    </row>
    <row r="109" spans="1:15">
      <c r="A109" t="s">
        <v>308</v>
      </c>
      <c r="B109" s="54">
        <f ca="1">AVERAGE('הוצאות חודשיות'!B109)</f>
        <v>0</v>
      </c>
      <c r="C109" s="54">
        <f ca="1">AVERAGE('הוצאות חודשיות'!B109:B109)</f>
        <v>0</v>
      </c>
      <c r="D109" s="54">
        <f ca="1">AVERAGE('הוצאות חודשיות'!B109:C109)</f>
        <v>0</v>
      </c>
      <c r="E109" s="54">
        <f ca="1">AVERAGE('הוצאות חודשיות'!B109:D109)</f>
        <v>0</v>
      </c>
      <c r="F109" s="54">
        <f ca="1">AVERAGE('הוצאות חודשיות'!B109:E109)</f>
        <v>0</v>
      </c>
      <c r="G109" s="54">
        <f ca="1">AVERAGE('הוצאות חודשיות'!B109:F109)</f>
        <v>0</v>
      </c>
      <c r="H109" s="54">
        <f ca="1">AVERAGE('הוצאות חודשיות'!B109:G109)</f>
        <v>0</v>
      </c>
      <c r="I109" s="54">
        <f ca="1">AVERAGE('הוצאות חודשיות'!B109:H109)</f>
        <v>0</v>
      </c>
      <c r="J109" s="54">
        <f ca="1">AVERAGE('הוצאות חודשיות'!B109:I109)</f>
        <v>0</v>
      </c>
      <c r="K109" s="54">
        <f ca="1">AVERAGE('הוצאות חודשיות'!B109:J109)</f>
        <v>0</v>
      </c>
      <c r="L109" s="54">
        <f ca="1">AVERAGE('הוצאות חודשיות'!B109:K109)</f>
        <v>0</v>
      </c>
      <c r="M109" s="54">
        <f ca="1">AVERAGE('הוצאות חודשיות'!B109:L109)</f>
        <v>0</v>
      </c>
      <c r="N109" s="374">
        <v>0</v>
      </c>
      <c r="O109" s="375"/>
    </row>
    <row r="110" spans="1:15">
      <c r="A110" t="s">
        <v>309</v>
      </c>
      <c r="B110" s="54">
        <f ca="1">AVERAGE('הוצאות חודשיות'!B110)</f>
        <v>0</v>
      </c>
      <c r="C110" s="54">
        <f ca="1">AVERAGE('הוצאות חודשיות'!B110:B110)</f>
        <v>0</v>
      </c>
      <c r="D110" s="54">
        <f ca="1">AVERAGE('הוצאות חודשיות'!B110:C110)</f>
        <v>0</v>
      </c>
      <c r="E110" s="54">
        <f ca="1">AVERAGE('הוצאות חודשיות'!B110:D110)</f>
        <v>0</v>
      </c>
      <c r="F110" s="54">
        <f ca="1">AVERAGE('הוצאות חודשיות'!B110:E110)</f>
        <v>0</v>
      </c>
      <c r="G110" s="54">
        <f ca="1">AVERAGE('הוצאות חודשיות'!B110:F110)</f>
        <v>0</v>
      </c>
      <c r="H110" s="54">
        <f ca="1">AVERAGE('הוצאות חודשיות'!B110:G110)</f>
        <v>0</v>
      </c>
      <c r="I110" s="54">
        <f ca="1">AVERAGE('הוצאות חודשיות'!B110:H110)</f>
        <v>0</v>
      </c>
      <c r="J110" s="54">
        <f ca="1">AVERAGE('הוצאות חודשיות'!B110:I110)</f>
        <v>0</v>
      </c>
      <c r="K110" s="54">
        <f ca="1">AVERAGE('הוצאות חודשיות'!B110:J110)</f>
        <v>0</v>
      </c>
      <c r="L110" s="54">
        <f ca="1">AVERAGE('הוצאות חודשיות'!B110:K110)</f>
        <v>0</v>
      </c>
      <c r="M110" s="54">
        <f ca="1">AVERAGE('הוצאות חודשיות'!B110:L110)</f>
        <v>0</v>
      </c>
      <c r="N110" s="374">
        <v>0</v>
      </c>
      <c r="O110" s="375"/>
    </row>
    <row r="111" spans="1:15" ht="13.5" thickBot="1">
      <c r="A111" s="384" t="s">
        <v>260</v>
      </c>
      <c r="B111" s="385">
        <f t="shared" ref="B111:N111" ca="1" si="6">SUM(B102:B110)</f>
        <v>3039.9100000000003</v>
      </c>
      <c r="C111" s="385">
        <f t="shared" ca="1" si="6"/>
        <v>3039.9100000000003</v>
      </c>
      <c r="D111" s="385">
        <f t="shared" ca="1" si="6"/>
        <v>3078.125</v>
      </c>
      <c r="E111" s="385">
        <f t="shared" ca="1" si="6"/>
        <v>2544.9700000000003</v>
      </c>
      <c r="F111" s="385">
        <f t="shared" ca="1" si="6"/>
        <v>2273.7950000000001</v>
      </c>
      <c r="G111" s="385">
        <f t="shared" ca="1" si="6"/>
        <v>2114.0360000000001</v>
      </c>
      <c r="H111" s="385">
        <f t="shared" ca="1" si="6"/>
        <v>2007.5300000000004</v>
      </c>
      <c r="I111" s="385">
        <f t="shared" ca="1" si="6"/>
        <v>1931.4542857142858</v>
      </c>
      <c r="J111" s="385">
        <f t="shared" ca="1" si="6"/>
        <v>1874.3975</v>
      </c>
      <c r="K111" s="385">
        <f t="shared" ca="1" si="6"/>
        <v>1830.02</v>
      </c>
      <c r="L111" s="385">
        <f t="shared" ca="1" si="6"/>
        <v>1794.518</v>
      </c>
      <c r="M111" s="385">
        <f t="shared" ca="1" si="6"/>
        <v>1765.4709090909091</v>
      </c>
      <c r="N111" s="386">
        <f t="shared" si="6"/>
        <v>1330</v>
      </c>
      <c r="O111" s="387"/>
    </row>
    <row r="112" spans="1:15" ht="13.5" thickBot="1">
      <c r="A112" s="380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2"/>
      <c r="O112" s="383"/>
    </row>
    <row r="113" spans="1:15">
      <c r="A113" s="404" t="s">
        <v>325</v>
      </c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M113" s="405"/>
      <c r="N113" s="406"/>
      <c r="O113" s="407"/>
    </row>
    <row r="114" spans="1:15">
      <c r="A114" s="408" t="s">
        <v>67</v>
      </c>
      <c r="B114" s="409">
        <v>1</v>
      </c>
      <c r="C114" s="409">
        <v>2</v>
      </c>
      <c r="D114" s="409">
        <v>3</v>
      </c>
      <c r="E114" s="409">
        <v>4</v>
      </c>
      <c r="F114" s="409">
        <v>5</v>
      </c>
      <c r="G114" s="409">
        <v>6</v>
      </c>
      <c r="H114" s="409">
        <v>7</v>
      </c>
      <c r="I114" s="409">
        <v>8</v>
      </c>
      <c r="J114" s="409">
        <v>9</v>
      </c>
      <c r="K114" s="409">
        <v>10</v>
      </c>
      <c r="L114" s="409">
        <v>11</v>
      </c>
      <c r="M114" s="409">
        <v>12</v>
      </c>
      <c r="N114" s="410" t="s">
        <v>181</v>
      </c>
      <c r="O114" s="411"/>
    </row>
    <row r="115" spans="1:15">
      <c r="A115" t="s">
        <v>335</v>
      </c>
      <c r="B115" s="54">
        <f ca="1">AVERAGE('הוצאות חודשיות'!B115)</f>
        <v>15000</v>
      </c>
      <c r="C115" s="54">
        <f ca="1">AVERAGE('הוצאות חודשיות'!B115:B115)</f>
        <v>15000</v>
      </c>
      <c r="D115" s="54">
        <f ca="1">AVERAGE('הוצאות חודשיות'!B115:C115)</f>
        <v>12000</v>
      </c>
      <c r="E115" s="54">
        <f ca="1">AVERAGE('הוצאות חודשיות'!B115:D115)</f>
        <v>11333.333333333334</v>
      </c>
      <c r="F115" s="54">
        <f ca="1">AVERAGE('הוצאות חודשיות'!B115:E115)</f>
        <v>11000</v>
      </c>
      <c r="G115" s="54">
        <f ca="1">AVERAGE('הוצאות חודשיות'!B115:F115)</f>
        <v>11800</v>
      </c>
      <c r="H115" s="54">
        <f ca="1">AVERAGE('הוצאות חודשיות'!B115:G115)</f>
        <v>12333.333333333334</v>
      </c>
      <c r="I115" s="54">
        <f ca="1">AVERAGE('הוצאות חודשיות'!B115:H115)</f>
        <v>12714.285714285714</v>
      </c>
      <c r="J115" s="54">
        <f ca="1">AVERAGE('הוצאות חודשיות'!B115:I115)</f>
        <v>13000</v>
      </c>
      <c r="K115" s="54">
        <f ca="1">AVERAGE('הוצאות חודשיות'!B115:J115)</f>
        <v>13222.222222222223</v>
      </c>
      <c r="L115" s="54">
        <f ca="1">AVERAGE('הוצאות חודשיות'!B115:K115)</f>
        <v>13400</v>
      </c>
      <c r="M115" s="54">
        <f ca="1">AVERAGE('הוצאות חודשיות'!B115:L115)</f>
        <v>13545.454545454546</v>
      </c>
      <c r="N115" s="374">
        <v>15000</v>
      </c>
      <c r="O115" s="375"/>
    </row>
    <row r="116" spans="1:15">
      <c r="A116" t="s">
        <v>326</v>
      </c>
      <c r="B116" s="54">
        <f ca="1">AVERAGE('הוצאות חודשיות'!B116)</f>
        <v>13003</v>
      </c>
      <c r="C116" s="54">
        <f ca="1">AVERAGE('הוצאות חודשיות'!B116:B116)</f>
        <v>13003</v>
      </c>
      <c r="D116" s="54">
        <f ca="1">AVERAGE('הוצאות חודשיות'!B116:C116)</f>
        <v>6501.5</v>
      </c>
      <c r="E116" s="54">
        <f ca="1">AVERAGE('הוצאות חודשיות'!B116:D116)</f>
        <v>8430.6666666666661</v>
      </c>
      <c r="F116" s="54">
        <f ca="1">AVERAGE('הוצאות חודשיות'!B116:E116)</f>
        <v>6323</v>
      </c>
      <c r="G116" s="54">
        <f ca="1">AVERAGE('הוצאות חודשיות'!B116:F116)</f>
        <v>8058.4</v>
      </c>
      <c r="H116" s="54">
        <f ca="1">AVERAGE('הוצאות חודשיות'!B116:G116)</f>
        <v>6715.333333333333</v>
      </c>
      <c r="I116" s="54">
        <f ca="1">AVERAGE('הוצאות חודשיות'!B116:H116)</f>
        <v>7898.8571428571431</v>
      </c>
      <c r="J116" s="54">
        <f ca="1">AVERAGE('הוצאות חודשיות'!B116:I116)</f>
        <v>6911.5</v>
      </c>
      <c r="K116" s="54">
        <f ca="1">AVERAGE('הוצאות חודשיות'!B116:J116)</f>
        <v>7810.2222222222226</v>
      </c>
      <c r="L116" s="54">
        <f ca="1">AVERAGE('הוצאות חודשיות'!B116:K116)</f>
        <v>7029.2</v>
      </c>
      <c r="M116" s="54">
        <f ca="1">AVERAGE('הוצאות חודשיות'!B116:L116)</f>
        <v>7753.818181818182</v>
      </c>
      <c r="N116" s="374">
        <v>6000</v>
      </c>
      <c r="O116" s="375"/>
    </row>
    <row r="117" spans="1:15">
      <c r="A117" t="s">
        <v>327</v>
      </c>
      <c r="B117" s="54">
        <f ca="1">AVERAGE('הוצאות חודשיות'!B117)</f>
        <v>6054</v>
      </c>
      <c r="C117" s="54">
        <f ca="1">AVERAGE('הוצאות חודשיות'!B117:B117)</f>
        <v>6054</v>
      </c>
      <c r="D117" s="54">
        <f ca="1">AVERAGE('הוצאות חודשיות'!B117:C117)</f>
        <v>5532.5</v>
      </c>
      <c r="E117" s="54">
        <f ca="1">AVERAGE('הוצאות חודשיות'!B117:D117)</f>
        <v>5594.666666666667</v>
      </c>
      <c r="F117" s="54">
        <f ca="1">AVERAGE('הוצאות חודשיות'!B117:E117)</f>
        <v>5777.75</v>
      </c>
      <c r="G117" s="54">
        <f ca="1">AVERAGE('הוצאות חודשיות'!B117:F117)</f>
        <v>6622.2</v>
      </c>
      <c r="H117" s="54">
        <f ca="1">AVERAGE('הוצאות חודשיות'!B117:G117)</f>
        <v>7185.166666666667</v>
      </c>
      <c r="I117" s="54">
        <f ca="1">AVERAGE('הוצאות חודשיות'!B117:H117)</f>
        <v>7587.2857142857147</v>
      </c>
      <c r="J117" s="54">
        <f ca="1">AVERAGE('הוצאות חודשיות'!B117:I117)</f>
        <v>7888.875</v>
      </c>
      <c r="K117" s="54">
        <f ca="1">AVERAGE('הוצאות חודשיות'!B117:J117)</f>
        <v>8123.4444444444443</v>
      </c>
      <c r="L117" s="54">
        <f ca="1">AVERAGE('הוצאות חודשיות'!B117:K117)</f>
        <v>8311.1</v>
      </c>
      <c r="M117" s="54">
        <f ca="1">AVERAGE('הוצאות חודשיות'!B117:L117)</f>
        <v>8464.636363636364</v>
      </c>
      <c r="N117" s="374">
        <v>5000</v>
      </c>
      <c r="O117" s="375"/>
    </row>
    <row r="118" spans="1:15">
      <c r="A118" t="s">
        <v>236</v>
      </c>
      <c r="B118" s="54">
        <f ca="1">AVERAGE('הוצאות חודשיות'!B118)</f>
        <v>1710</v>
      </c>
      <c r="C118" s="54">
        <f ca="1">AVERAGE('הוצאות חודשיות'!B118:B118)</f>
        <v>1710</v>
      </c>
      <c r="D118" s="54">
        <f ca="1">AVERAGE('הוצאות חודשיות'!B118:C118)</f>
        <v>1711.5</v>
      </c>
      <c r="E118" s="54">
        <f ca="1">AVERAGE('הוצאות חודשיות'!B118:D118)</f>
        <v>1712</v>
      </c>
      <c r="F118" s="54">
        <f ca="1">AVERAGE('הוצאות חודשיות'!B118:E118)</f>
        <v>1712.25</v>
      </c>
      <c r="G118" s="54">
        <f ca="1">AVERAGE('הוצאות חודשיות'!B118:F118)</f>
        <v>1711.8</v>
      </c>
      <c r="H118" s="54">
        <f ca="1">AVERAGE('הוצאות חודשיות'!B118:G118)</f>
        <v>1711.5</v>
      </c>
      <c r="I118" s="54">
        <f ca="1">AVERAGE('הוצאות חודשיות'!B118:H118)</f>
        <v>1711.2857142857142</v>
      </c>
      <c r="J118" s="54">
        <f ca="1">AVERAGE('הוצאות חודשיות'!B118:I118)</f>
        <v>1711.125</v>
      </c>
      <c r="K118" s="54">
        <f ca="1">AVERAGE('הוצאות חודשיות'!B118:J118)</f>
        <v>1711</v>
      </c>
      <c r="L118" s="54">
        <f ca="1">AVERAGE('הוצאות חודשיות'!B118:K118)</f>
        <v>1710.9</v>
      </c>
      <c r="M118" s="54">
        <f ca="1">AVERAGE('הוצאות חודשיות'!B118:L118)</f>
        <v>1710.8181818181818</v>
      </c>
      <c r="N118" s="374">
        <v>1750</v>
      </c>
      <c r="O118" s="375"/>
    </row>
    <row r="119" spans="1:15">
      <c r="A119" t="s">
        <v>328</v>
      </c>
      <c r="B119" s="54">
        <f ca="1">AVERAGE('הוצאות חודשיות'!B119)</f>
        <v>3217.61</v>
      </c>
      <c r="C119" s="54">
        <f ca="1">AVERAGE('הוצאות חודשיות'!B119:B119)</f>
        <v>3217.61</v>
      </c>
      <c r="D119" s="54">
        <f ca="1">AVERAGE('הוצאות חודשיות'!B119:C119)</f>
        <v>3217.61</v>
      </c>
      <c r="E119" s="54">
        <f ca="1">AVERAGE('הוצאות חודשיות'!B119:D119)</f>
        <v>3217.61</v>
      </c>
      <c r="F119" s="54">
        <f ca="1">AVERAGE('הוצאות חודשיות'!B119:E119)</f>
        <v>3217.61</v>
      </c>
      <c r="G119" s="54">
        <f ca="1">AVERAGE('הוצאות חודשיות'!B119:F119)</f>
        <v>3178.442</v>
      </c>
      <c r="H119" s="54">
        <f ca="1">AVERAGE('הוצאות חודשיות'!B119:G119)</f>
        <v>3152.33</v>
      </c>
      <c r="I119" s="54">
        <f ca="1">AVERAGE('הוצאות חודשיות'!B119:H119)</f>
        <v>3133.6785714285716</v>
      </c>
      <c r="J119" s="54">
        <f ca="1">AVERAGE('הוצאות חודשיות'!B119:I119)</f>
        <v>3119.69</v>
      </c>
      <c r="K119" s="54">
        <f ca="1">AVERAGE('הוצאות חודשיות'!B119:J119)</f>
        <v>3108.81</v>
      </c>
      <c r="L119" s="54">
        <f ca="1">AVERAGE('הוצאות חודשיות'!B119:K119)</f>
        <v>3100.1060000000002</v>
      </c>
      <c r="M119" s="54">
        <f ca="1">AVERAGE('הוצאות חודשיות'!B119:L119)</f>
        <v>3092.9845454545457</v>
      </c>
      <c r="N119" s="374">
        <v>3300</v>
      </c>
      <c r="O119" s="375"/>
    </row>
    <row r="120" spans="1:15">
      <c r="A120" t="s">
        <v>329</v>
      </c>
      <c r="B120" s="54">
        <f ca="1">AVERAGE('הוצאות חודשיות'!B120)</f>
        <v>7074.96</v>
      </c>
      <c r="C120" s="54">
        <f ca="1">AVERAGE('הוצאות חודשיות'!B120:B120)</f>
        <v>7074.96</v>
      </c>
      <c r="D120" s="54">
        <f ca="1">AVERAGE('הוצאות חודשיות'!B120:C120)</f>
        <v>7384.96</v>
      </c>
      <c r="E120" s="54">
        <f ca="1">AVERAGE('הוצאות חודשיות'!B120:D120)</f>
        <v>7488.293333333334</v>
      </c>
      <c r="F120" s="54">
        <f ca="1">AVERAGE('הוצאות חודשיות'!B120:E120)</f>
        <v>6969.72</v>
      </c>
      <c r="G120" s="54">
        <f ca="1">AVERAGE('הוצאות חודשיות'!B120:F120)</f>
        <v>6658.5760000000009</v>
      </c>
      <c r="H120" s="54">
        <f ca="1">AVERAGE('הוצאות חודשיות'!B120:G120)</f>
        <v>6451.1466666666674</v>
      </c>
      <c r="I120" s="54">
        <f ca="1">AVERAGE('הוצאות חודשיות'!B120:H120)</f>
        <v>6302.9828571428579</v>
      </c>
      <c r="J120" s="54">
        <f ca="1">AVERAGE('הוצאות חודשיות'!B120:I120)</f>
        <v>6191.8600000000006</v>
      </c>
      <c r="K120" s="54">
        <f ca="1">AVERAGE('הוצאות חודשיות'!B120:J120)</f>
        <v>6105.4311111111119</v>
      </c>
      <c r="L120" s="54">
        <f ca="1">AVERAGE('הוצאות חודשיות'!B120:K120)</f>
        <v>6036.2880000000005</v>
      </c>
      <c r="M120" s="54">
        <f ca="1">AVERAGE('הוצאות חודשיות'!B120:L120)</f>
        <v>5979.7163636363639</v>
      </c>
      <c r="N120" s="374">
        <v>3200</v>
      </c>
      <c r="O120" s="375"/>
    </row>
    <row r="121" spans="1:15">
      <c r="A121" t="s">
        <v>330</v>
      </c>
      <c r="B121" s="54">
        <f ca="1">AVERAGE('הוצאות חודשיות'!B121)</f>
        <v>600</v>
      </c>
      <c r="C121" s="54">
        <f ca="1">AVERAGE('הוצאות חודשיות'!B121:B121)</f>
        <v>600</v>
      </c>
      <c r="D121" s="54">
        <f ca="1">AVERAGE('הוצאות חודשיות'!B121:C121)</f>
        <v>600</v>
      </c>
      <c r="E121" s="54">
        <f ca="1">AVERAGE('הוצאות חודשיות'!B121:D121)</f>
        <v>600</v>
      </c>
      <c r="F121" s="54">
        <f ca="1">AVERAGE('הוצאות חודשיות'!B121:E121)</f>
        <v>600</v>
      </c>
      <c r="G121" s="54">
        <f ca="1">AVERAGE('הוצאות חודשיות'!B121:F121)</f>
        <v>600</v>
      </c>
      <c r="H121" s="54">
        <f ca="1">AVERAGE('הוצאות חודשיות'!B121:G121)</f>
        <v>600</v>
      </c>
      <c r="I121" s="54">
        <f ca="1">AVERAGE('הוצאות חודשיות'!B121:H121)</f>
        <v>600</v>
      </c>
      <c r="J121" s="54">
        <f ca="1">AVERAGE('הוצאות חודשיות'!B121:I121)</f>
        <v>600</v>
      </c>
      <c r="K121" s="54">
        <f ca="1">AVERAGE('הוצאות חודשיות'!B121:J121)</f>
        <v>600</v>
      </c>
      <c r="L121" s="54">
        <f ca="1">AVERAGE('הוצאות חודשיות'!B121:K121)</f>
        <v>600</v>
      </c>
      <c r="M121" s="54">
        <f ca="1">AVERAGE('הוצאות חודשיות'!B121:L121)</f>
        <v>600</v>
      </c>
      <c r="N121" s="374">
        <v>600</v>
      </c>
      <c r="O121" s="375"/>
    </row>
    <row r="122" spans="1:15">
      <c r="A122" t="s">
        <v>331</v>
      </c>
      <c r="B122" s="54">
        <f ca="1">AVERAGE('הוצאות חודשיות'!B122)</f>
        <v>0</v>
      </c>
      <c r="C122" s="54">
        <f ca="1">AVERAGE('הוצאות חודשיות'!B122:B122)</f>
        <v>0</v>
      </c>
      <c r="D122" s="54">
        <f ca="1">AVERAGE('הוצאות חודשיות'!B122:C122)</f>
        <v>0</v>
      </c>
      <c r="E122" s="54">
        <f ca="1">AVERAGE('הוצאות חודשיות'!B122:D122)</f>
        <v>0</v>
      </c>
      <c r="F122" s="54">
        <f ca="1">AVERAGE('הוצאות חודשיות'!B122:E122)</f>
        <v>0</v>
      </c>
      <c r="G122" s="54">
        <f ca="1">AVERAGE('הוצאות חודשיות'!B122:F122)</f>
        <v>0</v>
      </c>
      <c r="H122" s="54">
        <f ca="1">AVERAGE('הוצאות חודשיות'!B122:G122)</f>
        <v>0</v>
      </c>
      <c r="I122" s="54">
        <f ca="1">AVERAGE('הוצאות חודשיות'!B122:H122)</f>
        <v>0</v>
      </c>
      <c r="J122" s="54">
        <f ca="1">AVERAGE('הוצאות חודשיות'!B122:I122)</f>
        <v>0</v>
      </c>
      <c r="K122" s="54">
        <f ca="1">AVERAGE('הוצאות חודשיות'!B122:J122)</f>
        <v>0</v>
      </c>
      <c r="L122" s="54">
        <f ca="1">AVERAGE('הוצאות חודשיות'!B122:K122)</f>
        <v>0</v>
      </c>
      <c r="M122" s="54">
        <f ca="1">AVERAGE('הוצאות חודשיות'!B122:L122)</f>
        <v>0</v>
      </c>
      <c r="N122" s="374">
        <v>0</v>
      </c>
      <c r="O122" s="375"/>
    </row>
    <row r="123" spans="1:15">
      <c r="A123" t="s">
        <v>332</v>
      </c>
      <c r="B123" s="54">
        <f ca="1">AVERAGE('הוצאות חודשיות'!B123)</f>
        <v>749</v>
      </c>
      <c r="C123" s="54">
        <f ca="1">AVERAGE('הוצאות חודשיות'!B123:B123)</f>
        <v>749</v>
      </c>
      <c r="D123" s="54">
        <f ca="1">AVERAGE('הוצאות חודשיות'!B123:C123)</f>
        <v>374.5</v>
      </c>
      <c r="E123" s="54">
        <f ca="1">AVERAGE('הוצאות חודשיות'!B123:D123)</f>
        <v>249.66666666666666</v>
      </c>
      <c r="F123" s="54">
        <f ca="1">AVERAGE('הוצאות חודשיות'!B123:E123)</f>
        <v>187.25</v>
      </c>
      <c r="G123" s="54">
        <f ca="1">AVERAGE('הוצאות חודשיות'!B123:F123)</f>
        <v>149.80000000000001</v>
      </c>
      <c r="H123" s="54">
        <f ca="1">AVERAGE('הוצאות חודשיות'!B123:G123)</f>
        <v>124.83333333333333</v>
      </c>
      <c r="I123" s="54">
        <f ca="1">AVERAGE('הוצאות חודשיות'!B123:H123)</f>
        <v>107</v>
      </c>
      <c r="J123" s="54">
        <f ca="1">AVERAGE('הוצאות חודשיות'!B123:I123)</f>
        <v>93.625</v>
      </c>
      <c r="K123" s="54">
        <f ca="1">AVERAGE('הוצאות חודשיות'!B123:J123)</f>
        <v>83.222222222222229</v>
      </c>
      <c r="L123" s="54">
        <f ca="1">AVERAGE('הוצאות חודשיות'!B123:K123)</f>
        <v>74.900000000000006</v>
      </c>
      <c r="M123" s="54">
        <f ca="1">AVERAGE('הוצאות חודשיות'!B123:L123)</f>
        <v>68.090909090909093</v>
      </c>
      <c r="N123" s="374">
        <v>0</v>
      </c>
      <c r="O123" s="375"/>
    </row>
    <row r="124" spans="1:15">
      <c r="A124" t="s">
        <v>333</v>
      </c>
      <c r="B124" s="54">
        <f ca="1">AVERAGE('הוצאות חודשיות'!B124)</f>
        <v>0</v>
      </c>
      <c r="C124" s="54">
        <f ca="1">AVERAGE('הוצאות חודשיות'!B124:B124)</f>
        <v>0</v>
      </c>
      <c r="D124" s="54">
        <f ca="1">AVERAGE('הוצאות חודשיות'!B124:C124)</f>
        <v>0</v>
      </c>
      <c r="E124" s="54">
        <f ca="1">AVERAGE('הוצאות חודשיות'!B124:D124)</f>
        <v>0</v>
      </c>
      <c r="F124" s="54">
        <f ca="1">AVERAGE('הוצאות חודשיות'!B124:E124)</f>
        <v>0</v>
      </c>
      <c r="G124" s="54">
        <f ca="1">AVERAGE('הוצאות חודשיות'!B124:F124)</f>
        <v>0</v>
      </c>
      <c r="H124" s="54">
        <f ca="1">AVERAGE('הוצאות חודשיות'!B124:G124)</f>
        <v>0</v>
      </c>
      <c r="I124" s="54">
        <f ca="1">AVERAGE('הוצאות חודשיות'!B124:H124)</f>
        <v>0</v>
      </c>
      <c r="J124" s="54">
        <f ca="1">AVERAGE('הוצאות חודשיות'!B124:I124)</f>
        <v>0</v>
      </c>
      <c r="K124" s="54">
        <f ca="1">AVERAGE('הוצאות חודשיות'!B124:J124)</f>
        <v>0</v>
      </c>
      <c r="L124" s="54">
        <f ca="1">AVERAGE('הוצאות חודשיות'!B124:K124)</f>
        <v>0</v>
      </c>
      <c r="M124" s="54">
        <f ca="1">AVERAGE('הוצאות חודשיות'!B124:L124)</f>
        <v>0</v>
      </c>
      <c r="N124" s="374">
        <v>0</v>
      </c>
      <c r="O124" s="375"/>
    </row>
    <row r="125" spans="1:15" ht="13.5" thickBot="1">
      <c r="A125" s="384" t="s">
        <v>334</v>
      </c>
      <c r="B125" s="385">
        <f t="shared" ref="B125:M125" ca="1" si="7">SUM(B116:B124)</f>
        <v>32408.57</v>
      </c>
      <c r="C125" s="385">
        <f t="shared" ca="1" si="7"/>
        <v>32408.57</v>
      </c>
      <c r="D125" s="385">
        <f t="shared" ca="1" si="7"/>
        <v>25322.57</v>
      </c>
      <c r="E125" s="385">
        <f t="shared" ca="1" si="7"/>
        <v>27292.903333333335</v>
      </c>
      <c r="F125" s="385">
        <f t="shared" ca="1" si="7"/>
        <v>24787.58</v>
      </c>
      <c r="G125" s="385">
        <f t="shared" ca="1" si="7"/>
        <v>26979.217999999997</v>
      </c>
      <c r="H125" s="385">
        <f t="shared" ca="1" si="7"/>
        <v>25940.31</v>
      </c>
      <c r="I125" s="385">
        <f t="shared" ca="1" si="7"/>
        <v>27341.090000000004</v>
      </c>
      <c r="J125" s="385">
        <f t="shared" ca="1" si="7"/>
        <v>26516.674999999999</v>
      </c>
      <c r="K125" s="385">
        <f t="shared" ca="1" si="7"/>
        <v>27542.130000000005</v>
      </c>
      <c r="L125" s="385">
        <f t="shared" ca="1" si="7"/>
        <v>26862.494000000002</v>
      </c>
      <c r="M125" s="385">
        <f t="shared" ca="1" si="7"/>
        <v>27670.064545454548</v>
      </c>
      <c r="N125" s="386">
        <f>SUM(N115:N124)</f>
        <v>34850</v>
      </c>
      <c r="O125" s="387"/>
    </row>
    <row r="126" spans="1:15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85"/>
    </row>
    <row r="128" spans="1:15" ht="13.5" thickBot="1"/>
    <row r="129" spans="1:15">
      <c r="A129" s="404" t="s">
        <v>66</v>
      </c>
      <c r="B129" s="405"/>
      <c r="C129" s="405"/>
      <c r="D129" s="405"/>
      <c r="E129" s="405"/>
      <c r="F129" s="405"/>
      <c r="G129" s="405"/>
      <c r="H129" s="405"/>
      <c r="I129" s="405"/>
      <c r="J129" s="405"/>
      <c r="K129" s="405"/>
      <c r="L129" s="405"/>
      <c r="M129" s="405"/>
      <c r="N129" s="406"/>
      <c r="O129" s="407"/>
    </row>
    <row r="130" spans="1:15">
      <c r="A130" s="388" t="s">
        <v>67</v>
      </c>
      <c r="B130" s="389">
        <v>1</v>
      </c>
      <c r="C130" s="389">
        <v>2</v>
      </c>
      <c r="D130" s="389">
        <v>3</v>
      </c>
      <c r="E130" s="389">
        <v>4</v>
      </c>
      <c r="F130" s="389">
        <v>5</v>
      </c>
      <c r="G130" s="389">
        <v>6</v>
      </c>
      <c r="H130" s="389">
        <v>7</v>
      </c>
      <c r="I130" s="389">
        <v>8</v>
      </c>
      <c r="J130" s="389">
        <v>9</v>
      </c>
      <c r="K130" s="389">
        <v>10</v>
      </c>
      <c r="L130" s="389">
        <v>11</v>
      </c>
      <c r="M130" s="389">
        <v>12</v>
      </c>
      <c r="N130" s="390" t="s">
        <v>181</v>
      </c>
      <c r="O130" s="391"/>
    </row>
    <row r="131" spans="1:15" ht="13.5" thickBot="1">
      <c r="A131" s="392" t="s">
        <v>246</v>
      </c>
      <c r="B131" s="393">
        <f t="shared" ref="B131:N131" ca="1" si="8">B22+B38+B54+B71+B88+B98+B111</f>
        <v>35469.94</v>
      </c>
      <c r="C131" s="393">
        <f t="shared" ca="1" si="8"/>
        <v>35469.94</v>
      </c>
      <c r="D131" s="393">
        <f t="shared" ca="1" si="8"/>
        <v>37696.900000000009</v>
      </c>
      <c r="E131" s="393">
        <f t="shared" ca="1" si="8"/>
        <v>38062.773333333338</v>
      </c>
      <c r="F131" s="393">
        <f t="shared" ca="1" si="8"/>
        <v>39604.307499999995</v>
      </c>
      <c r="G131" s="393">
        <f t="shared" ca="1" si="8"/>
        <v>37505.504000000001</v>
      </c>
      <c r="H131" s="393">
        <f t="shared" ca="1" si="8"/>
        <v>35946.926666666666</v>
      </c>
      <c r="I131" s="393">
        <f t="shared" ca="1" si="8"/>
        <v>34145.748571428572</v>
      </c>
      <c r="J131" s="393">
        <f t="shared" ca="1" si="8"/>
        <v>33001.025000000001</v>
      </c>
      <c r="K131" s="393">
        <f t="shared" ca="1" si="8"/>
        <v>31862.128888888899</v>
      </c>
      <c r="L131" s="393">
        <f t="shared" ca="1" si="8"/>
        <v>31470.712000000007</v>
      </c>
      <c r="M131" s="393">
        <f t="shared" ca="1" si="8"/>
        <v>30822.370909090907</v>
      </c>
      <c r="N131" s="394">
        <f t="shared" si="8"/>
        <v>34872</v>
      </c>
      <c r="O131" s="395"/>
    </row>
    <row r="132" spans="1:15">
      <c r="A132" s="404" t="s">
        <v>25</v>
      </c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M132" s="405"/>
      <c r="N132" s="406"/>
      <c r="O132" s="407"/>
    </row>
    <row r="133" spans="1:15">
      <c r="A133" s="388" t="s">
        <v>67</v>
      </c>
      <c r="B133" s="389">
        <v>1</v>
      </c>
      <c r="C133" s="389">
        <v>2</v>
      </c>
      <c r="D133" s="389">
        <v>3</v>
      </c>
      <c r="E133" s="389">
        <v>4</v>
      </c>
      <c r="F133" s="389">
        <v>5</v>
      </c>
      <c r="G133" s="389">
        <v>6</v>
      </c>
      <c r="H133" s="389">
        <v>7</v>
      </c>
      <c r="I133" s="389">
        <v>8</v>
      </c>
      <c r="J133" s="389">
        <v>9</v>
      </c>
      <c r="K133" s="389">
        <v>10</v>
      </c>
      <c r="L133" s="389">
        <v>11</v>
      </c>
      <c r="M133" s="389">
        <v>12</v>
      </c>
      <c r="N133" s="390" t="s">
        <v>181</v>
      </c>
      <c r="O133" s="391"/>
    </row>
    <row r="134" spans="1:15">
      <c r="A134" s="56" t="s">
        <v>72</v>
      </c>
      <c r="B134" s="45">
        <f>'1'!C20</f>
        <v>14893.76</v>
      </c>
      <c r="C134" s="45">
        <f>'2'!C20</f>
        <v>16588.759999999998</v>
      </c>
      <c r="D134" s="45">
        <f>'3'!C20</f>
        <v>41781.019999999997</v>
      </c>
      <c r="E134" s="45">
        <f>'4'!C20</f>
        <v>34733.949999999997</v>
      </c>
      <c r="F134" s="45">
        <f>'5'!C20</f>
        <v>14000</v>
      </c>
      <c r="G134" s="45">
        <f>'6'!C20</f>
        <v>14000</v>
      </c>
      <c r="H134" s="45">
        <f>'7'!C20</f>
        <v>14000</v>
      </c>
      <c r="I134" s="45">
        <f>'8'!C20</f>
        <v>14000</v>
      </c>
      <c r="J134" s="45">
        <f>'9'!C20</f>
        <v>14000</v>
      </c>
      <c r="K134" s="45">
        <f>'10'!C20</f>
        <v>14000</v>
      </c>
      <c r="L134" s="45">
        <f>'11'!C20</f>
        <v>14000</v>
      </c>
      <c r="M134" s="45">
        <f>'12'!C20</f>
        <v>14000</v>
      </c>
      <c r="N134" s="48">
        <v>14500</v>
      </c>
      <c r="O134" s="187"/>
    </row>
    <row r="135" spans="1:15">
      <c r="A135" s="56" t="s">
        <v>78</v>
      </c>
      <c r="B135" s="45">
        <f ca="1">'1'!C21</f>
        <v>15000</v>
      </c>
      <c r="C135" s="45">
        <f ca="1">'2'!C21</f>
        <v>9000</v>
      </c>
      <c r="D135" s="45">
        <f ca="1">'3'!C21</f>
        <v>10000</v>
      </c>
      <c r="E135" s="45">
        <f ca="1">'4'!C21</f>
        <v>10000</v>
      </c>
      <c r="F135" s="45">
        <f ca="1">'5'!C21</f>
        <v>15000</v>
      </c>
      <c r="G135" s="45">
        <f ca="1">'6'!C21</f>
        <v>15000</v>
      </c>
      <c r="H135" s="45">
        <f ca="1">'7'!C21</f>
        <v>15000</v>
      </c>
      <c r="I135" s="45">
        <f ca="1">'8'!C21</f>
        <v>15000</v>
      </c>
      <c r="J135" s="45">
        <f ca="1">'9'!C21</f>
        <v>15000</v>
      </c>
      <c r="K135" s="45">
        <f ca="1">'10'!C21</f>
        <v>15000</v>
      </c>
      <c r="L135" s="45">
        <f ca="1">'11'!C21</f>
        <v>15000</v>
      </c>
      <c r="M135" s="45">
        <f ca="1">'12'!C21</f>
        <v>15000</v>
      </c>
      <c r="N135" s="48">
        <v>15000</v>
      </c>
      <c r="O135" s="187"/>
    </row>
    <row r="136" spans="1:15">
      <c r="A136" s="56" t="s">
        <v>80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66"/>
      <c r="O136" s="188"/>
    </row>
    <row r="137" spans="1:15">
      <c r="A137" s="56" t="s">
        <v>82</v>
      </c>
      <c r="B137" s="45">
        <f>'1'!D22</f>
        <v>0</v>
      </c>
      <c r="C137" s="45">
        <f>'2'!D22</f>
        <v>0</v>
      </c>
      <c r="D137" s="45">
        <f>'3'!D22</f>
        <v>0</v>
      </c>
      <c r="E137" s="45">
        <f>'4'!D22</f>
        <v>0</v>
      </c>
      <c r="F137" s="45">
        <f>'5'!D22</f>
        <v>0</v>
      </c>
      <c r="G137" s="45">
        <f>'6'!D22</f>
        <v>0</v>
      </c>
      <c r="H137" s="45">
        <f>'7'!D22</f>
        <v>0</v>
      </c>
      <c r="I137" s="45">
        <f>'8'!D23</f>
        <v>0</v>
      </c>
      <c r="J137" s="45">
        <f>'9'!D22</f>
        <v>0</v>
      </c>
      <c r="K137" s="45">
        <f>'10'!D22</f>
        <v>0</v>
      </c>
      <c r="L137" s="45">
        <f>'11'!D22</f>
        <v>0</v>
      </c>
      <c r="M137" s="45">
        <f>'12'!D22</f>
        <v>0</v>
      </c>
      <c r="N137" s="48">
        <v>249</v>
      </c>
      <c r="O137" s="187"/>
    </row>
    <row r="138" spans="1:15">
      <c r="A138" s="56" t="s">
        <v>84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66"/>
      <c r="O138" s="188"/>
    </row>
    <row r="139" spans="1:15">
      <c r="A139" s="56" t="s">
        <v>84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66"/>
      <c r="O139" s="188"/>
    </row>
    <row r="140" spans="1:15" ht="13.5" thickBot="1">
      <c r="A140" s="396" t="s">
        <v>243</v>
      </c>
      <c r="B140" s="397">
        <f ca="1">SUM(B134:B139)</f>
        <v>29893.760000000002</v>
      </c>
      <c r="C140" s="397">
        <f ca="1">SUM(C134:C139)</f>
        <v>25588.76</v>
      </c>
      <c r="D140" s="397">
        <f ca="1">SUM(D134:D139)</f>
        <v>51781.02</v>
      </c>
      <c r="E140" s="397">
        <f ca="1">SUM(E134:E139)</f>
        <v>44733.95</v>
      </c>
      <c r="F140" s="397">
        <f t="shared" ref="F140:M140" ca="1" si="9">SUM(F134:F139)</f>
        <v>29000</v>
      </c>
      <c r="G140" s="397">
        <f t="shared" ca="1" si="9"/>
        <v>29000</v>
      </c>
      <c r="H140" s="397">
        <f t="shared" ca="1" si="9"/>
        <v>29000</v>
      </c>
      <c r="I140" s="397">
        <f t="shared" ca="1" si="9"/>
        <v>29000</v>
      </c>
      <c r="J140" s="397">
        <f t="shared" ca="1" si="9"/>
        <v>29000</v>
      </c>
      <c r="K140" s="397">
        <f t="shared" ca="1" si="9"/>
        <v>29000</v>
      </c>
      <c r="L140" s="397">
        <f t="shared" ca="1" si="9"/>
        <v>29000</v>
      </c>
      <c r="M140" s="397">
        <f t="shared" ca="1" si="9"/>
        <v>29000</v>
      </c>
      <c r="N140" s="398">
        <f>SUM(N134:N139)</f>
        <v>29749</v>
      </c>
      <c r="O140" s="399"/>
    </row>
    <row r="141" spans="1:15">
      <c r="A141" s="400" t="s">
        <v>88</v>
      </c>
      <c r="B141" s="401"/>
      <c r="C141" s="401"/>
      <c r="D141" s="401"/>
      <c r="E141" s="401"/>
      <c r="F141" s="401"/>
      <c r="G141" s="401"/>
      <c r="H141" s="401"/>
      <c r="I141" s="401"/>
      <c r="J141" s="401"/>
      <c r="K141" s="401"/>
      <c r="L141" s="401"/>
      <c r="M141" s="401"/>
      <c r="N141" s="402"/>
      <c r="O141" s="403"/>
    </row>
    <row r="142" spans="1:15">
      <c r="A142" s="388" t="s">
        <v>67</v>
      </c>
      <c r="B142" s="389">
        <v>1</v>
      </c>
      <c r="C142" s="389">
        <v>2</v>
      </c>
      <c r="D142" s="389">
        <v>3</v>
      </c>
      <c r="E142" s="389">
        <v>4</v>
      </c>
      <c r="F142" s="389">
        <v>5</v>
      </c>
      <c r="G142" s="389">
        <v>6</v>
      </c>
      <c r="H142" s="389">
        <v>7</v>
      </c>
      <c r="I142" s="389">
        <v>8</v>
      </c>
      <c r="J142" s="389">
        <v>9</v>
      </c>
      <c r="K142" s="389">
        <v>10</v>
      </c>
      <c r="L142" s="389">
        <v>11</v>
      </c>
      <c r="M142" s="389">
        <v>12</v>
      </c>
      <c r="N142" s="390" t="s">
        <v>181</v>
      </c>
      <c r="O142" s="391"/>
    </row>
    <row r="143" spans="1:15">
      <c r="A143" s="56" t="s">
        <v>244</v>
      </c>
      <c r="B143" s="54">
        <f ca="1">B140</f>
        <v>29893.760000000002</v>
      </c>
      <c r="C143" s="54">
        <f t="shared" ref="C143:M143" ca="1" si="10">C140</f>
        <v>25588.76</v>
      </c>
      <c r="D143" s="54">
        <f t="shared" ca="1" si="10"/>
        <v>51781.02</v>
      </c>
      <c r="E143" s="54">
        <f t="shared" ca="1" si="10"/>
        <v>44733.95</v>
      </c>
      <c r="F143" s="54">
        <f ca="1">F140</f>
        <v>29000</v>
      </c>
      <c r="G143" s="54">
        <f t="shared" ca="1" si="10"/>
        <v>29000</v>
      </c>
      <c r="H143" s="54">
        <f t="shared" ca="1" si="10"/>
        <v>29000</v>
      </c>
      <c r="I143" s="54">
        <f t="shared" ca="1" si="10"/>
        <v>29000</v>
      </c>
      <c r="J143" s="54">
        <f t="shared" ca="1" si="10"/>
        <v>29000</v>
      </c>
      <c r="K143" s="54">
        <f t="shared" ca="1" si="10"/>
        <v>29000</v>
      </c>
      <c r="L143" s="54">
        <f t="shared" ca="1" si="10"/>
        <v>29000</v>
      </c>
      <c r="M143" s="54">
        <f t="shared" ca="1" si="10"/>
        <v>29000</v>
      </c>
      <c r="N143" s="57">
        <f>N140</f>
        <v>29749</v>
      </c>
      <c r="O143" s="189"/>
    </row>
    <row r="144" spans="1:15">
      <c r="A144" s="56" t="s">
        <v>247</v>
      </c>
      <c r="B144" s="54">
        <f ca="1">B131</f>
        <v>35469.94</v>
      </c>
      <c r="C144" s="54">
        <f t="shared" ref="C144:M144" ca="1" si="11">C131</f>
        <v>35469.94</v>
      </c>
      <c r="D144" s="54">
        <f t="shared" ca="1" si="11"/>
        <v>37696.900000000009</v>
      </c>
      <c r="E144" s="54">
        <f t="shared" ca="1" si="11"/>
        <v>38062.773333333338</v>
      </c>
      <c r="F144" s="54">
        <f t="shared" ca="1" si="11"/>
        <v>39604.307499999995</v>
      </c>
      <c r="G144" s="54">
        <f t="shared" ca="1" si="11"/>
        <v>37505.504000000001</v>
      </c>
      <c r="H144" s="54">
        <f t="shared" ca="1" si="11"/>
        <v>35946.926666666666</v>
      </c>
      <c r="I144" s="54">
        <f t="shared" ca="1" si="11"/>
        <v>34145.748571428572</v>
      </c>
      <c r="J144" s="54">
        <f t="shared" ca="1" si="11"/>
        <v>33001.025000000001</v>
      </c>
      <c r="K144" s="54">
        <f t="shared" ca="1" si="11"/>
        <v>31862.128888888899</v>
      </c>
      <c r="L144" s="54">
        <f t="shared" ca="1" si="11"/>
        <v>31470.712000000007</v>
      </c>
      <c r="M144" s="54">
        <f t="shared" ca="1" si="11"/>
        <v>30822.370909090907</v>
      </c>
      <c r="N144" s="57">
        <f>N131</f>
        <v>34872</v>
      </c>
      <c r="O144" s="189"/>
    </row>
    <row r="145" spans="1:15">
      <c r="A145" s="56" t="s">
        <v>313</v>
      </c>
      <c r="B145" s="54">
        <f ca="1">B144*0.1</f>
        <v>3546.9940000000006</v>
      </c>
      <c r="C145" s="54">
        <f t="shared" ref="C145:N145" ca="1" si="12">C144*0.1</f>
        <v>3546.9940000000006</v>
      </c>
      <c r="D145" s="54">
        <f t="shared" ca="1" si="12"/>
        <v>3769.690000000001</v>
      </c>
      <c r="E145" s="54">
        <f t="shared" ca="1" si="12"/>
        <v>3806.2773333333339</v>
      </c>
      <c r="F145" s="54">
        <f t="shared" ca="1" si="12"/>
        <v>3960.4307499999995</v>
      </c>
      <c r="G145" s="54">
        <f t="shared" ca="1" si="12"/>
        <v>3750.5504000000001</v>
      </c>
      <c r="H145" s="54">
        <f t="shared" ca="1" si="12"/>
        <v>3594.6926666666668</v>
      </c>
      <c r="I145" s="54">
        <f t="shared" ca="1" si="12"/>
        <v>3414.5748571428576</v>
      </c>
      <c r="J145" s="54">
        <f t="shared" ca="1" si="12"/>
        <v>3300.1025000000004</v>
      </c>
      <c r="K145" s="54">
        <f t="shared" ca="1" si="12"/>
        <v>3186.2128888888901</v>
      </c>
      <c r="L145" s="54">
        <f t="shared" ca="1" si="12"/>
        <v>3147.0712000000008</v>
      </c>
      <c r="M145" s="54">
        <f t="shared" ca="1" si="12"/>
        <v>3082.237090909091</v>
      </c>
      <c r="N145" s="57">
        <f t="shared" si="12"/>
        <v>3487.2000000000003</v>
      </c>
      <c r="O145" s="189"/>
    </row>
    <row r="146" spans="1:15" ht="12.75" customHeight="1">
      <c r="A146" s="489" t="s">
        <v>90</v>
      </c>
      <c r="B146" s="487">
        <f ca="1">B143-B144-B145</f>
        <v>-9123.1740000000009</v>
      </c>
      <c r="C146" s="487">
        <f t="shared" ref="C146:N146" ca="1" si="13">C143-C144-C145</f>
        <v>-13428.174000000005</v>
      </c>
      <c r="D146" s="487">
        <f t="shared" ca="1" si="13"/>
        <v>10314.429999999988</v>
      </c>
      <c r="E146" s="487">
        <f t="shared" ca="1" si="13"/>
        <v>2864.8993333333251</v>
      </c>
      <c r="F146" s="487">
        <f t="shared" ca="1" si="13"/>
        <v>-14564.738249999995</v>
      </c>
      <c r="G146" s="487">
        <f t="shared" ca="1" si="13"/>
        <v>-12256.054400000001</v>
      </c>
      <c r="H146" s="487">
        <f t="shared" ca="1" si="13"/>
        <v>-10541.619333333332</v>
      </c>
      <c r="I146" s="487">
        <f t="shared" ca="1" si="13"/>
        <v>-8560.3234285714298</v>
      </c>
      <c r="J146" s="487">
        <f t="shared" ca="1" si="13"/>
        <v>-7301.1275000000023</v>
      </c>
      <c r="K146" s="487">
        <f t="shared" ca="1" si="13"/>
        <v>-6048.3417777777895</v>
      </c>
      <c r="L146" s="487">
        <f t="shared" ca="1" si="13"/>
        <v>-5617.7832000000071</v>
      </c>
      <c r="M146" s="487">
        <f t="shared" ca="1" si="13"/>
        <v>-4904.6079999999984</v>
      </c>
      <c r="N146" s="487">
        <f t="shared" si="13"/>
        <v>-8610.2000000000007</v>
      </c>
      <c r="O146" s="491"/>
    </row>
    <row r="147" spans="1:15" ht="12.75" customHeight="1" thickBot="1">
      <c r="A147" s="490"/>
      <c r="B147" s="488"/>
      <c r="C147" s="488"/>
      <c r="D147" s="488"/>
      <c r="E147" s="488"/>
      <c r="F147" s="488"/>
      <c r="G147" s="488"/>
      <c r="H147" s="488"/>
      <c r="I147" s="488"/>
      <c r="J147" s="488"/>
      <c r="K147" s="488"/>
      <c r="L147" s="488"/>
      <c r="M147" s="488"/>
      <c r="N147" s="488"/>
      <c r="O147" s="492"/>
    </row>
  </sheetData>
  <mergeCells count="15">
    <mergeCell ref="O146:O147"/>
    <mergeCell ref="M146:M147"/>
    <mergeCell ref="L146:L147"/>
    <mergeCell ref="K146:K147"/>
    <mergeCell ref="J146:J147"/>
    <mergeCell ref="N146:N147"/>
    <mergeCell ref="I146:I147"/>
    <mergeCell ref="B146:B147"/>
    <mergeCell ref="A146:A147"/>
    <mergeCell ref="H146:H147"/>
    <mergeCell ref="G146:G147"/>
    <mergeCell ref="F146:F147"/>
    <mergeCell ref="E146:E147"/>
    <mergeCell ref="D146:D147"/>
    <mergeCell ref="C146:C147"/>
  </mergeCells>
  <conditionalFormatting sqref="A3:A4">
    <cfRule type="duplicateValues" dxfId="7" priority="9" stopIfTrue="1"/>
  </conditionalFormatting>
  <conditionalFormatting sqref="A26:A27">
    <cfRule type="duplicateValues" dxfId="6" priority="8" stopIfTrue="1"/>
  </conditionalFormatting>
  <conditionalFormatting sqref="A42:A43">
    <cfRule type="duplicateValues" dxfId="5" priority="7" stopIfTrue="1"/>
  </conditionalFormatting>
  <conditionalFormatting sqref="A58:A59">
    <cfRule type="duplicateValues" dxfId="4" priority="6" stopIfTrue="1"/>
  </conditionalFormatting>
  <conditionalFormatting sqref="A75:A76">
    <cfRule type="duplicateValues" dxfId="3" priority="5" stopIfTrue="1"/>
  </conditionalFormatting>
  <conditionalFormatting sqref="A92:A93">
    <cfRule type="duplicateValues" dxfId="2" priority="4" stopIfTrue="1"/>
  </conditionalFormatting>
  <conditionalFormatting sqref="A102:A103">
    <cfRule type="duplicateValues" dxfId="1" priority="3" stopIfTrue="1"/>
  </conditionalFormatting>
  <conditionalFormatting sqref="A115:A124">
    <cfRule type="duplicateValues" dxfId="0" priority="1" stopIfTrue="1"/>
  </conditionalFormatting>
  <pageMargins left="0.7" right="0.7" top="0.75" bottom="0.75" header="0.3" footer="0.3"/>
  <pageSetup paperSize="9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6E83-B742-4005-A1A8-FDA2F3CB49BC}">
  <sheetPr codeName="Sheet27"/>
  <dimension ref="C2:E14"/>
  <sheetViews>
    <sheetView rightToLeft="1" workbookViewId="0">
      <selection activeCell="D6" sqref="D6"/>
    </sheetView>
  </sheetViews>
  <sheetFormatPr defaultRowHeight="12.75"/>
  <cols>
    <col min="3" max="3" width="21.140625" customWidth="1"/>
  </cols>
  <sheetData>
    <row r="2" spans="3:5">
      <c r="C2" t="s">
        <v>190</v>
      </c>
      <c r="D2">
        <v>9</v>
      </c>
    </row>
    <row r="3" spans="3:5">
      <c r="D3" t="s">
        <v>181</v>
      </c>
      <c r="E3" t="s">
        <v>204</v>
      </c>
    </row>
    <row r="4" spans="3:5">
      <c r="C4" t="s">
        <v>76</v>
      </c>
      <c r="D4">
        <f>SUMIF('הוצאות חודשיות'!$A:$A,'סל הוצאות'!$C4,'הוצאות חודשיות'!$O:$O)</f>
        <v>135</v>
      </c>
      <c r="E4">
        <f ca="1">SUMIF((INDIRECT("'"&amp;$D$2&amp;"'!"&amp;"H:O")),$C4,(INDIRECT("'"&amp;$D$2&amp;"'!"&amp;"G:G")))</f>
        <v>272.3</v>
      </c>
    </row>
    <row r="5" spans="3:5">
      <c r="C5" t="s">
        <v>91</v>
      </c>
      <c r="D5">
        <f>SUMIF('הוצאות חודשיות'!$A:$A,'סל הוצאות'!$C5,'הוצאות חודשיות'!$O:$O)</f>
        <v>6000</v>
      </c>
      <c r="E5">
        <f t="shared" ref="E5:E14" ca="1" si="0">SUMIF((INDIRECT("'"&amp;$D$2&amp;"'!"&amp;"H:O")),$C5,(INDIRECT("'"&amp;$D$2&amp;"'!"&amp;"G:G")))</f>
        <v>4000</v>
      </c>
    </row>
    <row r="6" spans="3:5">
      <c r="C6" t="s">
        <v>276</v>
      </c>
      <c r="D6">
        <f>SUMIF('הוצאות חודשיות'!$A:$A,'סל הוצאות'!$C6,'הוצאות חודשיות'!$O:$O)</f>
        <v>500</v>
      </c>
      <c r="E6">
        <f t="shared" ca="1" si="0"/>
        <v>0</v>
      </c>
    </row>
    <row r="7" spans="3:5">
      <c r="C7" t="s">
        <v>76</v>
      </c>
      <c r="D7">
        <f>SUMIF('הוצאות חודשיות'!$A:$A,'סל הוצאות'!$C7,'הוצאות חודשיות'!$O:$O)</f>
        <v>135</v>
      </c>
      <c r="E7">
        <f t="shared" ca="1" si="0"/>
        <v>272.3</v>
      </c>
    </row>
    <row r="8" spans="3:5">
      <c r="C8" t="s">
        <v>76</v>
      </c>
      <c r="D8">
        <f>SUMIF('הוצאות חודשיות'!$A:$A,'סל הוצאות'!$C8,'הוצאות חודשיות'!$O:$O)</f>
        <v>135</v>
      </c>
      <c r="E8">
        <f t="shared" ca="1" si="0"/>
        <v>272.3</v>
      </c>
    </row>
    <row r="9" spans="3:5">
      <c r="C9" t="s">
        <v>76</v>
      </c>
      <c r="D9">
        <f>SUMIF('הוצאות חודשיות'!$A:$A,'סל הוצאות'!$C9,'הוצאות חודשיות'!$O:$O)</f>
        <v>135</v>
      </c>
      <c r="E9">
        <f t="shared" ca="1" si="0"/>
        <v>272.3</v>
      </c>
    </row>
    <row r="10" spans="3:5">
      <c r="C10" t="s">
        <v>76</v>
      </c>
      <c r="D10">
        <f>SUMIF('הוצאות חודשיות'!$A:$A,'סל הוצאות'!$C10,'הוצאות חודשיות'!$O:$O)</f>
        <v>135</v>
      </c>
      <c r="E10">
        <f t="shared" ca="1" si="0"/>
        <v>272.3</v>
      </c>
    </row>
    <row r="11" spans="3:5">
      <c r="C11" t="s">
        <v>76</v>
      </c>
      <c r="D11">
        <f>SUMIF('הוצאות חודשיות'!$A:$A,'סל הוצאות'!$C11,'הוצאות חודשיות'!$O:$O)</f>
        <v>135</v>
      </c>
      <c r="E11">
        <f t="shared" ca="1" si="0"/>
        <v>272.3</v>
      </c>
    </row>
    <row r="12" spans="3:5">
      <c r="C12" t="s">
        <v>76</v>
      </c>
      <c r="D12">
        <f>SUMIF('הוצאות חודשיות'!$A:$A,'סל הוצאות'!$C12,'הוצאות חודשיות'!$O:$O)</f>
        <v>135</v>
      </c>
      <c r="E12">
        <f t="shared" ca="1" si="0"/>
        <v>272.3</v>
      </c>
    </row>
    <row r="13" spans="3:5">
      <c r="C13" t="s">
        <v>76</v>
      </c>
      <c r="D13">
        <f>SUMIF('הוצאות חודשיות'!$A:$A,'סל הוצאות'!$C13,'הוצאות חודשיות'!$O:$O)</f>
        <v>135</v>
      </c>
      <c r="E13">
        <f t="shared" ca="1" si="0"/>
        <v>272.3</v>
      </c>
    </row>
    <row r="14" spans="3:5">
      <c r="C14" t="s">
        <v>76</v>
      </c>
      <c r="D14">
        <f>SUMIF('הוצאות חודשיות'!$A:$A,'סל הוצאות'!$C14,'הוצאות חודשיות'!$O:$O)</f>
        <v>135</v>
      </c>
      <c r="E14">
        <f t="shared" ca="1" si="0"/>
        <v>272.3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AAA3A3-AE64-4E5E-A09A-B7C9B93B27FC}">
          <x14:formula1>
            <xm:f>Dropdown!$M$1:$M$101</xm:f>
          </x14:formula1>
          <xm:sqref>C3:C14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/>
  <dimension ref="A1:AF8"/>
  <sheetViews>
    <sheetView rightToLeft="1" workbookViewId="0">
      <selection sqref="A1:AF8"/>
    </sheetView>
  </sheetViews>
  <sheetFormatPr defaultRowHeight="12.75"/>
  <cols>
    <col min="1" max="1" width="31.5703125" bestFit="1" customWidth="1"/>
    <col min="2" max="10" width="2" bestFit="1" customWidth="1"/>
    <col min="11" max="32" width="3" bestFit="1" customWidth="1"/>
  </cols>
  <sheetData>
    <row r="1" spans="1:32">
      <c r="A1" s="284"/>
      <c r="B1" s="285">
        <v>1</v>
      </c>
      <c r="C1" s="285">
        <v>2</v>
      </c>
      <c r="D1" s="285">
        <v>3</v>
      </c>
      <c r="E1" s="285">
        <v>4</v>
      </c>
      <c r="F1" s="285">
        <v>5</v>
      </c>
      <c r="G1" s="285">
        <v>6</v>
      </c>
      <c r="H1" s="285">
        <v>7</v>
      </c>
      <c r="I1" s="285">
        <v>8</v>
      </c>
      <c r="J1" s="285">
        <v>9</v>
      </c>
      <c r="K1" s="285">
        <v>10</v>
      </c>
      <c r="L1" s="285">
        <v>11</v>
      </c>
      <c r="M1" s="285">
        <v>12</v>
      </c>
      <c r="N1" s="285">
        <v>13</v>
      </c>
      <c r="O1" s="285">
        <v>14</v>
      </c>
      <c r="P1" s="285">
        <v>15</v>
      </c>
      <c r="Q1" s="285">
        <v>16</v>
      </c>
      <c r="R1" s="285">
        <v>17</v>
      </c>
      <c r="S1" s="285">
        <v>18</v>
      </c>
      <c r="T1" s="285">
        <v>19</v>
      </c>
      <c r="U1" s="285">
        <v>20</v>
      </c>
      <c r="V1" s="285">
        <v>21</v>
      </c>
      <c r="W1" s="285">
        <v>22</v>
      </c>
      <c r="X1" s="285">
        <v>23</v>
      </c>
      <c r="Y1" s="285">
        <v>24</v>
      </c>
      <c r="Z1" s="285">
        <v>25</v>
      </c>
      <c r="AA1" s="285">
        <v>26</v>
      </c>
      <c r="AB1" s="285">
        <v>27</v>
      </c>
      <c r="AC1" s="285">
        <v>28</v>
      </c>
      <c r="AD1" s="285">
        <v>29</v>
      </c>
      <c r="AE1" s="285">
        <v>30</v>
      </c>
      <c r="AF1" s="285">
        <v>31</v>
      </c>
    </row>
    <row r="2" spans="1:32">
      <c r="A2" s="286" t="s">
        <v>65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</row>
    <row r="3" spans="1:32">
      <c r="A3" s="286" t="s">
        <v>89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</row>
    <row r="4" spans="1:32">
      <c r="A4" s="286" t="s">
        <v>98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</row>
    <row r="5" spans="1:32">
      <c r="A5" s="286" t="s">
        <v>105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</row>
    <row r="6" spans="1:32">
      <c r="A6" s="286" t="s">
        <v>117</v>
      </c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</row>
    <row r="7" spans="1:32">
      <c r="A7" s="286" t="s">
        <v>125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</row>
    <row r="8" spans="1:32">
      <c r="A8" s="286" t="s">
        <v>130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M10"/>
  <sheetViews>
    <sheetView rightToLeft="1" workbookViewId="0">
      <selection activeCell="I21" sqref="I21"/>
    </sheetView>
  </sheetViews>
  <sheetFormatPr defaultColWidth="9.28515625" defaultRowHeight="12.75"/>
  <cols>
    <col min="1" max="1" width="11.5703125" style="40" bestFit="1" customWidth="1"/>
    <col min="2" max="16384" width="9.28515625" style="40"/>
  </cols>
  <sheetData>
    <row r="1" spans="1:13" s="43" customFormat="1">
      <c r="A1" s="43" t="s">
        <v>190</v>
      </c>
      <c r="B1" s="43">
        <v>1</v>
      </c>
      <c r="C1" s="43">
        <v>2</v>
      </c>
      <c r="D1" s="43">
        <v>3</v>
      </c>
      <c r="E1" s="43">
        <v>4</v>
      </c>
      <c r="F1" s="43">
        <v>5</v>
      </c>
      <c r="G1" s="43">
        <v>6</v>
      </c>
      <c r="H1" s="43">
        <v>7</v>
      </c>
      <c r="I1" s="43">
        <v>8</v>
      </c>
      <c r="J1" s="43">
        <v>9</v>
      </c>
      <c r="K1" s="43">
        <v>10</v>
      </c>
      <c r="L1" s="43">
        <v>11</v>
      </c>
      <c r="M1" s="43">
        <v>12</v>
      </c>
    </row>
    <row r="2" spans="1:13">
      <c r="A2" s="40" t="s">
        <v>91</v>
      </c>
      <c r="B2" s="79">
        <f ca="1">'ממוצע ורצוי'!$N$26-SUMIF((INDIRECT("'"&amp;B$1&amp;"'!"&amp;"I:I")),$A2,(INDIRECT("'"&amp;B$1&amp;"'!"&amp;"G:G")))</f>
        <v>6000</v>
      </c>
      <c r="C2" s="79">
        <f>'ממוצע ורצוי'!$N$26</f>
        <v>6000</v>
      </c>
      <c r="D2" s="79">
        <f>'ממוצע ורצוי'!$N$26</f>
        <v>6000</v>
      </c>
      <c r="E2" s="79">
        <f>'ממוצע ורצוי'!$N$26</f>
        <v>6000</v>
      </c>
      <c r="F2" s="79">
        <f>'ממוצע ורצוי'!$N$26</f>
        <v>6000</v>
      </c>
      <c r="G2" s="79">
        <f>'ממוצע ורצוי'!$N$26</f>
        <v>6000</v>
      </c>
      <c r="H2" s="79">
        <f>'ממוצע ורצוי'!$N$26</f>
        <v>6000</v>
      </c>
      <c r="I2" s="79">
        <f>'ממוצע ורצוי'!$N$26</f>
        <v>6000</v>
      </c>
      <c r="J2" s="79">
        <f>'ממוצע ורצוי'!$N$26</f>
        <v>6000</v>
      </c>
      <c r="K2" s="79">
        <f>'ממוצע ורצוי'!$N$26</f>
        <v>6000</v>
      </c>
      <c r="L2" s="79">
        <f>'ממוצע ורצוי'!$N$26</f>
        <v>6000</v>
      </c>
      <c r="M2" s="79">
        <f>'ממוצע ורצוי'!$N$26</f>
        <v>6000</v>
      </c>
    </row>
    <row r="3" spans="1:13">
      <c r="A3" s="40" t="s">
        <v>99</v>
      </c>
      <c r="B3" s="79">
        <f ca="1">'ממוצע ורצוי'!$N$42-SUMIF((INDIRECT("'"&amp;B$1&amp;"'!"&amp;"J:J")),$A3,(INDIRECT("'"&amp;B$1&amp;"'!"&amp;"G:G")))</f>
        <v>1400</v>
      </c>
      <c r="C3" s="79">
        <f>'ממוצע ורצוי'!$N$42</f>
        <v>1400</v>
      </c>
      <c r="D3" s="79">
        <f>'ממוצע ורצוי'!$N$42</f>
        <v>1400</v>
      </c>
      <c r="E3" s="79">
        <f>'ממוצע ורצוי'!$N$42</f>
        <v>1400</v>
      </c>
      <c r="F3" s="79">
        <f>'ממוצע ורצוי'!$N$42</f>
        <v>1400</v>
      </c>
      <c r="G3" s="79">
        <f>'ממוצע ורצוי'!$N$42</f>
        <v>1400</v>
      </c>
      <c r="H3" s="79">
        <f>'ממוצע ורצוי'!$N$42</f>
        <v>1400</v>
      </c>
      <c r="I3" s="79">
        <f>'ממוצע ורצוי'!$N$42</f>
        <v>1400</v>
      </c>
      <c r="J3" s="79">
        <f>'ממוצע ורצוי'!$N$42</f>
        <v>1400</v>
      </c>
      <c r="K3" s="79">
        <f>'ממוצע ורצוי'!$N$42</f>
        <v>1400</v>
      </c>
      <c r="L3" s="79">
        <f>'ממוצע ורצוי'!$N$42</f>
        <v>1400</v>
      </c>
      <c r="M3" s="79">
        <f>'ממוצע ורצוי'!$N$42</f>
        <v>1400</v>
      </c>
    </row>
    <row r="4" spans="1:13">
      <c r="A4" s="40" t="s">
        <v>225</v>
      </c>
      <c r="B4" s="79">
        <f ca="1">'ממוצע ורצוי'!$N$78+'ממוצע ורצוי'!$N$86+'ממוצע ורצוי'!$N$87-SUMIF((INDIRECT("'"&amp;B$1&amp;"'!"&amp;"L:L")),"אוכל לילי",(INDIRECT("'"&amp;B$1&amp;"'!"&amp;"G:G")))-SUMIF((INDIRECT("'"&amp;B$1&amp;"'!"&amp;"L:L")),"אוכל יניב",(INDIRECT("'"&amp;B$1&amp;"'!"&amp;"G:G")))-SUMIF((INDIRECT("'"&amp;B$1&amp;"'!"&amp;"L:L")),"מסעדות ומשלוחים",(INDIRECT("'"&amp;B$1&amp;"'!"&amp;"G:G")))</f>
        <v>500</v>
      </c>
      <c r="C4" s="79">
        <f>'ממוצע ורצוי'!$N$78+'ממוצע ורצוי'!$N$86+'ממוצע ורצוי'!$N$87</f>
        <v>500</v>
      </c>
      <c r="D4" s="79">
        <f>'ממוצע ורצוי'!$N$78+'ממוצע ורצוי'!$N$86+'ממוצע ורצוי'!$N$87</f>
        <v>500</v>
      </c>
      <c r="E4" s="79">
        <f>'ממוצע ורצוי'!$N$78+'ממוצע ורצוי'!$N$86+'ממוצע ורצוי'!$N$87</f>
        <v>500</v>
      </c>
      <c r="F4" s="79">
        <f>'ממוצע ורצוי'!$N$78+'ממוצע ורצוי'!$N$86+'ממוצע ורצוי'!$N$87</f>
        <v>500</v>
      </c>
      <c r="G4" s="79">
        <f>'ממוצע ורצוי'!$N$78+'ממוצע ורצוי'!$N$86+'ממוצע ורצוי'!$N$87</f>
        <v>500</v>
      </c>
      <c r="H4" s="79">
        <f>'ממוצע ורצוי'!$N$78+'ממוצע ורצוי'!$N$86+'ממוצע ורצוי'!$N$87</f>
        <v>500</v>
      </c>
      <c r="I4" s="79">
        <f>'ממוצע ורצוי'!$N$78+'ממוצע ורצוי'!$N$86+'ממוצע ורצוי'!$N$87</f>
        <v>500</v>
      </c>
      <c r="J4" s="79">
        <f>'ממוצע ורצוי'!$N$78+'ממוצע ורצוי'!$N$86+'ממוצע ורצוי'!$N$87</f>
        <v>500</v>
      </c>
      <c r="K4" s="79">
        <f>'ממוצע ורצוי'!$N$78+'ממוצע ורצוי'!$N$86+'ממוצע ורצוי'!$N$87</f>
        <v>500</v>
      </c>
      <c r="L4" s="79">
        <f>'ממוצע ורצוי'!$N$78+'ממוצע ורצוי'!$N$86+'ממוצע ורצוי'!$N$87</f>
        <v>500</v>
      </c>
      <c r="M4" s="79">
        <f>'ממוצע ורצוי'!$N$78+'ממוצע ורצוי'!$N$86+'ממוצע ורצוי'!$N$87</f>
        <v>500</v>
      </c>
    </row>
    <row r="5" spans="1:13">
      <c r="A5" s="40" t="s">
        <v>226</v>
      </c>
      <c r="B5" s="79">
        <v>2000</v>
      </c>
      <c r="C5" s="79">
        <v>2000</v>
      </c>
      <c r="D5" s="79">
        <v>2000</v>
      </c>
      <c r="E5" s="79">
        <v>2000</v>
      </c>
      <c r="F5" s="79">
        <v>2000</v>
      </c>
      <c r="G5" s="79">
        <v>2000</v>
      </c>
      <c r="H5" s="79">
        <v>2000</v>
      </c>
      <c r="I5" s="79">
        <v>2000</v>
      </c>
      <c r="J5" s="79">
        <v>2000</v>
      </c>
      <c r="K5" s="79">
        <v>2000</v>
      </c>
      <c r="L5" s="79">
        <v>2000</v>
      </c>
      <c r="M5" s="79">
        <v>2000</v>
      </c>
    </row>
    <row r="6" spans="1:13">
      <c r="A6" s="40" t="s">
        <v>62</v>
      </c>
      <c r="B6" s="79"/>
      <c r="C6" s="79"/>
      <c r="D6" s="79"/>
      <c r="E6" s="79"/>
      <c r="F6" s="79"/>
      <c r="G6" s="79"/>
      <c r="H6" s="79"/>
      <c r="I6" s="79"/>
      <c r="J6" s="79"/>
      <c r="K6" s="79">
        <v>1200</v>
      </c>
      <c r="L6" s="40">
        <v>1000</v>
      </c>
      <c r="M6" s="79"/>
    </row>
    <row r="7" spans="1:13">
      <c r="A7" s="40" t="s">
        <v>137</v>
      </c>
      <c r="B7" s="79"/>
      <c r="C7" s="79"/>
      <c r="D7" s="79"/>
      <c r="E7" s="79"/>
      <c r="F7" s="79"/>
      <c r="G7" s="79">
        <v>1200</v>
      </c>
      <c r="H7" s="40">
        <v>1000</v>
      </c>
      <c r="I7" s="79"/>
      <c r="J7" s="79"/>
      <c r="K7" s="79"/>
      <c r="L7" s="79"/>
      <c r="M7" s="79"/>
    </row>
    <row r="8" spans="1:13">
      <c r="A8" s="40" t="s">
        <v>222</v>
      </c>
      <c r="B8" s="79"/>
      <c r="C8" s="79"/>
      <c r="D8" s="79"/>
      <c r="E8" s="79"/>
      <c r="F8" s="79"/>
      <c r="G8" s="79"/>
      <c r="H8" s="79"/>
      <c r="I8" s="79"/>
      <c r="J8" s="79">
        <v>700</v>
      </c>
      <c r="K8" s="79"/>
      <c r="L8" s="79"/>
      <c r="M8" s="79"/>
    </row>
    <row r="9" spans="1:13">
      <c r="A9" s="40" t="s">
        <v>223</v>
      </c>
      <c r="B9" s="79"/>
      <c r="C9" s="79"/>
      <c r="D9" s="79"/>
      <c r="E9" s="79">
        <v>700</v>
      </c>
      <c r="F9" s="79"/>
      <c r="G9" s="79"/>
      <c r="H9" s="79"/>
      <c r="I9" s="79"/>
      <c r="J9" s="79"/>
      <c r="K9" s="79"/>
      <c r="L9" s="79"/>
      <c r="M9" s="79"/>
    </row>
    <row r="10" spans="1:13">
      <c r="A10" s="40" t="s">
        <v>93</v>
      </c>
      <c r="B10" s="40">
        <v>250</v>
      </c>
      <c r="D10" s="40">
        <v>250</v>
      </c>
      <c r="F10" s="40">
        <v>250</v>
      </c>
      <c r="H10" s="40">
        <v>250</v>
      </c>
      <c r="J10" s="40">
        <v>250</v>
      </c>
      <c r="L10" s="40">
        <v>250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0"/>
  <dimension ref="A1:J23"/>
  <sheetViews>
    <sheetView rightToLeft="1" workbookViewId="0">
      <selection activeCell="B20" sqref="B20"/>
    </sheetView>
  </sheetViews>
  <sheetFormatPr defaultColWidth="9.28515625" defaultRowHeight="12.75"/>
  <cols>
    <col min="1" max="1" width="14.28515625" style="40" bestFit="1" customWidth="1"/>
    <col min="2" max="2" width="19.28515625" style="40" bestFit="1" customWidth="1"/>
    <col min="3" max="3" width="10.28515625" style="40" bestFit="1" customWidth="1"/>
    <col min="4" max="4" width="11.5703125" style="40" bestFit="1" customWidth="1"/>
    <col min="5" max="5" width="11.28515625" style="40" bestFit="1" customWidth="1"/>
    <col min="6" max="6" width="11.5703125" style="40" bestFit="1" customWidth="1"/>
    <col min="7" max="7" width="14.28515625" style="40" bestFit="1" customWidth="1"/>
    <col min="8" max="8" width="15.42578125" style="40" bestFit="1" customWidth="1"/>
    <col min="9" max="9" width="10.140625" style="40" bestFit="1" customWidth="1"/>
    <col min="10" max="10" width="3" style="40" bestFit="1" customWidth="1"/>
    <col min="11" max="16384" width="9.28515625" style="40"/>
  </cols>
  <sheetData>
    <row r="1" spans="1:10" ht="13.5" thickBot="1">
      <c r="A1" s="59" t="s">
        <v>253</v>
      </c>
      <c r="B1" s="60"/>
      <c r="C1" s="60"/>
      <c r="D1" s="60"/>
      <c r="E1" s="60"/>
      <c r="F1" s="60"/>
      <c r="G1" s="60"/>
      <c r="H1" s="60"/>
      <c r="I1" s="60"/>
      <c r="J1" s="69"/>
    </row>
    <row r="2" spans="1:10" ht="13.5" thickBot="1">
      <c r="A2" s="62" t="s">
        <v>214</v>
      </c>
      <c r="B2" s="70" t="s">
        <v>221</v>
      </c>
      <c r="C2" s="71" t="s">
        <v>215</v>
      </c>
      <c r="D2" s="71" t="s">
        <v>216</v>
      </c>
      <c r="E2" s="72" t="s">
        <v>261</v>
      </c>
      <c r="F2" s="71" t="s">
        <v>218</v>
      </c>
      <c r="G2" s="71" t="s">
        <v>219</v>
      </c>
      <c r="H2" s="73" t="s">
        <v>220</v>
      </c>
      <c r="I2" s="74" t="s">
        <v>24</v>
      </c>
    </row>
    <row r="3" spans="1:10">
      <c r="A3" s="62">
        <v>0</v>
      </c>
      <c r="B3" s="75">
        <f>SUMIF('1225'!H:H,"&lt;&gt;",'1225'!$G:$G)-SUMIF('1225'!H:H,"הוצאות על הבנייה",'1225'!$G:$G)</f>
        <v>293153.76</v>
      </c>
      <c r="C3" s="75">
        <f>SUMIF('1225'!I:I,"&lt;&gt;",'1225'!$G:$G)</f>
        <v>293153.76</v>
      </c>
      <c r="D3" s="75">
        <f>SUMIF('1225'!J:J,"&lt;&gt;",'1225'!$G:$G)</f>
        <v>293153.76</v>
      </c>
      <c r="E3" s="75">
        <f>SUMIF('1225'!K:K,"&lt;&gt;",'1225'!$G:$G)</f>
        <v>13411.68</v>
      </c>
      <c r="F3" s="75">
        <f>SUMIF('1225'!L:L,"&lt;&gt;",'1225'!$G:$G)</f>
        <v>12823.960000000001</v>
      </c>
      <c r="G3" s="75">
        <f>SUMIF('1225'!M:M,"&lt;&gt;",'1225'!$G:$G)</f>
        <v>17990.36</v>
      </c>
      <c r="H3" s="75">
        <f>SUMIF('1225'!N:N,"&lt;&gt;",'1225'!$G:$G)</f>
        <v>7883.5</v>
      </c>
      <c r="I3" s="76">
        <f>SUM(B3:H3)</f>
        <v>931570.78</v>
      </c>
    </row>
    <row r="4" spans="1:10">
      <c r="A4" s="62">
        <v>1</v>
      </c>
      <c r="B4" s="75">
        <f ca="1">SUMIF('הוצאות חודשיות'!$A:$A,"סך דירה ותקשורת",'הוצאות חודשיות'!$B:$B)</f>
        <v>6424.64</v>
      </c>
      <c r="C4" s="75">
        <f ca="1">SUMIF('הוצאות חודשיות'!$A:$A,"סך מזון וקניות",'הוצאות חודשיות'!$B:$B)</f>
        <v>15438.350000000002</v>
      </c>
      <c r="D4" s="75">
        <f ca="1">SUMIF('הוצאות חודשיות'!$A:$A,"סך רכב ונסיעות",'הוצאות חודשיות'!$B:$B)</f>
        <v>1980.5399999999997</v>
      </c>
      <c r="E4" s="75">
        <f ca="1">SUMIF('הוצאות חודשיות'!$A:$A,"סך חינוך וילדים",'הוצאות חודשיות'!$B:$B)</f>
        <v>4379.72</v>
      </c>
      <c r="F4" s="75">
        <f ca="1">SUMIF('הוצאות חודשיות'!$A:$A,"סך תרבות ופנאי",'הוצאות חודשיות'!$B:$B)</f>
        <v>2661.2300000000005</v>
      </c>
      <c r="G4" s="75">
        <f ca="1">SUMIF('הוצאות חודשיות'!$A:$A,"סך בריאות וטיפולים",'הוצאות חודשיות'!$B:$B)</f>
        <v>1545.5500000000002</v>
      </c>
      <c r="H4" s="75">
        <f ca="1">SUMIF('הוצאות חודשיות'!$A:$A,"סך ביטוחים ופיננסים",'הוצאות חודשיות'!$B:$B)</f>
        <v>3039.9100000000003</v>
      </c>
      <c r="I4" s="76">
        <f ca="1">SUM(B4:H4)</f>
        <v>35469.94</v>
      </c>
    </row>
    <row r="5" spans="1:10">
      <c r="A5" s="62">
        <v>2</v>
      </c>
      <c r="B5" s="75">
        <f ca="1">SUMIF('הוצאות חודשיות'!$A:$A,"סך דירה ותקשורת",'הוצאות חודשיות'!$C:$C)</f>
        <v>9571.23</v>
      </c>
      <c r="C5" s="75">
        <f ca="1">SUMIF('הוצאות חודשיות'!$A:$A,"סך מזון וקניות",'הוצאות חודשיות'!$C:$C)</f>
        <v>12304.48</v>
      </c>
      <c r="D5" s="75">
        <f ca="1">SUMIF('הוצאות חודשיות'!$A:$A,"סך רכב ונסיעות",'הוצאות חודשיות'!$C:$C)</f>
        <v>2002.6899999999998</v>
      </c>
      <c r="E5" s="75">
        <f ca="1">SUMIF('הוצאות חודשיות'!$A:$A,"סך חינוך וילדים",'הוצאות חודשיות'!$C:$C)</f>
        <v>4483.42</v>
      </c>
      <c r="F5" s="75">
        <f ca="1">SUMIF('הוצאות חודשיות'!$A:$A,"סך תרבות ופנאי",'הוצאות חודשיות'!$C:$C)</f>
        <v>6816.68</v>
      </c>
      <c r="G5" s="75">
        <f ca="1">SUMIF('הוצאות חודשיות'!$A:$A,"סך בריאות וטיפולים",'הוצאות חודשיות'!$C:$C)</f>
        <v>1629.02</v>
      </c>
      <c r="H5" s="75">
        <f ca="1">SUMIF('הוצאות חודשיות'!$A:$A,"סך ביטוחים ופיננסים",'הוצאות חודשיות'!$C:$C)</f>
        <v>3116.34</v>
      </c>
      <c r="I5" s="76">
        <f t="shared" ref="I5:I15" ca="1" si="0">SUM(B5:H5)</f>
        <v>39923.86</v>
      </c>
    </row>
    <row r="6" spans="1:10">
      <c r="A6" s="62">
        <v>3</v>
      </c>
      <c r="B6" s="75">
        <f ca="1">SUMIF('הוצאות חודשיות'!$A:$A,"סך דירה ותקשורת",'הוצאות חודשיות'!$D:$D)</f>
        <v>8169.55</v>
      </c>
      <c r="C6" s="75">
        <f ca="1">SUMIF('הוצאות חודשיות'!$A:$A,"סך מזון וקניות",'הוצאות חודשיות'!$D:$D)</f>
        <v>17421.159999999996</v>
      </c>
      <c r="D6" s="75">
        <f ca="1">SUMIF('הוצאות חודשיות'!$A:$A,"סך רכב ונסיעות",'הוצאות חודשיות'!$D:$D)</f>
        <v>1683.91</v>
      </c>
      <c r="E6" s="75">
        <f ca="1">SUMIF('הוצאות חודשיות'!$A:$A,"סך חינוך וילדים",'הוצאות חודשיות'!$D:$D)</f>
        <v>3707.7200000000003</v>
      </c>
      <c r="F6" s="75">
        <f ca="1">SUMIF('הוצאות חודשיות'!$A:$A,"סך תרבות ופנאי",'הוצאות חודשיות'!$D:$D)</f>
        <v>4936.05</v>
      </c>
      <c r="G6" s="75">
        <f ca="1">SUMIF('הוצאות חודשיות'!$A:$A,"סך בריאות וטיפולים",'הוצאות חודשיות'!$D:$D)</f>
        <v>1397.47</v>
      </c>
      <c r="H6" s="75">
        <f ca="1">SUMIF('הוצאות חודשיות'!$A:$A,"סך ביטוחים ופיננסים",'הוצאות חודשיות'!$D:$D)</f>
        <v>1478.6599999999999</v>
      </c>
      <c r="I6" s="76">
        <f t="shared" ca="1" si="0"/>
        <v>38794.520000000004</v>
      </c>
    </row>
    <row r="7" spans="1:10">
      <c r="A7" s="62">
        <v>4</v>
      </c>
      <c r="B7" s="75">
        <f ca="1">SUMIF('הוצאות חודשיות'!$A:$A,"סך דירה ותקשורת",'הוצאות חודשיות'!$E:$E)</f>
        <v>12782.48</v>
      </c>
      <c r="C7" s="75">
        <f ca="1">SUMIF('הוצאות חודשיות'!$A:$A,"סך מזון וקניות",'הוצאות חודשיות'!$E:$E)</f>
        <v>11356.700000000003</v>
      </c>
      <c r="D7" s="75">
        <f ca="1">SUMIF('הוצאות חודשיות'!$A:$A,"סך רכב ונסיעות",'הוצאות חודשיות'!$E:$E)</f>
        <v>4022.64</v>
      </c>
      <c r="E7" s="75">
        <f ca="1">SUMIF('הוצאות חודשיות'!$A:$A,"סך חינוך וילדים",'הוצאות חודשיות'!$E:$E)</f>
        <v>3635.7200000000003</v>
      </c>
      <c r="F7" s="75">
        <f ca="1">SUMIF('הוצאות חודשיות'!$A:$A,"סך תרבות ופנאי",'הוצאות חודשיות'!$E:$E)</f>
        <v>9483.65</v>
      </c>
      <c r="G7" s="75">
        <f ca="1">SUMIF('הוצאות חודשיות'!$A:$A,"סך בריאות וטיפולים",'הוצאות חודשיות'!$E:$E)</f>
        <v>1487.45</v>
      </c>
      <c r="H7" s="75">
        <f ca="1">SUMIF('הוצאות חודשיות'!$A:$A,"סך ביטוחים ופיננסים",'הוצאות חודשיות'!$E:$E)</f>
        <v>1460.27</v>
      </c>
      <c r="I7" s="76">
        <f t="shared" ca="1" si="0"/>
        <v>44228.909999999996</v>
      </c>
    </row>
    <row r="8" spans="1:10">
      <c r="A8" s="62">
        <v>5</v>
      </c>
      <c r="B8" s="75">
        <f ca="1">SUMIF('הוצאות חודשיות'!$A:$A,"סך דירה ותקשורת",'הוצאות חודשיות'!$F:$F)</f>
        <v>13203.96</v>
      </c>
      <c r="C8" s="75">
        <f ca="1">SUMIF('הוצאות חודשיות'!$A:$A,"סך מזון וקניות",'הוצאות חודשיות'!$F:$F)</f>
        <v>4300</v>
      </c>
      <c r="D8" s="75">
        <f ca="1">SUMIF('הוצאות חודשיות'!$A:$A,"סך רכב ונסיעות",'הוצאות חודשיות'!$F:$F)</f>
        <v>1784.75</v>
      </c>
      <c r="E8" s="75">
        <f ca="1">SUMIF('הוצאות חודשיות'!$A:$A,"סך חינוך וילדים",'הוצאות חודשיות'!$F:$F)</f>
        <v>3257.7200000000003</v>
      </c>
      <c r="F8" s="75">
        <f ca="1">SUMIF('הוצאות חודשיות'!$A:$A,"סך תרבות ופנאי",'הוצאות חודשיות'!$F:$F)</f>
        <v>3686.8599999999997</v>
      </c>
      <c r="G8" s="75">
        <f ca="1">SUMIF('הוצאות חודשיות'!$A:$A,"סך בריאות וטיפולים",'הוצאות חודשיות'!$F:$F)</f>
        <v>1402</v>
      </c>
      <c r="H8" s="75">
        <f ca="1">SUMIF('הוצאות חודשיות'!$A:$A,"סך ביטוחים ופיננסים",'הוצאות חודשיות'!$F:$F)</f>
        <v>1475</v>
      </c>
      <c r="I8" s="76">
        <f t="shared" ca="1" si="0"/>
        <v>29110.29</v>
      </c>
    </row>
    <row r="9" spans="1:10">
      <c r="A9" s="62">
        <v>6</v>
      </c>
      <c r="B9" s="75">
        <f ca="1">SUMIF('הוצאות חודשיות'!$A:$A,"סך דירה ותקשורת",'הוצאות חודשיות'!$G:$G)</f>
        <v>14253.96</v>
      </c>
      <c r="C9" s="75">
        <f ca="1">SUMIF('הוצאות חודשיות'!$A:$A,"סך מזון וקניות",'הוצאות חודשיות'!$G:$G)</f>
        <v>4000</v>
      </c>
      <c r="D9" s="75">
        <f ca="1">SUMIF('הוצאות חודשיות'!$A:$A,"סך רכב ונסיעות",'הוצאות חודשיות'!$G:$G)</f>
        <v>1184.75</v>
      </c>
      <c r="E9" s="75">
        <f ca="1">SUMIF('הוצאות חודשיות'!$A:$A,"סך חינוך וילדים",'הוצאות חודשיות'!$G:$G)</f>
        <v>3257.7200000000003</v>
      </c>
      <c r="F9" s="75">
        <f ca="1">SUMIF('הוצאות חודשיות'!$A:$A,"סך תרבות ופנאי",'הוצאות חודשיות'!$G:$G)</f>
        <v>2580.6099999999997</v>
      </c>
      <c r="G9" s="75">
        <f ca="1">SUMIF('הוצאות חודשיות'!$A:$A,"סך בריאות וטיפולים",'הוצאות חודשיות'!$G:$G)</f>
        <v>1402</v>
      </c>
      <c r="H9" s="75">
        <f ca="1">SUMIF('הוצאות חודשיות'!$A:$A,"סך ביטוחים ופיננסים",'הוצאות חודשיות'!$G:$G)</f>
        <v>1475</v>
      </c>
      <c r="I9" s="76">
        <f t="shared" ca="1" si="0"/>
        <v>28154.04</v>
      </c>
    </row>
    <row r="10" spans="1:10">
      <c r="A10" s="62">
        <v>7</v>
      </c>
      <c r="B10" s="75">
        <f ca="1">SUMIF('הוצאות חודשיות'!$A:$A,"סך דירה ותקשורת",'הוצאות חודשיות'!$H:$H)</f>
        <v>13203.96</v>
      </c>
      <c r="C10" s="75">
        <f ca="1">SUMIF('הוצאות חודשיות'!$A:$A,"סך מזון וקניות",'הוצאות חודשיות'!$H:$H)</f>
        <v>4000</v>
      </c>
      <c r="D10" s="75">
        <f ca="1">SUMIF('הוצאות חודשיות'!$A:$A,"סך רכב ונסיעות",'הוצאות חודשיות'!$H:$H)</f>
        <v>0</v>
      </c>
      <c r="E10" s="75">
        <f ca="1">SUMIF('הוצאות חודשיות'!$A:$A,"סך חינוך וילדים",'הוצאות חודשיות'!$H:$H)</f>
        <v>3257.7200000000003</v>
      </c>
      <c r="F10" s="75">
        <f ca="1">SUMIF('הוצאות חודשיות'!$A:$A,"סך תרבות ופנאי",'הוצאות חודשיות'!$H:$H)</f>
        <v>0</v>
      </c>
      <c r="G10" s="75">
        <f ca="1">SUMIF('הוצאות חודשיות'!$A:$A,"סך בריאות וטיפולים",'הוצאות חודשיות'!$H:$H)</f>
        <v>1402</v>
      </c>
      <c r="H10" s="75">
        <f ca="1">SUMIF('הוצאות חודשיות'!$A:$A,"סך ביטוחים ופיננסים",'הוצאות חודשיות'!$H:$H)</f>
        <v>1475</v>
      </c>
      <c r="I10" s="76">
        <f t="shared" ca="1" si="0"/>
        <v>23338.68</v>
      </c>
    </row>
    <row r="11" spans="1:10">
      <c r="A11" s="62">
        <v>8</v>
      </c>
      <c r="B11" s="75">
        <f ca="1">SUMIF('הוצאות חודשיות'!$A:$A,"סך דירה ותקשורת",'הוצאות חודשיות'!$I:$I)</f>
        <v>14253.96</v>
      </c>
      <c r="C11" s="75">
        <f ca="1">SUMIF('הוצאות חודשיות'!$A:$A,"סך מזון וקניות",'הוצאות חודשיות'!$I:$I)</f>
        <v>4000</v>
      </c>
      <c r="D11" s="75">
        <f ca="1">SUMIF('הוצאות חודשיות'!$A:$A,"סך רכב ונסיעות",'הוצאות חודשיות'!$I:$I)</f>
        <v>1187</v>
      </c>
      <c r="E11" s="75">
        <f ca="1">SUMIF('הוצאות חודשיות'!$A:$A,"סך חינוך וילדים",'הוצאות חודשיות'!$I:$I)</f>
        <v>2670</v>
      </c>
      <c r="F11" s="75">
        <f ca="1">SUMIF('הוצאות חודשיות'!$A:$A,"סך תרבות ופנאי",'הוצאות חודשיות'!$I:$I)</f>
        <v>0</v>
      </c>
      <c r="G11" s="75">
        <f ca="1">SUMIF('הוצאות חודשיות'!$A:$A,"סך בריאות וטיפולים",'הוצאות חודשיות'!$I:$I)</f>
        <v>1402</v>
      </c>
      <c r="H11" s="75">
        <f ca="1">SUMIF('הוצאות חודשיות'!$A:$A,"סך ביטוחים ופיננסים",'הוצאות חודשיות'!$I:$I)</f>
        <v>1475</v>
      </c>
      <c r="I11" s="76">
        <f t="shared" ca="1" si="0"/>
        <v>24987.96</v>
      </c>
    </row>
    <row r="12" spans="1:10">
      <c r="A12" s="62">
        <v>9</v>
      </c>
      <c r="B12" s="75">
        <f ca="1">SUMIF('הוצאות חודשיות'!$A:$A,"סך דירה ותקשורת",'הוצאות חודשיות'!$J:$J)</f>
        <v>13203.96</v>
      </c>
      <c r="C12" s="75">
        <f ca="1">SUMIF('הוצאות חודשיות'!$A:$A,"סך מזון וקניות",'הוצאות חודשיות'!$J:$J)</f>
        <v>4000</v>
      </c>
      <c r="D12" s="75">
        <f ca="1">SUMIF('הוצאות חודשיות'!$A:$A,"סך רכב ונסיעות",'הוצאות חודשיות'!$J:$J)</f>
        <v>0</v>
      </c>
      <c r="E12" s="75">
        <f ca="1">SUMIF('הוצאות חודשיות'!$A:$A,"סך חינוך וילדים",'הוצאות חודשיות'!$J:$J)</f>
        <v>2670</v>
      </c>
      <c r="F12" s="75">
        <f ca="1">SUMIF('הוצאות חודשיות'!$A:$A,"סך תרבות ופנאי",'הוצאות חודשיות'!$J:$J)</f>
        <v>0</v>
      </c>
      <c r="G12" s="75">
        <f ca="1">SUMIF('הוצאות חודשיות'!$A:$A,"סך בריאות וטיפולים",'הוצאות חודשיות'!$J:$J)</f>
        <v>1402</v>
      </c>
      <c r="H12" s="75">
        <f ca="1">SUMIF('הוצאות חודשיות'!$A:$A,"סך ביטוחים ופיננסים",'הוצאות חודשיות'!$J:$J)</f>
        <v>1475</v>
      </c>
      <c r="I12" s="76">
        <f t="shared" ca="1" si="0"/>
        <v>22750.959999999999</v>
      </c>
    </row>
    <row r="13" spans="1:10">
      <c r="A13" s="62">
        <v>10</v>
      </c>
      <c r="B13" s="75">
        <f ca="1">SUMIF('הוצאות חודשיות'!$A:$A,"סך דירה ותקשורת",'הוצאות חודשיות'!$K:$K)</f>
        <v>14253.96</v>
      </c>
      <c r="C13" s="75">
        <f ca="1">SUMIF('הוצאות חודשיות'!$A:$A,"סך מזון וקניות",'הוצאות חודשיות'!$K:$K)</f>
        <v>4000</v>
      </c>
      <c r="D13" s="75">
        <f ca="1">SUMIF('הוצאות חודשיות'!$A:$A,"סך רכב ונסיעות",'הוצאות חודשיות'!$K:$K)</f>
        <v>4147</v>
      </c>
      <c r="E13" s="75">
        <f ca="1">SUMIF('הוצאות חודשיות'!$A:$A,"סך חינוך וילדים",'הוצאות חודשיות'!$K:$K)</f>
        <v>2670</v>
      </c>
      <c r="F13" s="75">
        <f ca="1">SUMIF('הוצאות חודשיות'!$A:$A,"סך תרבות ופנאי",'הוצאות חודשיות'!$K:$K)</f>
        <v>0</v>
      </c>
      <c r="G13" s="75">
        <f ca="1">SUMIF('הוצאות חודשיות'!$A:$A,"סך בריאות וטיפולים",'הוצאות חודשיות'!$K:$K)</f>
        <v>1402</v>
      </c>
      <c r="H13" s="75">
        <f ca="1">SUMIF('הוצאות חודשיות'!$A:$A,"סך ביטוחים ופיננסים",'הוצאות חודשיות'!$K:$K)</f>
        <v>1475</v>
      </c>
      <c r="I13" s="76">
        <f t="shared" ca="1" si="0"/>
        <v>27947.96</v>
      </c>
    </row>
    <row r="14" spans="1:10">
      <c r="A14" s="62">
        <v>11</v>
      </c>
      <c r="B14" s="75">
        <f ca="1">SUMIF('הוצאות חודשיות'!$A:$A,"סך דירה ותקשורת",'הוצאות חודשיות'!$L:$L)</f>
        <v>13203.96</v>
      </c>
      <c r="C14" s="75">
        <f ca="1">SUMIF('הוצאות חודשיות'!$A:$A,"סך מזון וקניות",'הוצאות חודשיות'!$L:$L)</f>
        <v>4000</v>
      </c>
      <c r="D14" s="75">
        <f ca="1">SUMIF('הוצאות חודשיות'!$A:$A,"סך רכב ונסיעות",'הוצאות חודשיות'!$L:$L)</f>
        <v>1588</v>
      </c>
      <c r="E14" s="75">
        <f ca="1">SUMIF('הוצאות חודשיות'!$A:$A,"סך חינוך וילדים",'הוצאות חודשיות'!$L:$L)</f>
        <v>2670</v>
      </c>
      <c r="F14" s="75">
        <f ca="1">SUMIF('הוצאות חודשיות'!$A:$A,"סך תרבות ופנאי",'הוצאות חודשיות'!$L:$L)</f>
        <v>0</v>
      </c>
      <c r="G14" s="75">
        <f ca="1">SUMIF('הוצאות חודשיות'!$A:$A,"סך בריאות וטיפולים",'הוצאות חודשיות'!$L:$L)</f>
        <v>1402</v>
      </c>
      <c r="H14" s="75">
        <f ca="1">SUMIF('הוצאות חודשיות'!$A:$A,"סך ביטוחים ופיננסים",'הוצאות חודשיות'!$L:$L)</f>
        <v>1475</v>
      </c>
      <c r="I14" s="76">
        <f t="shared" ca="1" si="0"/>
        <v>24338.959999999999</v>
      </c>
    </row>
    <row r="15" spans="1:10">
      <c r="A15" s="62">
        <v>12</v>
      </c>
      <c r="B15" s="75">
        <f ca="1">SUMIF('הוצאות חודשיות'!$A:$A,"סך דירה ותקשורת",'הוצאות חודשיות'!$M:$M)</f>
        <v>14253.96</v>
      </c>
      <c r="C15" s="75">
        <f ca="1">SUMIF('הוצאות חודשיות'!$A:$A,"סך מזון וקניות",'הוצאות חודשיות'!$M:$M)</f>
        <v>4000</v>
      </c>
      <c r="D15" s="75">
        <f ca="1">SUMIF('הוצאות חודשיות'!$A:$A,"סך רכב ונסיעות",'הוצאות חודשיות'!$M:$M)</f>
        <v>0</v>
      </c>
      <c r="E15" s="75">
        <f ca="1">SUMIF('הוצאות חודשיות'!$A:$A,"סך חינוך וילדים",'הוצאות חודשיות'!$M:$M)</f>
        <v>2670</v>
      </c>
      <c r="F15" s="75">
        <f ca="1">SUMIF('הוצאות חודשיות'!$A:$A,"סך תרבות ופנאי",'הוצאות חודשיות'!$M:$M)</f>
        <v>0</v>
      </c>
      <c r="G15" s="75">
        <f ca="1">SUMIF('הוצאות חודשיות'!$A:$A,"סך בריאות וטיפולים",'הוצאות חודשיות'!$M:$M)</f>
        <v>1402</v>
      </c>
      <c r="H15" s="75">
        <f ca="1">SUMIF('הוצאות חודשיות'!$A:$A,"סך ביטוחים ופיננסים",'הוצאות חודשיות'!$M:$M)</f>
        <v>1475</v>
      </c>
      <c r="I15" s="76">
        <f t="shared" ca="1" si="0"/>
        <v>23800.959999999999</v>
      </c>
    </row>
    <row r="16" spans="1:10" ht="13.5" thickBot="1">
      <c r="A16" s="62" t="s">
        <v>53</v>
      </c>
      <c r="B16" s="77">
        <f ca="1">SUMIF('הוצאות חודשיות'!$A:$A,"סך דירה ותקשורת",'הוצאות חודשיות'!$N:$N)</f>
        <v>12231.631666666668</v>
      </c>
      <c r="C16" s="77">
        <f ca="1">SUMIF('הוצאות חודשיות'!$A:$A,"סך מזון וקניות",'הוצאות חודשיות'!$N:$N)</f>
        <v>7401.724166666666</v>
      </c>
      <c r="D16" s="77">
        <f ca="1">SUMIF('הוצאות חודשיות'!$A:$A,"סך רכב ונסיעות",'הוצאות חודשיות'!$N:$N)</f>
        <v>1631.7733333333333</v>
      </c>
      <c r="E16" s="77">
        <f ca="1">SUMIF('הוצאות חודשיות'!$A:$A,"סך חינוך וילדים",'הוצאות חודשיות'!$N:$N)</f>
        <v>3277.4783333333339</v>
      </c>
      <c r="F16" s="77">
        <f ca="1">SUMIF('הוצאות חודשיות'!$A:$A,"סך תרבות ופנאי",'הוצאות חודשיות'!$N:$N)</f>
        <v>2513.7566666666662</v>
      </c>
      <c r="G16" s="77">
        <f ca="1">SUMIF('הוצאות חודשיות'!$A:$A,"סך בריאות וטיפולים",'הוצאות חודשיות'!$N:$N)</f>
        <v>1439.6241666666665</v>
      </c>
      <c r="H16" s="77">
        <f ca="1">SUMIF('הוצאות חודשיות'!$A:$A,"סך ביטוחים ופיננסים",'הוצאות חודשיות'!$N:$N)</f>
        <v>1741.2649999999999</v>
      </c>
      <c r="I16" s="78">
        <f ca="1">SUM(B16:H16)</f>
        <v>30237.253333333334</v>
      </c>
    </row>
    <row r="17" spans="1:9">
      <c r="B17" s="79"/>
    </row>
    <row r="18" spans="1:9">
      <c r="A18" s="195" t="s">
        <v>663</v>
      </c>
    </row>
    <row r="19" spans="1:9">
      <c r="A19" s="195" t="s">
        <v>190</v>
      </c>
      <c r="B19" s="195" t="s">
        <v>221</v>
      </c>
      <c r="C19" s="195" t="s">
        <v>215</v>
      </c>
      <c r="D19" s="195" t="s">
        <v>216</v>
      </c>
      <c r="E19" s="195" t="s">
        <v>261</v>
      </c>
      <c r="F19" s="195" t="s">
        <v>218</v>
      </c>
      <c r="G19" s="195" t="s">
        <v>219</v>
      </c>
      <c r="H19" s="195" t="s">
        <v>220</v>
      </c>
      <c r="I19" s="195" t="s">
        <v>24</v>
      </c>
    </row>
    <row r="20" spans="1:9">
      <c r="A20" s="40">
        <v>1</v>
      </c>
      <c r="B20" s="184">
        <f t="shared" ref="B20:I22" ca="1" si="1">B4</f>
        <v>6424.64</v>
      </c>
      <c r="C20" s="184">
        <f t="shared" ca="1" si="1"/>
        <v>15438.350000000002</v>
      </c>
      <c r="D20" s="184">
        <f t="shared" ca="1" si="1"/>
        <v>1980.5399999999997</v>
      </c>
      <c r="E20" s="184">
        <f t="shared" ca="1" si="1"/>
        <v>4379.72</v>
      </c>
      <c r="F20" s="184">
        <f t="shared" ca="1" si="1"/>
        <v>2661.2300000000005</v>
      </c>
      <c r="G20" s="184">
        <f t="shared" ca="1" si="1"/>
        <v>1545.5500000000002</v>
      </c>
      <c r="H20" s="184">
        <f t="shared" ca="1" si="1"/>
        <v>3039.9100000000003</v>
      </c>
      <c r="I20" s="184">
        <f t="shared" ca="1" si="1"/>
        <v>35469.94</v>
      </c>
    </row>
    <row r="21" spans="1:9">
      <c r="A21" s="40">
        <v>2</v>
      </c>
      <c r="B21" s="184">
        <f t="shared" ca="1" si="1"/>
        <v>9571.23</v>
      </c>
      <c r="C21" s="184">
        <f t="shared" ca="1" si="1"/>
        <v>12304.48</v>
      </c>
      <c r="D21" s="184">
        <f t="shared" ca="1" si="1"/>
        <v>2002.6899999999998</v>
      </c>
      <c r="E21" s="184">
        <f t="shared" ca="1" si="1"/>
        <v>4483.42</v>
      </c>
      <c r="F21" s="184">
        <f t="shared" ca="1" si="1"/>
        <v>6816.68</v>
      </c>
      <c r="G21" s="184">
        <f t="shared" ca="1" si="1"/>
        <v>1629.02</v>
      </c>
      <c r="H21" s="184">
        <f t="shared" ca="1" si="1"/>
        <v>3116.34</v>
      </c>
      <c r="I21" s="184">
        <f t="shared" ca="1" si="1"/>
        <v>39923.86</v>
      </c>
    </row>
    <row r="22" spans="1:9">
      <c r="A22" s="40">
        <v>3</v>
      </c>
      <c r="B22" s="184">
        <f t="shared" ca="1" si="1"/>
        <v>8169.55</v>
      </c>
      <c r="C22" s="184">
        <f t="shared" ca="1" si="1"/>
        <v>17421.159999999996</v>
      </c>
      <c r="D22" s="184">
        <f t="shared" ca="1" si="1"/>
        <v>1683.91</v>
      </c>
      <c r="E22" s="184">
        <f t="shared" ca="1" si="1"/>
        <v>3707.7200000000003</v>
      </c>
      <c r="F22" s="184">
        <f t="shared" ca="1" si="1"/>
        <v>4936.05</v>
      </c>
      <c r="G22" s="184">
        <f t="shared" ca="1" si="1"/>
        <v>1397.47</v>
      </c>
      <c r="H22" s="184">
        <f t="shared" ca="1" si="1"/>
        <v>1478.6599999999999</v>
      </c>
      <c r="I22" s="184">
        <f t="shared" ca="1" si="1"/>
        <v>38794.520000000004</v>
      </c>
    </row>
    <row r="23" spans="1:9">
      <c r="A23" s="195" t="s">
        <v>24</v>
      </c>
      <c r="B23" s="353">
        <f t="shared" ref="B23:I23" ca="1" si="2">SUM(B20:B22)</f>
        <v>24165.42</v>
      </c>
      <c r="C23" s="353">
        <f t="shared" ca="1" si="2"/>
        <v>45163.99</v>
      </c>
      <c r="D23" s="353">
        <f t="shared" ca="1" si="2"/>
        <v>5667.1399999999994</v>
      </c>
      <c r="E23" s="353">
        <f t="shared" ca="1" si="2"/>
        <v>12570.86</v>
      </c>
      <c r="F23" s="353">
        <f t="shared" ca="1" si="2"/>
        <v>14413.96</v>
      </c>
      <c r="G23" s="353">
        <f t="shared" ca="1" si="2"/>
        <v>4572.04</v>
      </c>
      <c r="H23" s="353">
        <f t="shared" ca="1" si="2"/>
        <v>7634.91</v>
      </c>
      <c r="I23" s="353">
        <f t="shared" ca="1" si="2"/>
        <v>114188.32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A07D-B709-4FA1-A1B6-EC21952EAE32}">
  <dimension ref="A1:G62"/>
  <sheetViews>
    <sheetView rightToLeft="1" workbookViewId="0"/>
  </sheetViews>
  <sheetFormatPr defaultRowHeight="12.75"/>
  <cols>
    <col min="1" max="1" width="69.28515625" bestFit="1" customWidth="1"/>
    <col min="2" max="2" width="18.7109375" bestFit="1" customWidth="1"/>
    <col min="3" max="3" width="11.85546875" bestFit="1" customWidth="1"/>
    <col min="4" max="4" width="9.42578125" bestFit="1" customWidth="1"/>
    <col min="5" max="5" width="41.42578125" bestFit="1" customWidth="1"/>
    <col min="6" max="6" width="11.5703125" bestFit="1" customWidth="1"/>
    <col min="7" max="7" width="7.7109375" bestFit="1" customWidth="1"/>
  </cols>
  <sheetData>
    <row r="1" spans="1:7" ht="18">
      <c r="A1" s="357" t="s">
        <v>695</v>
      </c>
    </row>
    <row r="3" spans="1:7">
      <c r="A3" s="354" t="s">
        <v>664</v>
      </c>
      <c r="B3" s="354" t="s">
        <v>680</v>
      </c>
      <c r="C3" s="354" t="s">
        <v>681</v>
      </c>
      <c r="D3" s="354" t="s">
        <v>682</v>
      </c>
      <c r="E3" s="354" t="s">
        <v>683</v>
      </c>
      <c r="F3" s="354" t="s">
        <v>665</v>
      </c>
      <c r="G3" s="354" t="s">
        <v>684</v>
      </c>
    </row>
    <row r="4" spans="1:7">
      <c r="A4" t="s">
        <v>68</v>
      </c>
      <c r="B4" s="356">
        <f ca="1">AVERAGE('הוצאות חודשיות'!B3:D3)</f>
        <v>2971.8733333333334</v>
      </c>
      <c r="C4" s="356">
        <f t="shared" ref="C4:C36" ca="1" si="0">B4*12</f>
        <v>35662.480000000003</v>
      </c>
      <c r="D4" s="356">
        <f>'הוצאות חודשיות'!O3</f>
        <v>7500</v>
      </c>
      <c r="E4" s="356">
        <f t="shared" ref="E4:E36" si="1">D4*12</f>
        <v>90000</v>
      </c>
      <c r="F4" s="356">
        <f t="shared" ref="F4:F36" ca="1" si="2">C4-E4</f>
        <v>-54337.52</v>
      </c>
      <c r="G4" s="361">
        <f t="shared" ref="G4:G36" ca="1" si="3">IFERROR(IF(E4=0, IF(C4&gt;0, "∞", "-"), F4/E4), "-")</f>
        <v>-0.60375022222222219</v>
      </c>
    </row>
    <row r="5" spans="1:7">
      <c r="A5" t="s">
        <v>70</v>
      </c>
      <c r="B5" s="356">
        <f ca="1">AVERAGE('הוצאות חודשיות'!B5:D5)</f>
        <v>230.06666666666669</v>
      </c>
      <c r="C5" s="356">
        <f t="shared" ca="1" si="0"/>
        <v>2760.8</v>
      </c>
      <c r="D5" s="356">
        <f>'הוצאות חודשיות'!O5</f>
        <v>600</v>
      </c>
      <c r="E5" s="356">
        <f t="shared" si="1"/>
        <v>7200</v>
      </c>
      <c r="F5" s="356">
        <f t="shared" ca="1" si="2"/>
        <v>-4439.2</v>
      </c>
      <c r="G5" s="361">
        <f t="shared" ca="1" si="3"/>
        <v>-0.61655555555555552</v>
      </c>
    </row>
    <row r="6" spans="1:7">
      <c r="A6" t="s">
        <v>71</v>
      </c>
      <c r="B6" s="356">
        <f ca="1">AVERAGE('הוצאות חודשיות'!B6:D6)</f>
        <v>573</v>
      </c>
      <c r="C6" s="356">
        <f t="shared" ca="1" si="0"/>
        <v>6876</v>
      </c>
      <c r="D6" s="356">
        <f>'הוצאות חודשיות'!O6</f>
        <v>400</v>
      </c>
      <c r="E6" s="356">
        <f t="shared" si="1"/>
        <v>4800</v>
      </c>
      <c r="F6" s="356">
        <f t="shared" ca="1" si="2"/>
        <v>2076</v>
      </c>
      <c r="G6" s="361">
        <f t="shared" ca="1" si="3"/>
        <v>0.4325</v>
      </c>
    </row>
    <row r="7" spans="1:7">
      <c r="A7" t="s">
        <v>73</v>
      </c>
      <c r="B7" s="356">
        <f ca="1">AVERAGE('הוצאות חודשיות'!B7:D7)</f>
        <v>1062.5833333333333</v>
      </c>
      <c r="C7" s="356">
        <f t="shared" ca="1" si="0"/>
        <v>12751</v>
      </c>
      <c r="D7" s="356">
        <f>'הוצאות חודשיות'!O7</f>
        <v>1000</v>
      </c>
      <c r="E7" s="356">
        <f t="shared" si="1"/>
        <v>12000</v>
      </c>
      <c r="F7" s="356">
        <f t="shared" ca="1" si="2"/>
        <v>751</v>
      </c>
      <c r="G7" s="361">
        <f t="shared" ca="1" si="3"/>
        <v>6.2583333333333338E-2</v>
      </c>
    </row>
    <row r="8" spans="1:7">
      <c r="A8" t="s">
        <v>76</v>
      </c>
      <c r="B8" s="356">
        <f ca="1">AVERAGE('הוצאות חודשיות'!B10:D10)</f>
        <v>134.36666666666667</v>
      </c>
      <c r="C8" s="356">
        <f t="shared" ca="1" si="0"/>
        <v>1612.4</v>
      </c>
      <c r="D8" s="356">
        <f>'הוצאות חודשיות'!O10</f>
        <v>135</v>
      </c>
      <c r="E8" s="356">
        <f t="shared" si="1"/>
        <v>1620</v>
      </c>
      <c r="F8" s="356">
        <f t="shared" ca="1" si="2"/>
        <v>-7.5999999999999091</v>
      </c>
      <c r="G8" s="361">
        <f t="shared" ca="1" si="3"/>
        <v>-4.6913580246913016E-3</v>
      </c>
    </row>
    <row r="9" spans="1:7">
      <c r="A9" t="s">
        <v>298</v>
      </c>
      <c r="B9" s="356">
        <f ca="1">AVERAGE('הוצאות חודשיות'!B11:D11)</f>
        <v>123.16666666666667</v>
      </c>
      <c r="C9" s="356">
        <f t="shared" ca="1" si="0"/>
        <v>1478</v>
      </c>
      <c r="D9" s="356">
        <f>'הוצאות חודשיות'!O11</f>
        <v>300</v>
      </c>
      <c r="E9" s="356">
        <f t="shared" si="1"/>
        <v>3600</v>
      </c>
      <c r="F9" s="356">
        <f t="shared" ca="1" si="2"/>
        <v>-2122</v>
      </c>
      <c r="G9" s="361">
        <f t="shared" ca="1" si="3"/>
        <v>-0.58944444444444444</v>
      </c>
    </row>
    <row r="10" spans="1:7">
      <c r="A10" t="s">
        <v>77</v>
      </c>
      <c r="B10" s="356">
        <f ca="1">AVERAGE('הוצאות חודשיות'!B12:D12)</f>
        <v>219.62</v>
      </c>
      <c r="C10" s="356">
        <f t="shared" ca="1" si="0"/>
        <v>2635.44</v>
      </c>
      <c r="D10" s="356">
        <f>'הוצאות חודשיות'!O12</f>
        <v>220</v>
      </c>
      <c r="E10" s="356">
        <f t="shared" si="1"/>
        <v>2640</v>
      </c>
      <c r="F10" s="356">
        <f t="shared" ca="1" si="2"/>
        <v>-4.5599999999999454</v>
      </c>
      <c r="G10" s="361">
        <f t="shared" ca="1" si="3"/>
        <v>-1.7272727272727066E-3</v>
      </c>
    </row>
    <row r="11" spans="1:7">
      <c r="A11" t="s">
        <v>79</v>
      </c>
      <c r="B11" s="356">
        <f ca="1">AVERAGE('הוצאות חודשיות'!B13:D13)</f>
        <v>95</v>
      </c>
      <c r="C11" s="356">
        <f t="shared" ca="1" si="0"/>
        <v>1140</v>
      </c>
      <c r="D11" s="356">
        <f>'הוצאות חודשיות'!O13</f>
        <v>95</v>
      </c>
      <c r="E11" s="356">
        <f t="shared" si="1"/>
        <v>1140</v>
      </c>
      <c r="F11" s="356">
        <f t="shared" ca="1" si="2"/>
        <v>0</v>
      </c>
      <c r="G11" s="361">
        <f t="shared" ca="1" si="3"/>
        <v>0</v>
      </c>
    </row>
    <row r="12" spans="1:7">
      <c r="A12" t="s">
        <v>81</v>
      </c>
      <c r="B12" s="356">
        <f ca="1">AVERAGE('הוצאות חודשיות'!B14:D14)</f>
        <v>1766.54</v>
      </c>
      <c r="C12" s="356">
        <f t="shared" ca="1" si="0"/>
        <v>21198.48</v>
      </c>
      <c r="D12" s="356">
        <f>'הוצאות חודשיות'!O14</f>
        <v>1760</v>
      </c>
      <c r="E12" s="356">
        <f t="shared" si="1"/>
        <v>21120</v>
      </c>
      <c r="F12" s="356">
        <f t="shared" ca="1" si="2"/>
        <v>78.479999999999563</v>
      </c>
      <c r="G12" s="361">
        <f t="shared" ca="1" si="3"/>
        <v>3.7159090909090701E-3</v>
      </c>
    </row>
    <row r="13" spans="1:7">
      <c r="A13" t="s">
        <v>83</v>
      </c>
      <c r="B13" s="356">
        <f ca="1">AVERAGE('הוצאות חודשיות'!B15:D15)</f>
        <v>151.43333333333334</v>
      </c>
      <c r="C13" s="356">
        <f t="shared" ca="1" si="0"/>
        <v>1817.2</v>
      </c>
      <c r="D13" s="356">
        <f>'הוצאות חודשיות'!O15</f>
        <v>0</v>
      </c>
      <c r="E13" s="356">
        <f t="shared" si="1"/>
        <v>0</v>
      </c>
      <c r="F13" s="356">
        <f t="shared" ca="1" si="2"/>
        <v>1817.2</v>
      </c>
      <c r="G13" s="361" t="str">
        <f t="shared" ca="1" si="3"/>
        <v>∞</v>
      </c>
    </row>
    <row r="14" spans="1:7">
      <c r="A14" t="s">
        <v>86</v>
      </c>
      <c r="B14" s="356">
        <f ca="1">AVERAGE('הוצאות חודשיות'!B17:D17)</f>
        <v>66.666666666666671</v>
      </c>
      <c r="C14" s="356">
        <f t="shared" ca="1" si="0"/>
        <v>800</v>
      </c>
      <c r="D14" s="356">
        <f>'הוצאות חודשיות'!O17</f>
        <v>112</v>
      </c>
      <c r="E14" s="356">
        <f t="shared" si="1"/>
        <v>1344</v>
      </c>
      <c r="F14" s="356">
        <f t="shared" ca="1" si="2"/>
        <v>-544</v>
      </c>
      <c r="G14" s="361">
        <f t="shared" ca="1" si="3"/>
        <v>-0.40476190476190477</v>
      </c>
    </row>
    <row r="15" spans="1:7">
      <c r="A15" t="s">
        <v>87</v>
      </c>
      <c r="B15" s="356">
        <f ca="1">AVERAGE('הוצאות חודשיות'!B18:D18)</f>
        <v>660.82333333333327</v>
      </c>
      <c r="C15" s="356">
        <f t="shared" ca="1" si="0"/>
        <v>7929.8799999999992</v>
      </c>
      <c r="D15" s="356">
        <f>'הוצאות חודשיות'!O18</f>
        <v>700</v>
      </c>
      <c r="E15" s="356">
        <f t="shared" si="1"/>
        <v>8400</v>
      </c>
      <c r="F15" s="356">
        <f t="shared" ca="1" si="2"/>
        <v>-470.1200000000008</v>
      </c>
      <c r="G15" s="361">
        <f t="shared" ca="1" si="3"/>
        <v>-5.5966666666666762E-2</v>
      </c>
    </row>
    <row r="16" spans="1:7">
      <c r="A16" t="s">
        <v>91</v>
      </c>
      <c r="B16" s="356">
        <f ca="1">AVERAGE('הוצאות חודשיות'!B26:D26)</f>
        <v>8790.76</v>
      </c>
      <c r="C16" s="356">
        <f t="shared" ca="1" si="0"/>
        <v>105489.12</v>
      </c>
      <c r="D16" s="356">
        <f>'הוצאות חודשיות'!O26</f>
        <v>6000</v>
      </c>
      <c r="E16" s="356">
        <f t="shared" si="1"/>
        <v>72000</v>
      </c>
      <c r="F16" s="356">
        <f t="shared" ca="1" si="2"/>
        <v>33489.119999999995</v>
      </c>
      <c r="G16" s="361">
        <f t="shared" ca="1" si="3"/>
        <v>0.46512666666666658</v>
      </c>
    </row>
    <row r="17" spans="1:7">
      <c r="A17" t="s">
        <v>93</v>
      </c>
      <c r="B17" s="356">
        <f ca="1">AVERAGE('הוצאות חודשיות'!B28:D28)</f>
        <v>143.33333333333334</v>
      </c>
      <c r="C17" s="356">
        <f t="shared" ca="1" si="0"/>
        <v>1720</v>
      </c>
      <c r="D17" s="356">
        <f>'הוצאות חודשיות'!O28</f>
        <v>300</v>
      </c>
      <c r="E17" s="356">
        <f t="shared" si="1"/>
        <v>3600</v>
      </c>
      <c r="F17" s="356">
        <f t="shared" ca="1" si="2"/>
        <v>-1880</v>
      </c>
      <c r="G17" s="361">
        <f t="shared" ca="1" si="3"/>
        <v>-0.52222222222222225</v>
      </c>
    </row>
    <row r="18" spans="1:7">
      <c r="A18" t="s">
        <v>95</v>
      </c>
      <c r="B18" s="356">
        <f ca="1">AVERAGE('הוצאות חודשיות'!B30:D30)</f>
        <v>1046.7699999999998</v>
      </c>
      <c r="C18" s="356">
        <f t="shared" ca="1" si="0"/>
        <v>12561.239999999998</v>
      </c>
      <c r="D18" s="356">
        <f>'הוצאות חודשיות'!O30</f>
        <v>900</v>
      </c>
      <c r="E18" s="356">
        <f t="shared" si="1"/>
        <v>10800</v>
      </c>
      <c r="F18" s="356">
        <f t="shared" ca="1" si="2"/>
        <v>1761.239999999998</v>
      </c>
      <c r="G18" s="361">
        <f t="shared" ca="1" si="3"/>
        <v>0.1630777777777776</v>
      </c>
    </row>
    <row r="19" spans="1:7">
      <c r="A19" t="s">
        <v>96</v>
      </c>
      <c r="B19" s="356">
        <f ca="1">AVERAGE('הוצאות חודשיות'!B31:D31)</f>
        <v>2800.8233333333333</v>
      </c>
      <c r="C19" s="356">
        <f t="shared" ca="1" si="0"/>
        <v>33609.879999999997</v>
      </c>
      <c r="D19" s="356">
        <f>'הוצאות חודשיות'!O31</f>
        <v>1500</v>
      </c>
      <c r="E19" s="356">
        <f t="shared" si="1"/>
        <v>18000</v>
      </c>
      <c r="F19" s="356">
        <f t="shared" ca="1" si="2"/>
        <v>15609.879999999997</v>
      </c>
      <c r="G19" s="361">
        <f t="shared" ca="1" si="3"/>
        <v>0.86721555555555541</v>
      </c>
    </row>
    <row r="20" spans="1:7">
      <c r="A20" t="s">
        <v>279</v>
      </c>
      <c r="B20" s="356">
        <f ca="1">AVERAGE('הוצאות חודשיות'!B34:D34)</f>
        <v>1999.2433333333336</v>
      </c>
      <c r="C20" s="356">
        <f t="shared" ca="1" si="0"/>
        <v>23990.920000000002</v>
      </c>
      <c r="D20" s="356">
        <f>'הוצאות חודשיות'!O34</f>
        <v>300</v>
      </c>
      <c r="E20" s="356">
        <f t="shared" si="1"/>
        <v>3600</v>
      </c>
      <c r="F20" s="356">
        <f t="shared" ca="1" si="2"/>
        <v>20390.920000000002</v>
      </c>
      <c r="G20" s="361">
        <f t="shared" ca="1" si="3"/>
        <v>5.6641444444444451</v>
      </c>
    </row>
    <row r="21" spans="1:7">
      <c r="A21" t="s">
        <v>99</v>
      </c>
      <c r="B21" s="356">
        <f ca="1">AVERAGE('הוצאות חודשיות'!B42:D42)</f>
        <v>1015.2166666666666</v>
      </c>
      <c r="C21" s="356">
        <f t="shared" ca="1" si="0"/>
        <v>12182.599999999999</v>
      </c>
      <c r="D21" s="356">
        <f>'הוצאות חודשיות'!O42</f>
        <v>1400</v>
      </c>
      <c r="E21" s="356">
        <f t="shared" si="1"/>
        <v>16800</v>
      </c>
      <c r="F21" s="356">
        <f t="shared" ca="1" si="2"/>
        <v>-4617.4000000000015</v>
      </c>
      <c r="G21" s="361">
        <f t="shared" ca="1" si="3"/>
        <v>-0.2748452380952382</v>
      </c>
    </row>
    <row r="22" spans="1:7">
      <c r="A22" t="s">
        <v>102</v>
      </c>
      <c r="B22" s="356">
        <f ca="1">AVERAGE('הוצאות חודשיות'!B45:D45)</f>
        <v>394.91666666666669</v>
      </c>
      <c r="C22" s="356">
        <f t="shared" ca="1" si="0"/>
        <v>4739</v>
      </c>
      <c r="D22" s="356">
        <f>'הוצאות חודשיות'!O45</f>
        <v>710</v>
      </c>
      <c r="E22" s="356">
        <f t="shared" si="1"/>
        <v>8520</v>
      </c>
      <c r="F22" s="356">
        <f t="shared" ca="1" si="2"/>
        <v>-3781</v>
      </c>
      <c r="G22" s="361">
        <f t="shared" ca="1" si="3"/>
        <v>-0.44377934272300468</v>
      </c>
    </row>
    <row r="23" spans="1:7">
      <c r="A23" t="s">
        <v>103</v>
      </c>
      <c r="B23" s="356">
        <f ca="1">AVERAGE('הוצאות חודשיות'!B46:D46)</f>
        <v>341.84</v>
      </c>
      <c r="C23" s="356">
        <f t="shared" ca="1" si="0"/>
        <v>4102.08</v>
      </c>
      <c r="D23" s="356">
        <f>'הוצאות חודשיות'!O46</f>
        <v>500</v>
      </c>
      <c r="E23" s="356">
        <f t="shared" si="1"/>
        <v>6000</v>
      </c>
      <c r="F23" s="356">
        <f t="shared" ca="1" si="2"/>
        <v>-1897.92</v>
      </c>
      <c r="G23" s="361">
        <f t="shared" ca="1" si="3"/>
        <v>-0.31631999999999999</v>
      </c>
    </row>
    <row r="24" spans="1:7">
      <c r="A24" t="s">
        <v>138</v>
      </c>
      <c r="B24" s="356">
        <f ca="1">AVERAGE('הוצאות חודשיות'!B47:D47)</f>
        <v>112.95333333333333</v>
      </c>
      <c r="C24" s="356">
        <f t="shared" ca="1" si="0"/>
        <v>1355.44</v>
      </c>
      <c r="D24" s="356">
        <f>'הוצאות חודשיות'!O47</f>
        <v>30</v>
      </c>
      <c r="E24" s="356">
        <f t="shared" si="1"/>
        <v>360</v>
      </c>
      <c r="F24" s="356">
        <f t="shared" ca="1" si="2"/>
        <v>995.44</v>
      </c>
      <c r="G24" s="361">
        <f t="shared" ca="1" si="3"/>
        <v>2.7651111111111111</v>
      </c>
    </row>
    <row r="25" spans="1:7">
      <c r="A25" t="s">
        <v>107</v>
      </c>
      <c r="B25" s="356">
        <f ca="1">AVERAGE('הוצאות חודשיות'!B60:D60)</f>
        <v>0</v>
      </c>
      <c r="C25" s="356">
        <f t="shared" ca="1" si="0"/>
        <v>0</v>
      </c>
      <c r="D25" s="356">
        <f>'הוצאות חודשיות'!O60</f>
        <v>0</v>
      </c>
      <c r="E25" s="356">
        <f t="shared" si="1"/>
        <v>0</v>
      </c>
      <c r="F25" s="356">
        <f t="shared" ca="1" si="2"/>
        <v>0</v>
      </c>
      <c r="G25" s="361" t="str">
        <f t="shared" ca="1" si="3"/>
        <v>-</v>
      </c>
    </row>
    <row r="26" spans="1:7">
      <c r="A26" t="s">
        <v>111</v>
      </c>
      <c r="B26" s="356">
        <f ca="1">AVERAGE('הוצאות חודשיות'!B65:D65)</f>
        <v>0</v>
      </c>
      <c r="C26" s="356">
        <f t="shared" ca="1" si="0"/>
        <v>0</v>
      </c>
      <c r="D26" s="356">
        <f>'הוצאות חודשיות'!O65</f>
        <v>0</v>
      </c>
      <c r="E26" s="356">
        <f t="shared" si="1"/>
        <v>0</v>
      </c>
      <c r="F26" s="356">
        <f t="shared" ca="1" si="2"/>
        <v>0</v>
      </c>
      <c r="G26" s="361" t="str">
        <f t="shared" ca="1" si="3"/>
        <v>-</v>
      </c>
    </row>
    <row r="27" spans="1:7">
      <c r="A27" t="s">
        <v>118</v>
      </c>
      <c r="B27" s="356">
        <f ca="1">AVERAGE('הוצאות חודשיות'!B76:D76)</f>
        <v>0</v>
      </c>
      <c r="C27" s="356">
        <f t="shared" ca="1" si="0"/>
        <v>0</v>
      </c>
      <c r="D27" s="356">
        <f>'הוצאות חודשיות'!O76</f>
        <v>0</v>
      </c>
      <c r="E27" s="356">
        <f t="shared" si="1"/>
        <v>0</v>
      </c>
      <c r="F27" s="356">
        <f t="shared" ca="1" si="2"/>
        <v>0</v>
      </c>
      <c r="G27" s="361" t="str">
        <f t="shared" ca="1" si="3"/>
        <v>-</v>
      </c>
    </row>
    <row r="28" spans="1:7">
      <c r="A28" t="s">
        <v>276</v>
      </c>
      <c r="B28" s="356">
        <f ca="1">AVERAGE('הוצאות חודשיות'!B79:D79)</f>
        <v>312.8</v>
      </c>
      <c r="C28" s="356">
        <f t="shared" ca="1" si="0"/>
        <v>3753.6000000000004</v>
      </c>
      <c r="D28" s="356">
        <f>'הוצאות חודשיות'!O79</f>
        <v>300</v>
      </c>
      <c r="E28" s="356">
        <f t="shared" si="1"/>
        <v>3600</v>
      </c>
      <c r="F28" s="356">
        <f t="shared" ca="1" si="2"/>
        <v>153.60000000000036</v>
      </c>
      <c r="G28" s="361">
        <f t="shared" ca="1" si="3"/>
        <v>4.2666666666666769E-2</v>
      </c>
    </row>
    <row r="29" spans="1:7">
      <c r="A29" t="s">
        <v>696</v>
      </c>
      <c r="B29" s="356">
        <f ca="1">AVERAGE('הוצאות חודשיות'!B80:D80)</f>
        <v>461.07666666666665</v>
      </c>
      <c r="C29" s="356">
        <f t="shared" ca="1" si="0"/>
        <v>5532.92</v>
      </c>
      <c r="D29" s="356">
        <f>'הוצאות חודשיות'!O80</f>
        <v>100</v>
      </c>
      <c r="E29" s="356">
        <f t="shared" si="1"/>
        <v>1200</v>
      </c>
      <c r="F29" s="356">
        <f t="shared" ca="1" si="2"/>
        <v>4332.92</v>
      </c>
      <c r="G29" s="361">
        <f t="shared" ca="1" si="3"/>
        <v>3.6107666666666667</v>
      </c>
    </row>
    <row r="30" spans="1:7">
      <c r="A30" t="s">
        <v>139</v>
      </c>
      <c r="B30" s="356">
        <f ca="1">AVERAGE('הוצאות חודשיות'!B81:D81)</f>
        <v>116.33333333333333</v>
      </c>
      <c r="C30" s="356">
        <f t="shared" ca="1" si="0"/>
        <v>1396</v>
      </c>
      <c r="D30" s="356">
        <f>'הוצאות חודשיות'!O81</f>
        <v>500</v>
      </c>
      <c r="E30" s="356">
        <f t="shared" si="1"/>
        <v>6000</v>
      </c>
      <c r="F30" s="356">
        <f t="shared" ca="1" si="2"/>
        <v>-4604</v>
      </c>
      <c r="G30" s="361">
        <f t="shared" ca="1" si="3"/>
        <v>-0.76733333333333331</v>
      </c>
    </row>
    <row r="31" spans="1:7">
      <c r="A31" t="s">
        <v>123</v>
      </c>
      <c r="B31" s="356">
        <f ca="1">AVERAGE('הוצאות חודשיות'!B84:D84)</f>
        <v>793.75</v>
      </c>
      <c r="C31" s="356">
        <f t="shared" ca="1" si="0"/>
        <v>9525</v>
      </c>
      <c r="D31" s="356">
        <f>'הוצאות חודשיות'!O84</f>
        <v>0</v>
      </c>
      <c r="E31" s="356">
        <f t="shared" si="1"/>
        <v>0</v>
      </c>
      <c r="F31" s="356">
        <f t="shared" ca="1" si="2"/>
        <v>9525</v>
      </c>
      <c r="G31" s="361" t="str">
        <f t="shared" ca="1" si="3"/>
        <v>∞</v>
      </c>
    </row>
    <row r="32" spans="1:7">
      <c r="A32" t="s">
        <v>126</v>
      </c>
      <c r="B32" s="356">
        <f ca="1">AVERAGE('הוצאות חודשיות'!B92:D92)</f>
        <v>458.02</v>
      </c>
      <c r="C32" s="356">
        <f t="shared" ca="1" si="0"/>
        <v>5496.24</v>
      </c>
      <c r="D32" s="356">
        <f>'הוצאות חודשיות'!O92</f>
        <v>480</v>
      </c>
      <c r="E32" s="356">
        <f t="shared" si="1"/>
        <v>5760</v>
      </c>
      <c r="F32" s="356">
        <f t="shared" ca="1" si="2"/>
        <v>-263.76000000000022</v>
      </c>
      <c r="G32" s="361">
        <f t="shared" ca="1" si="3"/>
        <v>-4.5791666666666703E-2</v>
      </c>
    </row>
    <row r="33" spans="1:7">
      <c r="A33" t="s">
        <v>127</v>
      </c>
      <c r="B33" s="356">
        <f ca="1">AVERAGE('הוצאות חודשיות'!B93:D93)</f>
        <v>1032.6933333333334</v>
      </c>
      <c r="C33" s="356">
        <f t="shared" ca="1" si="0"/>
        <v>12392.32</v>
      </c>
      <c r="D33" s="356">
        <f>'הוצאות חודשיות'!O93</f>
        <v>400</v>
      </c>
      <c r="E33" s="356">
        <f t="shared" si="1"/>
        <v>4800</v>
      </c>
      <c r="F33" s="356">
        <f t="shared" ca="1" si="2"/>
        <v>7592.32</v>
      </c>
      <c r="G33" s="361">
        <f t="shared" ca="1" si="3"/>
        <v>1.5817333333333332</v>
      </c>
    </row>
    <row r="34" spans="1:7">
      <c r="A34" t="s">
        <v>176</v>
      </c>
      <c r="B34" s="356">
        <f ca="1">AVERAGE('הוצאות חודשיות'!B102:D102)</f>
        <v>500</v>
      </c>
      <c r="C34" s="356">
        <f t="shared" ca="1" si="0"/>
        <v>6000</v>
      </c>
      <c r="D34" s="356">
        <f>'הוצאות חודשיות'!O102</f>
        <v>500</v>
      </c>
      <c r="E34" s="356">
        <f t="shared" si="1"/>
        <v>6000</v>
      </c>
      <c r="F34" s="356">
        <f t="shared" ca="1" si="2"/>
        <v>0</v>
      </c>
      <c r="G34" s="361">
        <f t="shared" ca="1" si="3"/>
        <v>0</v>
      </c>
    </row>
    <row r="35" spans="1:7">
      <c r="A35" t="s">
        <v>133</v>
      </c>
      <c r="B35" s="356">
        <f ca="1">AVERAGE('הוצאות חודשיות'!B105:D105)</f>
        <v>817.88</v>
      </c>
      <c r="C35" s="356">
        <f t="shared" ca="1" si="0"/>
        <v>9814.56</v>
      </c>
      <c r="D35" s="356">
        <f>'הוצאות חודשיות'!O105</f>
        <v>710</v>
      </c>
      <c r="E35" s="356">
        <f t="shared" si="1"/>
        <v>8520</v>
      </c>
      <c r="F35" s="356">
        <f t="shared" ca="1" si="2"/>
        <v>1294.5599999999995</v>
      </c>
      <c r="G35" s="361">
        <f t="shared" ca="1" si="3"/>
        <v>0.15194366197183093</v>
      </c>
    </row>
    <row r="36" spans="1:7">
      <c r="A36" t="s">
        <v>19</v>
      </c>
      <c r="B36" s="356">
        <f ca="1">AVERAGE('הוצאות חודשיות'!B108:D108)</f>
        <v>72.2</v>
      </c>
      <c r="C36" s="356">
        <f t="shared" ca="1" si="0"/>
        <v>866.40000000000009</v>
      </c>
      <c r="D36" s="356">
        <f>'הוצאות חודשיות'!O108</f>
        <v>20</v>
      </c>
      <c r="E36" s="356">
        <f t="shared" si="1"/>
        <v>240</v>
      </c>
      <c r="F36" s="356">
        <f t="shared" ca="1" si="2"/>
        <v>626.40000000000009</v>
      </c>
      <c r="G36" s="361">
        <f t="shared" ca="1" si="3"/>
        <v>2.6100000000000003</v>
      </c>
    </row>
    <row r="37" spans="1:7">
      <c r="B37" s="356"/>
      <c r="C37" s="356"/>
      <c r="D37" s="356"/>
      <c r="E37" s="356"/>
      <c r="F37" s="356"/>
      <c r="G37" s="361"/>
    </row>
    <row r="38" spans="1:7">
      <c r="A38" s="358" t="s">
        <v>24</v>
      </c>
      <c r="B38" s="360">
        <f ca="1">SUM(B4:B36)</f>
        <v>29265.750000000004</v>
      </c>
      <c r="C38" s="360">
        <f ca="1">SUM(C4:C36)</f>
        <v>351188.99999999994</v>
      </c>
      <c r="D38" s="360">
        <f>SUM(D4:D36)</f>
        <v>27472</v>
      </c>
      <c r="E38" s="360">
        <f>SUM(E4:E36)</f>
        <v>329664</v>
      </c>
      <c r="F38" s="360">
        <f ca="1">SUM(F4:F36)</f>
        <v>21524.999999999993</v>
      </c>
      <c r="G38" s="362">
        <f ca="1">IFERROR(F38/E38, 0)</f>
        <v>6.5293753640069868E-2</v>
      </c>
    </row>
    <row r="41" spans="1:7" ht="18">
      <c r="A41" s="357" t="s">
        <v>685</v>
      </c>
    </row>
    <row r="42" spans="1:7">
      <c r="A42" s="355" t="s">
        <v>686</v>
      </c>
      <c r="B42" s="355" t="s">
        <v>687</v>
      </c>
      <c r="C42" s="355" t="s">
        <v>666</v>
      </c>
      <c r="D42" s="355" t="s">
        <v>688</v>
      </c>
      <c r="E42" s="355" t="s">
        <v>667</v>
      </c>
    </row>
    <row r="43" spans="1:7">
      <c r="A43" t="s">
        <v>697</v>
      </c>
      <c r="B43" s="356">
        <v>500</v>
      </c>
      <c r="C43" s="356">
        <f t="shared" ref="C43:C52" si="4">B43*12</f>
        <v>6000</v>
      </c>
      <c r="D43" t="s">
        <v>674</v>
      </c>
      <c r="E43" t="s">
        <v>698</v>
      </c>
    </row>
    <row r="44" spans="1:7">
      <c r="A44" t="s">
        <v>672</v>
      </c>
      <c r="B44" s="356">
        <v>400</v>
      </c>
      <c r="C44" s="356">
        <f t="shared" si="4"/>
        <v>4800</v>
      </c>
      <c r="D44" t="s">
        <v>671</v>
      </c>
      <c r="E44" t="s">
        <v>699</v>
      </c>
    </row>
    <row r="45" spans="1:7">
      <c r="A45" t="s">
        <v>673</v>
      </c>
      <c r="B45" s="356">
        <v>500</v>
      </c>
      <c r="C45" s="356">
        <f t="shared" si="4"/>
        <v>6000</v>
      </c>
      <c r="D45" t="s">
        <v>671</v>
      </c>
      <c r="E45" t="s">
        <v>700</v>
      </c>
    </row>
    <row r="46" spans="1:7">
      <c r="A46" t="s">
        <v>701</v>
      </c>
      <c r="B46" s="356">
        <v>400</v>
      </c>
      <c r="C46" s="356">
        <f t="shared" si="4"/>
        <v>4800</v>
      </c>
      <c r="D46" t="s">
        <v>671</v>
      </c>
      <c r="E46" t="s">
        <v>702</v>
      </c>
    </row>
    <row r="47" spans="1:7">
      <c r="A47" t="s">
        <v>703</v>
      </c>
      <c r="B47" s="356">
        <v>300</v>
      </c>
      <c r="C47" s="356">
        <f t="shared" si="4"/>
        <v>3600</v>
      </c>
      <c r="D47" t="s">
        <v>671</v>
      </c>
      <c r="E47" t="s">
        <v>704</v>
      </c>
    </row>
    <row r="48" spans="1:7">
      <c r="A48" t="s">
        <v>670</v>
      </c>
      <c r="B48" s="356">
        <v>200</v>
      </c>
      <c r="C48" s="356">
        <f t="shared" si="4"/>
        <v>2400</v>
      </c>
      <c r="D48" t="s">
        <v>671</v>
      </c>
      <c r="E48" t="s">
        <v>705</v>
      </c>
    </row>
    <row r="49" spans="1:5">
      <c r="A49" t="s">
        <v>676</v>
      </c>
      <c r="B49" s="356">
        <v>150</v>
      </c>
      <c r="C49" s="356">
        <f t="shared" si="4"/>
        <v>1800</v>
      </c>
      <c r="D49" t="s">
        <v>668</v>
      </c>
      <c r="E49" t="s">
        <v>677</v>
      </c>
    </row>
    <row r="50" spans="1:5">
      <c r="A50" t="s">
        <v>689</v>
      </c>
      <c r="B50" s="356">
        <v>100</v>
      </c>
      <c r="C50" s="356">
        <f t="shared" si="4"/>
        <v>1200</v>
      </c>
      <c r="D50" t="s">
        <v>668</v>
      </c>
      <c r="E50" t="s">
        <v>706</v>
      </c>
    </row>
    <row r="51" spans="1:5">
      <c r="A51" t="s">
        <v>675</v>
      </c>
      <c r="B51" s="356">
        <v>100</v>
      </c>
      <c r="C51" s="356">
        <f t="shared" si="4"/>
        <v>1200</v>
      </c>
      <c r="D51" t="s">
        <v>668</v>
      </c>
      <c r="E51" t="s">
        <v>690</v>
      </c>
    </row>
    <row r="52" spans="1:5">
      <c r="A52" t="s">
        <v>669</v>
      </c>
      <c r="B52" s="356">
        <v>40</v>
      </c>
      <c r="C52" s="356">
        <f t="shared" si="4"/>
        <v>480</v>
      </c>
      <c r="D52" t="s">
        <v>668</v>
      </c>
      <c r="E52" t="s">
        <v>707</v>
      </c>
    </row>
    <row r="53" spans="1:5">
      <c r="A53" s="358" t="s">
        <v>678</v>
      </c>
      <c r="B53" s="360">
        <f>SUM(B43:B52)</f>
        <v>2690</v>
      </c>
      <c r="C53" s="360">
        <f>SUM(C43:C52)</f>
        <v>32280</v>
      </c>
      <c r="D53" s="359"/>
      <c r="E53" s="359"/>
    </row>
    <row r="56" spans="1:5" ht="18">
      <c r="A56" s="357" t="s">
        <v>708</v>
      </c>
    </row>
    <row r="57" spans="1:5">
      <c r="A57" s="363" t="s">
        <v>709</v>
      </c>
      <c r="B57" s="364">
        <f ca="1">B38</f>
        <v>29265.750000000004</v>
      </c>
    </row>
    <row r="58" spans="1:5">
      <c r="A58" s="363" t="s">
        <v>691</v>
      </c>
      <c r="B58" s="364">
        <f ca="1">C38</f>
        <v>351188.99999999994</v>
      </c>
    </row>
    <row r="59" spans="1:5">
      <c r="A59" s="363" t="s">
        <v>692</v>
      </c>
      <c r="B59" s="364">
        <f>E38</f>
        <v>329664</v>
      </c>
    </row>
    <row r="60" spans="1:5">
      <c r="A60" s="363" t="s">
        <v>693</v>
      </c>
      <c r="B60" s="364">
        <f ca="1">F38</f>
        <v>21524.999999999993</v>
      </c>
    </row>
    <row r="61" spans="1:5">
      <c r="A61" s="363" t="s">
        <v>694</v>
      </c>
      <c r="B61" s="365">
        <f ca="1">G38</f>
        <v>6.5293753640069868E-2</v>
      </c>
    </row>
    <row r="62" spans="1:5">
      <c r="A62" s="363" t="s">
        <v>679</v>
      </c>
      <c r="B62" s="364">
        <f>C53</f>
        <v>32280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44" baseType="lpstr">
      <vt:lpstr>Dropdown</vt:lpstr>
      <vt:lpstr>פרטים</vt:lpstr>
      <vt:lpstr>Data</vt:lpstr>
      <vt:lpstr>נכסים והתחיבויות</vt:lpstr>
      <vt:lpstr>1125</vt:lpstr>
      <vt:lpstr>1225</vt:lpstr>
      <vt:lpstr>1</vt:lpstr>
      <vt:lpstr>2</vt:lpstr>
      <vt:lpstr>3</vt:lpstr>
      <vt:lpstr>4</vt:lpstr>
      <vt:lpstr>5</vt:lpstr>
      <vt:lpstr>6</vt:lpstr>
      <vt:lpstr>עוגה</vt:lpstr>
      <vt:lpstr>גרף</vt:lpstr>
      <vt:lpstr>7</vt:lpstr>
      <vt:lpstr>8</vt:lpstr>
      <vt:lpstr>9</vt:lpstr>
      <vt:lpstr>10</vt:lpstr>
      <vt:lpstr>11</vt:lpstr>
      <vt:lpstr>12</vt:lpstr>
      <vt:lpstr>עסק</vt:lpstr>
      <vt:lpstr>פקדונות</vt:lpstr>
      <vt:lpstr>מיפוי מצב</vt:lpstr>
      <vt:lpstr>פירוט עסקי</vt:lpstr>
      <vt:lpstr>הוצאות חודשיות</vt:lpstr>
      <vt:lpstr>ממוצע ורצוי</vt:lpstr>
      <vt:lpstr>סל הוצאות</vt:lpstr>
      <vt:lpstr>יומי</vt:lpstr>
      <vt:lpstr>הוצאות עתידיות</vt:lpstr>
      <vt:lpstr>טבלת הוצאות</vt:lpstr>
      <vt:lpstr>ניתוח אנומליות</vt:lpstr>
      <vt:lpstr>Chart1</vt:lpstr>
      <vt:lpstr>Income_01</vt:lpstr>
      <vt:lpstr>'הוצאות חודשיות'!Print_Area</vt:lpstr>
      <vt:lpstr>סוג_הוצאה</vt:lpstr>
      <vt:lpstr>סוג_תשלום</vt:lpstr>
      <vt:lpstr>קטגוריה</vt:lpstr>
      <vt:lpstr>קטגוריה_3</vt:lpstr>
      <vt:lpstr>קטגוריה_4</vt:lpstr>
      <vt:lpstr>קטגוריה_5</vt:lpstr>
      <vt:lpstr>קטגוריה_6</vt:lpstr>
      <vt:lpstr>קטגוריה_7</vt:lpstr>
      <vt:lpstr>קטגוריה_8</vt:lpstr>
      <vt:lpstr>קטגוריה_8__עסק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Lily Sigalit Drimmer Kramer</cp:lastModifiedBy>
  <cp:lastPrinted>2017-06-24T19:27:26Z</cp:lastPrinted>
  <dcterms:created xsi:type="dcterms:W3CDTF">2014-09-11T18:35:38Z</dcterms:created>
  <dcterms:modified xsi:type="dcterms:W3CDTF">2026-05-01T05:10:52Z</dcterms:modified>
</cp:coreProperties>
</file>